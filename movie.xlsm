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EX\R\"/>
    </mc:Choice>
  </mc:AlternateContent>
  <xr:revisionPtr revIDLastSave="0" documentId="13_ncr:1_{FAA520B9-5248-4B36-839B-645F363F9437}" xr6:coauthVersionLast="41" xr6:coauthVersionMax="41" xr10:uidLastSave="{00000000-0000-0000-0000-000000000000}"/>
  <bookViews>
    <workbookView xWindow="-120" yWindow="-120" windowWidth="29040" windowHeight="15840" tabRatio="958" activeTab="1" xr2:uid="{00000000-000D-0000-FFFF-FFFF00000000}"/>
  </bookViews>
  <sheets>
    <sheet name="Sheet1" sheetId="1" r:id="rId1"/>
    <sheet name="Sheet1 (2)" sheetId="2" r:id="rId2"/>
    <sheet name="1" sheetId="3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13" r:id="rId13"/>
    <sheet name="12" sheetId="14" r:id="rId14"/>
    <sheet name="13" sheetId="15" r:id="rId15"/>
    <sheet name="14" sheetId="16" r:id="rId16"/>
    <sheet name="15" sheetId="17" r:id="rId17"/>
    <sheet name="16" sheetId="18" r:id="rId18"/>
    <sheet name="17" sheetId="19" r:id="rId19"/>
    <sheet name="18" sheetId="20" r:id="rId20"/>
    <sheet name="19" sheetId="21" r:id="rId21"/>
    <sheet name="20" sheetId="22" r:id="rId22"/>
    <sheet name="21" sheetId="23" r:id="rId23"/>
    <sheet name="22" sheetId="24" r:id="rId24"/>
    <sheet name="23" sheetId="25" r:id="rId25"/>
    <sheet name="24" sheetId="26" r:id="rId26"/>
    <sheet name="25" sheetId="27" r:id="rId27"/>
    <sheet name="26" sheetId="28" r:id="rId28"/>
    <sheet name="27" sheetId="29" r:id="rId29"/>
    <sheet name="28" sheetId="30" r:id="rId30"/>
    <sheet name="29" sheetId="31" r:id="rId31"/>
    <sheet name="30" sheetId="32" r:id="rId32"/>
    <sheet name="31" sheetId="33" r:id="rId33"/>
    <sheet name="32" sheetId="34" r:id="rId34"/>
    <sheet name="33" sheetId="35" r:id="rId35"/>
    <sheet name="34" sheetId="36" r:id="rId36"/>
    <sheet name="35" sheetId="37" r:id="rId37"/>
    <sheet name="36" sheetId="38" r:id="rId38"/>
    <sheet name="37" sheetId="39" r:id="rId39"/>
    <sheet name="38" sheetId="40" r:id="rId40"/>
    <sheet name="39" sheetId="41" r:id="rId41"/>
    <sheet name="40" sheetId="42" r:id="rId42"/>
    <sheet name="41" sheetId="43" r:id="rId43"/>
    <sheet name="42" sheetId="49" r:id="rId44"/>
    <sheet name="43" sheetId="50" r:id="rId45"/>
    <sheet name="44" sheetId="51" r:id="rId46"/>
    <sheet name="45" sheetId="52" r:id="rId47"/>
    <sheet name="46" sheetId="53" r:id="rId48"/>
    <sheet name="47" sheetId="54" r:id="rId49"/>
    <sheet name="48" sheetId="55" r:id="rId50"/>
    <sheet name="49" sheetId="56" r:id="rId51"/>
    <sheet name="50" sheetId="57" r:id="rId52"/>
    <sheet name="51" sheetId="58" r:id="rId53"/>
    <sheet name="52" sheetId="59" r:id="rId54"/>
    <sheet name="53" sheetId="60" r:id="rId55"/>
    <sheet name="54" sheetId="61" r:id="rId56"/>
    <sheet name="55" sheetId="62" r:id="rId57"/>
    <sheet name="56" sheetId="63" r:id="rId58"/>
    <sheet name="57" sheetId="64" r:id="rId59"/>
    <sheet name="58" sheetId="65" r:id="rId60"/>
    <sheet name="59" sheetId="66" r:id="rId61"/>
    <sheet name="60" sheetId="73" r:id="rId62"/>
    <sheet name="61" sheetId="74" r:id="rId63"/>
    <sheet name="62" sheetId="75" r:id="rId64"/>
    <sheet name="63" sheetId="76" r:id="rId65"/>
    <sheet name="64" sheetId="77" r:id="rId66"/>
    <sheet name="65" sheetId="78" r:id="rId67"/>
    <sheet name="66" sheetId="79" r:id="rId68"/>
    <sheet name="67" sheetId="80" r:id="rId69"/>
    <sheet name="68" sheetId="81" r:id="rId70"/>
    <sheet name="69" sheetId="82" r:id="rId71"/>
    <sheet name="70" sheetId="83" r:id="rId72"/>
    <sheet name="71" sheetId="84" r:id="rId73"/>
    <sheet name="72" sheetId="85" r:id="rId74"/>
    <sheet name="73" sheetId="86" r:id="rId75"/>
    <sheet name="74" sheetId="87" r:id="rId76"/>
    <sheet name="75" sheetId="88" r:id="rId77"/>
    <sheet name="76" sheetId="89" r:id="rId78"/>
    <sheet name="77" sheetId="90" r:id="rId79"/>
    <sheet name="78" sheetId="91" r:id="rId80"/>
    <sheet name="79" sheetId="92" r:id="rId81"/>
    <sheet name="80" sheetId="93" r:id="rId82"/>
    <sheet name="81" sheetId="94" r:id="rId83"/>
    <sheet name="82" sheetId="95" r:id="rId84"/>
    <sheet name="83" sheetId="96" r:id="rId85"/>
    <sheet name="84" sheetId="97" r:id="rId86"/>
    <sheet name="85" sheetId="98" r:id="rId87"/>
    <sheet name="86" sheetId="99" r:id="rId88"/>
    <sheet name="87" sheetId="100" r:id="rId89"/>
    <sheet name="88" sheetId="101" r:id="rId90"/>
    <sheet name="89" sheetId="102" r:id="rId91"/>
    <sheet name="90" sheetId="103" r:id="rId92"/>
    <sheet name="91(공)" sheetId="104" r:id="rId93"/>
    <sheet name="92" sheetId="105" r:id="rId94"/>
    <sheet name="93" sheetId="106" r:id="rId95"/>
    <sheet name="94" sheetId="107" r:id="rId96"/>
    <sheet name="95" sheetId="108" r:id="rId97"/>
    <sheet name="96" sheetId="109" r:id="rId98"/>
    <sheet name="97" sheetId="110" r:id="rId99"/>
    <sheet name="98" sheetId="111" r:id="rId100"/>
    <sheet name="99" sheetId="112" r:id="rId101"/>
    <sheet name="100" sheetId="113" r:id="rId102"/>
    <sheet name="101" sheetId="114" r:id="rId103"/>
    <sheet name="102" sheetId="115" r:id="rId104"/>
    <sheet name="103" sheetId="116" r:id="rId105"/>
    <sheet name="104" sheetId="117" r:id="rId106"/>
  </sheets>
  <definedNames>
    <definedName name="_xlnm._FilterDatabase" localSheetId="1" hidden="1">'Sheet1 (2)'!$A$2:$A$135</definedName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5" i="9" l="1"/>
  <c r="D3" i="2"/>
  <c r="C3" i="2"/>
  <c r="T4" i="4"/>
  <c r="D2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C2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</calcChain>
</file>

<file path=xl/sharedStrings.xml><?xml version="1.0" encoding="utf-8"?>
<sst xmlns="http://schemas.openxmlformats.org/spreadsheetml/2006/main" count="12051" uniqueCount="9539">
  <si>
    <t>NAME</t>
    <phoneticPr fontId="2" type="noConversion"/>
  </si>
  <si>
    <t>index</t>
    <phoneticPr fontId="2" type="noConversion"/>
  </si>
  <si>
    <t>개봉 이틀째 관객수</t>
    <phoneticPr fontId="2" type="noConversion"/>
  </si>
  <si>
    <t>개봉 9일째 관객수</t>
    <phoneticPr fontId="2" type="noConversion"/>
  </si>
  <si>
    <t>극한직업</t>
    <phoneticPr fontId="2" type="noConversion"/>
  </si>
  <si>
    <t>말모이</t>
  </si>
  <si>
    <t>내안의 그놈</t>
  </si>
  <si>
    <t>주먹왕 랄프 2: 인터넷 속으로</t>
  </si>
  <si>
    <t>아쿠아맨</t>
  </si>
  <si>
    <t>보헤미안 랩소디</t>
  </si>
  <si>
    <t>PMC: 더 벙커</t>
    <phoneticPr fontId="2" type="noConversion"/>
  </si>
  <si>
    <t>글래스</t>
  </si>
  <si>
    <t>극장판 공룡메카드: 타이니소어의 섬</t>
    <phoneticPr fontId="2" type="noConversion"/>
  </si>
  <si>
    <t>범블비</t>
  </si>
  <si>
    <t>뺑반</t>
  </si>
  <si>
    <t>러브 유어셀프 인 서울</t>
  </si>
  <si>
    <t>그린 북</t>
  </si>
  <si>
    <t>스윙키즈</t>
  </si>
  <si>
    <t>드래곤 길들이기 3</t>
  </si>
  <si>
    <t>언니</t>
  </si>
  <si>
    <t>언더독</t>
  </si>
  <si>
    <t>점박이 한반도의 공룡2 : 새로운 낙원</t>
  </si>
  <si>
    <t>미래의 미라이</t>
  </si>
  <si>
    <t>구스 베이비</t>
  </si>
  <si>
    <t>그대 이름은 장미</t>
  </si>
  <si>
    <t>극장판 짱구는 못말려: 아뵤! 쿵후 보이즈 ~라면 대란~</t>
  </si>
  <si>
    <t>스파이더맨: 뉴 유니버스</t>
  </si>
  <si>
    <t>그린치</t>
  </si>
  <si>
    <t>극장판 헬로카봇: 옴파로스 섬의 비밀</t>
  </si>
  <si>
    <t>마약왕</t>
  </si>
  <si>
    <t>알리타: 배틀 엔젤</t>
  </si>
  <si>
    <t>증인</t>
  </si>
  <si>
    <t>사바하</t>
  </si>
  <si>
    <t>해피 데스데이 2 유</t>
  </si>
  <si>
    <t>기묘한 가족</t>
  </si>
  <si>
    <t>메리 포핀스 리턴즈</t>
  </si>
  <si>
    <t>신데렐라:마법 반지의 비밀</t>
  </si>
  <si>
    <t>항거:유관순 이야기</t>
  </si>
  <si>
    <t>명탐정 코난:전율의 악보</t>
  </si>
  <si>
    <t>해리포터와 비밀의 방</t>
  </si>
  <si>
    <t>콜드 체이싱</t>
  </si>
  <si>
    <t>가버나움</t>
  </si>
  <si>
    <t>레고 무비2</t>
  </si>
  <si>
    <t>자전차왕 엄복동</t>
  </si>
  <si>
    <t>캡틴 마블</t>
  </si>
  <si>
    <t>돈</t>
  </si>
  <si>
    <t>어스</t>
  </si>
  <si>
    <t>이스케이프 룸</t>
  </si>
  <si>
    <t>악질경찰</t>
  </si>
  <si>
    <t>덤보</t>
  </si>
  <si>
    <t>우상</t>
  </si>
  <si>
    <t>장난스런 키스</t>
  </si>
  <si>
    <t>라스트 미션</t>
  </si>
  <si>
    <t>더 페이버릿: 여왕의 여자</t>
  </si>
  <si>
    <t>1919 유관순</t>
  </si>
  <si>
    <t>어쩌다, 결혼</t>
  </si>
  <si>
    <t>어벤져스: 엔드게임</t>
  </si>
  <si>
    <t>생일</t>
  </si>
  <si>
    <t>샤잠!</t>
  </si>
  <si>
    <t>헬보이</t>
  </si>
  <si>
    <t>뽀로로 극장판 보물섬 대모험</t>
  </si>
  <si>
    <t>미성년</t>
  </si>
  <si>
    <t>요로나의 저주</t>
  </si>
  <si>
    <t>바이스</t>
  </si>
  <si>
    <t>공포의 묘지</t>
  </si>
  <si>
    <t>크게 될 놈</t>
  </si>
  <si>
    <t>아이 엠 마더</t>
  </si>
  <si>
    <t>파이브 피트</t>
  </si>
  <si>
    <t>로망</t>
  </si>
  <si>
    <t>노팅 힐</t>
  </si>
  <si>
    <t>왓칭</t>
  </si>
  <si>
    <t>나의 특별한 형제</t>
  </si>
  <si>
    <t>콜레트</t>
  </si>
  <si>
    <t>다시, 봄</t>
  </si>
  <si>
    <t>노무현과 바보들</t>
  </si>
  <si>
    <t>악인전</t>
  </si>
  <si>
    <t>걸캅스</t>
  </si>
  <si>
    <t>알라딘</t>
  </si>
  <si>
    <t>기생충</t>
  </si>
  <si>
    <t>명탐정 피카츄</t>
  </si>
  <si>
    <t>배심원들</t>
  </si>
  <si>
    <t>어린 의뢰인</t>
  </si>
  <si>
    <t>고질라: 킹 오브 몬스터</t>
  </si>
  <si>
    <t>더 보이</t>
  </si>
  <si>
    <t>호텔 뭄바이</t>
  </si>
  <si>
    <t>0.0MHz</t>
  </si>
  <si>
    <t>교회오빠</t>
  </si>
  <si>
    <t>어글리 돌</t>
  </si>
  <si>
    <t>서스페리아</t>
  </si>
  <si>
    <t>안도 타다오</t>
  </si>
  <si>
    <t>판의 미로 - 오필리아와 세 개의 열쇠</t>
  </si>
  <si>
    <t>물의 기억</t>
  </si>
  <si>
    <t>미스 스티븐스</t>
  </si>
  <si>
    <t>토이 스토리 4</t>
  </si>
  <si>
    <t>롱 리브 더 킹: 목포 영웅</t>
  </si>
  <si>
    <t>엑스맨: 다크 피닉스</t>
  </si>
  <si>
    <t>맨 인 블랙: 인터내셔널</t>
  </si>
  <si>
    <t>존 윅 3: 파라벨룸</t>
  </si>
  <si>
    <t>애나벨 집으로</t>
  </si>
  <si>
    <t>천로역정: 천국을 찾아서</t>
  </si>
  <si>
    <t>비스트</t>
  </si>
  <si>
    <t>이웃집 토토로</t>
  </si>
  <si>
    <t>로켓맨</t>
  </si>
  <si>
    <t>사탄의 인형</t>
  </si>
  <si>
    <t>빅샤크2: 해저2만리</t>
  </si>
  <si>
    <t>업사이드</t>
  </si>
  <si>
    <t>세상을 바꾼 변호인</t>
  </si>
  <si>
    <t>마담 싸이코</t>
  </si>
  <si>
    <t>■ '극한직업' 일자별 통계정보</t>
  </si>
  <si>
    <r>
      <t xml:space="preserve">- </t>
    </r>
    <r>
      <rPr>
        <b/>
        <sz val="9"/>
        <color rgb="FF000000"/>
        <rFont val="맑은 고딕"/>
        <family val="3"/>
        <charset val="129"/>
        <scheme val="minor"/>
      </rPr>
      <t>조회일</t>
    </r>
    <r>
      <rPr>
        <sz val="9"/>
        <color rgb="FF000000"/>
        <rFont val="맑은 고딕"/>
        <family val="3"/>
        <charset val="129"/>
        <scheme val="minor"/>
      </rPr>
      <t>: 2019-07-10</t>
    </r>
  </si>
  <si>
    <r>
      <t xml:space="preserve">- </t>
    </r>
    <r>
      <rPr>
        <b/>
        <sz val="9"/>
        <color rgb="FF000000"/>
        <rFont val="맑은 고딕"/>
        <family val="3"/>
        <charset val="129"/>
        <scheme val="minor"/>
      </rPr>
      <t>출처</t>
    </r>
    <r>
      <rPr>
        <sz val="9"/>
        <color rgb="FF000000"/>
        <rFont val="맑은 고딕"/>
        <family val="3"/>
        <charset val="129"/>
        <scheme val="minor"/>
      </rPr>
      <t>: 영화진흥위원회 통합전산망 (http://www.kobis.or.kr)</t>
    </r>
  </si>
  <si>
    <t>날짜</t>
  </si>
  <si>
    <t>스크린수</t>
  </si>
  <si>
    <t>스크린점유율</t>
  </si>
  <si>
    <t>상영횟수</t>
  </si>
  <si>
    <t>상영점유율</t>
  </si>
  <si>
    <t>좌석수</t>
  </si>
  <si>
    <t>좌석점유율</t>
  </si>
  <si>
    <t>좌석판매율</t>
  </si>
  <si>
    <t>매출액</t>
  </si>
  <si>
    <t>매출액증감(전일대비)</t>
  </si>
  <si>
    <t>관객수</t>
  </si>
  <si>
    <t>관객수증감(전일대비)</t>
  </si>
  <si>
    <t>누적매출액</t>
  </si>
  <si>
    <t>누적관객수</t>
  </si>
  <si>
    <t>순위</t>
  </si>
  <si>
    <t>2967223090 ( 7904.2% )</t>
  </si>
  <si>
    <t>365372 ( 11382.3% )</t>
  </si>
  <si>
    <t>-294427090 ( -9.8% )</t>
  </si>
  <si>
    <t>-36658 ( -9.9% )</t>
  </si>
  <si>
    <t>769776058 ( 28.4% )</t>
  </si>
  <si>
    <t>54447 ( 16.4% )</t>
  </si>
  <si>
    <t>5435491054 ( 156.2% )</t>
  </si>
  <si>
    <t>609035 ( 157.6% )</t>
  </si>
  <si>
    <t>279194778 ( 3.1% )</t>
  </si>
  <si>
    <t>37683 ( 3.8% )</t>
  </si>
  <si>
    <t>-5942794330 ( -64.6% )</t>
  </si>
  <si>
    <t>-635901 ( -61.6% )</t>
  </si>
  <si>
    <t>-348075130 ( -10.7% )</t>
  </si>
  <si>
    <t>-39002 ( -9.8% )</t>
  </si>
  <si>
    <t>613925190 ( 21.1% )</t>
  </si>
  <si>
    <t>206639 ( 57.7% )</t>
  </si>
  <si>
    <t>-685991040 ( -19.5% )</t>
  </si>
  <si>
    <t>-214140 ( -37.9% )</t>
  </si>
  <si>
    <t>1295366098 ( 45.7% )</t>
  </si>
  <si>
    <t>112190 ( 32.0% )</t>
  </si>
  <si>
    <t>4412216047 ( 106.9% )</t>
  </si>
  <si>
    <t>499680 ( 108.0% )</t>
  </si>
  <si>
    <t>919076775 ( 10.8% )</t>
  </si>
  <si>
    <t>96125 ( 10.0% )</t>
  </si>
  <si>
    <t>-610650290 ( -6.5% )</t>
  </si>
  <si>
    <t>-82753 ( -7.8% )</t>
  </si>
  <si>
    <t>1555048530 ( 17.6% )</t>
  </si>
  <si>
    <t>154249 ( 15.8% )</t>
  </si>
  <si>
    <t>-314072420 ( -3.0% )</t>
  </si>
  <si>
    <t>1521 ( 0.1% )</t>
  </si>
  <si>
    <t>-6383073910 ( -63.3% )</t>
  </si>
  <si>
    <t>-671249 ( -59.3% )</t>
  </si>
  <si>
    <t>-91443976 ( -2.5% )</t>
  </si>
  <si>
    <t>-50654 ( -11.0% )</t>
  </si>
  <si>
    <t>3174638981 ( 87.8% )</t>
  </si>
  <si>
    <t>366421 ( 89.4% )</t>
  </si>
  <si>
    <t>-1046197215 ( -15.4% )</t>
  </si>
  <si>
    <t>-116166 ( -15.0% )</t>
  </si>
  <si>
    <t>-4029042140 ( -70.2% )</t>
  </si>
  <si>
    <t>-445710 ( -67.5% )</t>
  </si>
  <si>
    <t>-154777130 ( -9.0% )</t>
  </si>
  <si>
    <t>-16275 ( -7.6% )</t>
  </si>
  <si>
    <t>-201549610 ( -12.9% )</t>
  </si>
  <si>
    <t>-25978 ( -13.1% )</t>
  </si>
  <si>
    <t>-35795720 ( -2.6% )</t>
  </si>
  <si>
    <t>-4501 ( -2.6% )</t>
  </si>
  <si>
    <t>318291761 ( 24.1% )</t>
  </si>
  <si>
    <t>23918 ( 14.3% )</t>
  </si>
  <si>
    <t>1830560762 ( 111.6% )</t>
  </si>
  <si>
    <t>213973 ( 111.7% )</t>
  </si>
  <si>
    <t>-487796223 ( -14.1% )</t>
  </si>
  <si>
    <t>-57151 ( -14.1% )</t>
  </si>
  <si>
    <t>-2078581120 ( -69.7% )</t>
  </si>
  <si>
    <t>-234018 ( -67.2% )</t>
  </si>
  <si>
    <t>-1809030 ( -0.2% )</t>
  </si>
  <si>
    <t>-37 ( 0.0% )</t>
  </si>
  <si>
    <t>-182267400 ( -20.2% )</t>
  </si>
  <si>
    <t>-22425 ( -19.6% )</t>
  </si>
  <si>
    <t>-70345000 ( -9.8% )</t>
  </si>
  <si>
    <t>-9491 ( -10.3% )</t>
  </si>
  <si>
    <t>154851560 ( 23.8% )</t>
  </si>
  <si>
    <t>11298 ( 13.7% )</t>
  </si>
  <si>
    <t>917639540 ( 114.1% )</t>
  </si>
  <si>
    <t>105373 ( 112.5% )</t>
  </si>
  <si>
    <t>-118990230 ( -6.9% )</t>
  </si>
  <si>
    <t>-13442 ( -6.8% )</t>
  </si>
  <si>
    <t>-1087760560 ( -67.9% )</t>
  </si>
  <si>
    <t>-120528 ( -64.9% )</t>
  </si>
  <si>
    <t>-36237130 ( -7.0% )</t>
  </si>
  <si>
    <t>-3915 ( -6.0% )</t>
  </si>
  <si>
    <t>63020220 ( 13.2% )</t>
  </si>
  <si>
    <t>28039 ( 45.9% )</t>
  </si>
  <si>
    <t>-19500790 ( -3.6% )</t>
  </si>
  <si>
    <t>-22347 ( -25.1% )</t>
  </si>
  <si>
    <t>667651110 ( 127.7% )</t>
  </si>
  <si>
    <t>68047 ( 101.8% )</t>
  </si>
  <si>
    <t>-184987580 ( -15.5% )</t>
  </si>
  <si>
    <t>-22261 ( -16.5% )</t>
  </si>
  <si>
    <t>-265654770 ( -26.4% )</t>
  </si>
  <si>
    <t>-29804 ( -26.5% )</t>
  </si>
  <si>
    <t>-521127860 ( -70.5% )</t>
  </si>
  <si>
    <t>-55937 ( -67.5% )</t>
  </si>
  <si>
    <t>-12245850 ( -5.6% )</t>
  </si>
  <si>
    <t>-1193 ( -4.4% )</t>
  </si>
  <si>
    <t>-108801500 ( -52.7% )</t>
  </si>
  <si>
    <t>-13449 ( -52.4% )</t>
  </si>
  <si>
    <t>-1542890 ( -1.6% )</t>
  </si>
  <si>
    <t>-225 ( -1.8% )</t>
  </si>
  <si>
    <t>28361230 ( 29.6% )</t>
  </si>
  <si>
    <t>1968 ( 16.4% )</t>
  </si>
  <si>
    <t>134485740 ( 108.2% )</t>
  </si>
  <si>
    <t>14654 ( 104.8% )</t>
  </si>
  <si>
    <t>6805340 ( 2.6% )</t>
  </si>
  <si>
    <t>703 ( 2.5% )</t>
  </si>
  <si>
    <t>-177807250 ( -66.9% )</t>
  </si>
  <si>
    <t>-18389 ( -62.7% )</t>
  </si>
  <si>
    <t>2902150 ( 3.3% )</t>
  </si>
  <si>
    <t>809 ( 7.4% )</t>
  </si>
  <si>
    <t>-18560060 ( -20.5% )</t>
  </si>
  <si>
    <t>-2529 ( -21.5% )</t>
  </si>
  <si>
    <t>-32899900 ( -45.6% )</t>
  </si>
  <si>
    <t>-3840 ( -41.6% )</t>
  </si>
  <si>
    <t>6916420 ( 17.6% )</t>
  </si>
  <si>
    <t>30 ( 0.6% )</t>
  </si>
  <si>
    <t>53753900 ( 116.4% )</t>
  </si>
  <si>
    <t>5827 ( 107.6% )</t>
  </si>
  <si>
    <t>-5093270 ( -5.1% )</t>
  </si>
  <si>
    <t>-529 ( -4.7% )</t>
  </si>
  <si>
    <t>-60492840 ( -63.8% )</t>
  </si>
  <si>
    <t>-6183 ( -57.7% )</t>
  </si>
  <si>
    <t>2674830 ( 7.8% )</t>
  </si>
  <si>
    <t>282 ( 6.2% )</t>
  </si>
  <si>
    <t>-28449350 ( -76.8% )</t>
  </si>
  <si>
    <t>-3608 ( -75.0% )</t>
  </si>
  <si>
    <t>-800110 ( -9.3% )</t>
  </si>
  <si>
    <t>43 ( 3.6% )</t>
  </si>
  <si>
    <t>-831070 ( -10.7% )</t>
  </si>
  <si>
    <t>-316 ( -25.3% )</t>
  </si>
  <si>
    <t>2619480 ( 37.7% )</t>
  </si>
  <si>
    <t>238 ( 25.5% )</t>
  </si>
  <si>
    <t>-1820110 ( -19.0% )</t>
  </si>
  <si>
    <t>-181 ( -15.5% )</t>
  </si>
  <si>
    <t>-3533570 ( -45.7% )</t>
  </si>
  <si>
    <t>-369 ( -37.3% )</t>
  </si>
  <si>
    <t>-293630 ( -7.0% )</t>
  </si>
  <si>
    <t>-45 ( -7.3% )</t>
  </si>
  <si>
    <t>-482600 ( -12.3% )</t>
  </si>
  <si>
    <t>17 ( 3.0% )</t>
  </si>
  <si>
    <t>-841250 ( -24.5% )</t>
  </si>
  <si>
    <t>-194 ( -32.8% )</t>
  </si>
  <si>
    <t>-1301800 ( -50.3% )</t>
  </si>
  <si>
    <t>-202 ( -50.8% )</t>
  </si>
  <si>
    <t>829230 ( 64.5% )</t>
  </si>
  <si>
    <t>89 ( 45.4% )</t>
  </si>
  <si>
    <t>-522830 ( -24.7% )</t>
  </si>
  <si>
    <t>-61 ( -21.4% )</t>
  </si>
  <si>
    <t>-735800 ( -46.2% )</t>
  </si>
  <si>
    <t>-76 ( -33.9% )</t>
  </si>
  <si>
    <t>264350 ( 30.9% )</t>
  </si>
  <si>
    <t>30 ( 20.3% )</t>
  </si>
  <si>
    <t>-845450 ( -75.4% )</t>
  </si>
  <si>
    <t>-141 ( -79.2% )</t>
  </si>
  <si>
    <t>-127820 ( -46.4% )</t>
  </si>
  <si>
    <t>-19 ( -51.4% )</t>
  </si>
  <si>
    <t>106820 ( 72.4% )</t>
  </si>
  <si>
    <t>12 ( 66.7% )</t>
  </si>
  <si>
    <t>398680 ( 156.8% )</t>
  </si>
  <si>
    <t>41 ( 136.7% )</t>
  </si>
  <si>
    <t>-315700 ( -48.3% )</t>
  </si>
  <si>
    <t>-29 ( -40.8% )</t>
  </si>
  <si>
    <t>-167280 ( -49.6% )</t>
  </si>
  <si>
    <t>-20 ( -47.6% )</t>
  </si>
  <si>
    <t>40800 ( 24.0% )</t>
  </si>
  <si>
    <t>9 ( 40.9% )</t>
  </si>
  <si>
    <t>-166800 ( -79.1% )</t>
  </si>
  <si>
    <t>-26 ( -83.9% )</t>
  </si>
  <si>
    <t>672500 ( 1528.4% )</t>
  </si>
  <si>
    <t>86 ( 1720.0% )</t>
  </si>
  <si>
    <t>-569500 ( -79.5% )</t>
  </si>
  <si>
    <t>-77 ( -84.6% )</t>
  </si>
  <si>
    <t>-102700 ( -69.9% )</t>
  </si>
  <si>
    <t>-7 ( -50.0% )</t>
  </si>
  <si>
    <t>-31000 ( -70.0% )</t>
  </si>
  <si>
    <t>-5 ( -71.4% )</t>
  </si>
  <si>
    <t>4700 ( 35.3% )</t>
  </si>
  <si>
    <t>1 ( 50.0% )</t>
  </si>
  <si>
    <t>0 ( 0.0% )</t>
  </si>
  <si>
    <t>24000 ( 100.0% )</t>
  </si>
  <si>
    <t>3 ( 100.0% )</t>
  </si>
  <si>
    <t>29500 ( 100.0% )</t>
  </si>
  <si>
    <t>4 ( 100.0% )</t>
  </si>
  <si>
    <t>-2500 ( -8.5% )</t>
  </si>
  <si>
    <t>473000 ( 1751.9% )</t>
  </si>
  <si>
    <t>96 ( 2400.0% )</t>
  </si>
  <si>
    <t>-472000 ( -94.4% )</t>
  </si>
  <si>
    <t>-96 ( -96.0% )</t>
  </si>
  <si>
    <t>705000 ( 2517.9% )</t>
  </si>
  <si>
    <t>135 ( 3375.0% )</t>
  </si>
  <si>
    <t>28000 ( 100.0% )</t>
  </si>
  <si>
    <t>-18000 ( -64.3% )</t>
  </si>
  <si>
    <t>-2 ( -50.0% )</t>
  </si>
  <si>
    <t>18000 ( 180.0% )</t>
  </si>
  <si>
    <t>3 ( 150.0% )</t>
  </si>
  <si>
    <t>-22000 ( -78.6% )</t>
  </si>
  <si>
    <t>-4 ( -80.0% )</t>
  </si>
  <si>
    <t>5650 ( 94.2% )</t>
  </si>
  <si>
    <t>1 ( 100.0% )</t>
  </si>
  <si>
    <t>40000 ( 100.0% )</t>
  </si>
  <si>
    <t>7 ( 100.0% )</t>
  </si>
  <si>
    <t>-28000 ( -70.0% )</t>
  </si>
  <si>
    <t>1120000 ( 9333.3% )</t>
  </si>
  <si>
    <t>160 ( 8000.0% )</t>
  </si>
  <si>
    <t>-821000 ( -72.5% )</t>
  </si>
  <si>
    <t>-127 ( -78.4% )</t>
  </si>
  <si>
    <t>525000 ( 100.0% )</t>
  </si>
  <si>
    <t>105 ( 100.0% )</t>
  </si>
  <si>
    <t>325000 ( 61.9% )</t>
  </si>
  <si>
    <t>57 ( 54.3% )</t>
  </si>
  <si>
    <t>1330000 ( 100.0% )</t>
  </si>
  <si>
    <t>266 ( 100.0% )</t>
  </si>
  <si>
    <t>-95000 ( -7.1% )</t>
  </si>
  <si>
    <t>-19 ( -7.1% )</t>
  </si>
  <si>
    <t>200000 ( 100.0% )</t>
  </si>
  <si>
    <t>40 ( 100.0% )</t>
  </si>
  <si>
    <t>430000 ( 100.0% )</t>
  </si>
  <si>
    <t>86 ( 100.0% )</t>
  </si>
  <si>
    <t>1120000 ( 100.0% )</t>
  </si>
  <si>
    <t>160 ( 100.0% )</t>
  </si>
  <si>
    <t>520000 ( 100.0% )</t>
  </si>
  <si>
    <t>104 ( 100.0% )</t>
  </si>
  <si>
    <t>366000 ( 100.0% )</t>
  </si>
  <si>
    <t>61 ( 100.0% )</t>
  </si>
  <si>
    <t>■ '말모이' 일자별 통계정보</t>
    <phoneticPr fontId="2" type="noConversion"/>
  </si>
  <si>
    <t>373400650 ( 3642.2% )</t>
  </si>
  <si>
    <t>41104 ( 2322.3% )</t>
  </si>
  <si>
    <t>49821800 ( 13.0% )</t>
  </si>
  <si>
    <t>5210 ( 12.2% )</t>
  </si>
  <si>
    <t>-375184450 ( -86.6% )</t>
  </si>
  <si>
    <t>-40876 ( -85.0% )</t>
  </si>
  <si>
    <t>-41625000 ( -71.4% )</t>
  </si>
  <si>
    <t>-3875 ( -53.8% )</t>
  </si>
  <si>
    <t>967375250 ( 5804.8% )</t>
  </si>
  <si>
    <t>119125 ( 3574.1% )</t>
  </si>
  <si>
    <t>-68706850 ( -7.0% )</t>
  </si>
  <si>
    <t>-8091 ( -6.6% )</t>
  </si>
  <si>
    <t>302951677 ( 33.1% )</t>
  </si>
  <si>
    <t>24142 ( 21.1% )</t>
  </si>
  <si>
    <t>1633620187 ( 134.1% )</t>
  </si>
  <si>
    <t>184232 ( 133.0% )</t>
  </si>
  <si>
    <t>-1600224 ( -0.1% )</t>
  </si>
  <si>
    <t>1583 ( 0.5% )</t>
  </si>
  <si>
    <t>-1952502150 ( -68.5% )</t>
  </si>
  <si>
    <t>-212297 ( -65.5% )</t>
  </si>
  <si>
    <t>-9751720 ( -1.1% )</t>
  </si>
  <si>
    <t>-140 ( -0.1% )</t>
  </si>
  <si>
    <t>-42929700 ( -4.8% )</t>
  </si>
  <si>
    <t>-4308 ( -3.9% )</t>
  </si>
  <si>
    <t>-125383760 ( -14.8% )</t>
  </si>
  <si>
    <t>-17050 ( -15.8% )</t>
  </si>
  <si>
    <t>232474768 ( 32.3% )</t>
  </si>
  <si>
    <t>18038 ( 19.9% )</t>
  </si>
  <si>
    <t>1327410636 ( 139.4% )</t>
  </si>
  <si>
    <t>151384 ( 139.4% )</t>
  </si>
  <si>
    <t>-112025834 ( -4.9% )</t>
  </si>
  <si>
    <t>-10842 ( -4.2% )</t>
  </si>
  <si>
    <t>-1518702320 ( -70.1% )</t>
  </si>
  <si>
    <t>-167040 ( -67.1% )</t>
  </si>
  <si>
    <t>-56646980 ( -8.7% )</t>
  </si>
  <si>
    <t>-6551 ( -8.0% )</t>
  </si>
  <si>
    <t>-224692200 ( -37.9% )</t>
  </si>
  <si>
    <t>-28341 ( -37.5% )</t>
  </si>
  <si>
    <t>-54131880 ( -14.7% )</t>
  </si>
  <si>
    <t>-6758 ( -14.3% )</t>
  </si>
  <si>
    <t>15740778 ( 5.0% )</t>
  </si>
  <si>
    <t>-1755 ( -4.3% )</t>
  </si>
  <si>
    <t>362446364 ( 110.1% )</t>
  </si>
  <si>
    <t>41459 ( 107.2% )</t>
  </si>
  <si>
    <t>-99779962 ( -14.4% )</t>
  </si>
  <si>
    <t>-11119 ( -13.9% )</t>
  </si>
  <si>
    <t>-406187130 ( -68.6% )</t>
  </si>
  <si>
    <t>-44749 ( -64.8% )</t>
  </si>
  <si>
    <t>2535080 ( 1.4% )</t>
  </si>
  <si>
    <t>947 ( 3.9% )</t>
  </si>
  <si>
    <t>-66725520 ( -35.5% )</t>
  </si>
  <si>
    <t>-3991 ( -15.8% )</t>
  </si>
  <si>
    <t>-49635700 ( -40.9% )</t>
  </si>
  <si>
    <t>-11314 ( -53.3% )</t>
  </si>
  <si>
    <t>11244312 ( 15.7% )</t>
  </si>
  <si>
    <t>720 ( 7.3% )</t>
  </si>
  <si>
    <t>50378323 ( 60.7% )</t>
  </si>
  <si>
    <t>5490 ( 51.7% )</t>
  </si>
  <si>
    <t>24751785 ( 18.5% )</t>
  </si>
  <si>
    <t>2608 ( 16.2% )</t>
  </si>
  <si>
    <t>6728460 ( 4.3% )</t>
  </si>
  <si>
    <t>451 ( 2.4% )</t>
  </si>
  <si>
    <t>-34019110 ( -20.6% )</t>
  </si>
  <si>
    <t>-4795 ( -25.0% )</t>
  </si>
  <si>
    <t>-23615830 ( -18.0% )</t>
  </si>
  <si>
    <t>-2140 ( -14.9% )</t>
  </si>
  <si>
    <t>-80328850 ( -74.9% )</t>
  </si>
  <si>
    <t>-8812 ( -72.0% )</t>
  </si>
  <si>
    <t>6021900 ( 22.3% )</t>
  </si>
  <si>
    <t>476 ( 13.9% )</t>
  </si>
  <si>
    <t>25844610 ( 78.4% )</t>
  </si>
  <si>
    <t>2571 ( 66.0% )</t>
  </si>
  <si>
    <t>-7578430 ( -12.9% )</t>
  </si>
  <si>
    <t>-824 ( -12.7% )</t>
  </si>
  <si>
    <t>-31760230 ( -62.0% )</t>
  </si>
  <si>
    <t>-3015 ( -53.4% )</t>
  </si>
  <si>
    <t>-378550 ( -1.9% )</t>
  </si>
  <si>
    <t>-77 ( -2.9% )</t>
  </si>
  <si>
    <t>-11781400 ( -61.7% )</t>
  </si>
  <si>
    <t>-1422 ( -55.8% )</t>
  </si>
  <si>
    <t>-5202700 ( -71.0% )</t>
  </si>
  <si>
    <t>-808 ( -71.6% )</t>
  </si>
  <si>
    <t>-221800 ( -10.5% )</t>
  </si>
  <si>
    <t>-104 ( -32.5% )</t>
  </si>
  <si>
    <t>1136600 ( 59.8% )</t>
  </si>
  <si>
    <t>180 ( 83.3% )</t>
  </si>
  <si>
    <t>-1494100 ( -49.2% )</t>
  </si>
  <si>
    <t>-218 ( -55.1% )</t>
  </si>
  <si>
    <t>732800 ( 47.5% )</t>
  </si>
  <si>
    <t>197 ( 110.7% )</t>
  </si>
  <si>
    <t>3663000 ( 161.0% )</t>
  </si>
  <si>
    <t>692 ( 184.5% )</t>
  </si>
  <si>
    <t>-2159600 ( -36.4% )</t>
  </si>
  <si>
    <t>-541 ( -50.7% )</t>
  </si>
  <si>
    <t>3438000 ( 91.0% )</t>
  </si>
  <si>
    <t>843 ( 160.3% )</t>
  </si>
  <si>
    <t>-6172700 ( -85.5% )</t>
  </si>
  <si>
    <t>-1196 ( -87.4% )</t>
  </si>
  <si>
    <t>1985700 ( 190.1% )</t>
  </si>
  <si>
    <t>259 ( 149.7% )</t>
  </si>
  <si>
    <t>1652000 ( 54.5% )</t>
  </si>
  <si>
    <t>158 ( 36.6% )</t>
  </si>
  <si>
    <t>-3106700 ( -66.4% )</t>
  </si>
  <si>
    <t>-358 ( -60.7% )</t>
  </si>
  <si>
    <t>-1405800 ( -89.2% )</t>
  </si>
  <si>
    <t>-200 ( -86.2% )</t>
  </si>
  <si>
    <t>50500 ( 29.8% )</t>
  </si>
  <si>
    <t>12 ( 37.5% )</t>
  </si>
  <si>
    <t>482000 ( 100.0% )</t>
  </si>
  <si>
    <t>49 ( 100.0% )</t>
  </si>
  <si>
    <t>2628000 ( 100.0% )</t>
  </si>
  <si>
    <t>292 ( 100.0% )</t>
  </si>
  <si>
    <t>9000 ( 100.0% )</t>
  </si>
  <si>
    <t>118000 ( 100.0% )</t>
  </si>
  <si>
    <t>16 ( 100.0% )</t>
  </si>
  <si>
    <t>1063000 ( 900.8% )</t>
  </si>
  <si>
    <t>167 ( 1043.8% )</t>
  </si>
  <si>
    <t>1563000 ( 132.3% )</t>
  </si>
  <si>
    <t>160 ( 87.4% )</t>
  </si>
  <si>
    <t>-2724000 ( -99.3% )</t>
  </si>
  <si>
    <t>-341 ( -99.4% )</t>
  </si>
  <si>
    <t>9092000 ( 100.0% )</t>
  </si>
  <si>
    <t>1044 ( 100.0% )</t>
  </si>
  <si>
    <t>1225000 ( 100.0% )</t>
  </si>
  <si>
    <t>175 ( 100.0% )</t>
  </si>
  <si>
    <t>3060000 ( 100.0% )</t>
  </si>
  <si>
    <t>306 ( 100.0% )</t>
  </si>
  <si>
    <t>3304000 ( 100.0% )</t>
  </si>
  <si>
    <t>586 ( 100.0% )</t>
  </si>
  <si>
    <t>1530000 ( 100.0% )</t>
  </si>
  <si>
    <t>255 ( 100.0% )</t>
  </si>
  <si>
    <t>500000 ( 100.0% )</t>
  </si>
  <si>
    <t>100 ( 100.0% )</t>
  </si>
  <si>
    <t>1500000 ( 100.0% )</t>
  </si>
  <si>
    <t>225 ( 100.0% )</t>
  </si>
  <si>
    <t>1098000 ( 100.0% )</t>
  </si>
  <si>
    <t>183 ( 100.0% )</t>
  </si>
  <si>
    <t>1062000 ( 100.0% )</t>
  </si>
  <si>
    <t>177 ( 100.0% )</t>
  </si>
  <si>
    <t>2220000 ( 100.0% )</t>
  </si>
  <si>
    <t>390 ( 100.0% )</t>
  </si>
  <si>
    <t>360000 ( 100.0% )</t>
  </si>
  <si>
    <t>60 ( 100.0% )</t>
  </si>
  <si>
    <t>3018000 ( 100.0% )</t>
  </si>
  <si>
    <t>503 ( 100.0% )</t>
  </si>
  <si>
    <t>490000 ( 100.0% )</t>
  </si>
  <si>
    <t>98 ( 100.0% )</t>
  </si>
  <si>
    <t>■ '내안의 그놈' 일자별 통계정보</t>
  </si>
  <si>
    <t>652744600 ( 1812.5% )</t>
  </si>
  <si>
    <t>81055 ( 1937.7% )</t>
  </si>
  <si>
    <t>32825050 ( 4.8% )</t>
  </si>
  <si>
    <t>3622 ( 4.2% )</t>
  </si>
  <si>
    <t>263361628 ( 36.5% )</t>
  </si>
  <si>
    <t>22308 ( 25.1% )</t>
  </si>
  <si>
    <t>997400520 ( 101.3% )</t>
  </si>
  <si>
    <t>112435 ( 101.1% )</t>
  </si>
  <si>
    <t>58082352 ( 2.9% )</t>
  </si>
  <si>
    <t>6189 ( 2.8% )</t>
  </si>
  <si>
    <t>-1253539320 ( -61.4% )</t>
  </si>
  <si>
    <t>-133914 ( -58.3% )</t>
  </si>
  <si>
    <t>-27638780 ( -3.5% )</t>
  </si>
  <si>
    <t>-3211 ( -3.3% )</t>
  </si>
  <si>
    <t>-33913600 ( -4.5% )</t>
  </si>
  <si>
    <t>-2715 ( -2.9% )</t>
  </si>
  <si>
    <t>-105346850 ( -14.5% )</t>
  </si>
  <si>
    <t>-14388 ( -16.0% )</t>
  </si>
  <si>
    <t>189193893 ( 30.5% )</t>
  </si>
  <si>
    <t>14841 ( 19.6% )</t>
  </si>
  <si>
    <t>930653765 ( 115.0% )</t>
  </si>
  <si>
    <t>105568 ( 116.8% )</t>
  </si>
  <si>
    <t>-38305018 ( -2.2% )</t>
  </si>
  <si>
    <t>-4739 ( -2.4% )</t>
  </si>
  <si>
    <t>-1117932870 ( -65.7% )</t>
  </si>
  <si>
    <t>-119666 ( -62.6% )</t>
  </si>
  <si>
    <t>-79402360 ( -13.6% )</t>
  </si>
  <si>
    <t>-9259 ( -12.9% )</t>
  </si>
  <si>
    <t>-264237530 ( -52.4% )</t>
  </si>
  <si>
    <t>-32456 ( -52.1% )</t>
  </si>
  <si>
    <t>-57712120 ( -24.1% )</t>
  </si>
  <si>
    <t>-7031 ( -23.6% )</t>
  </si>
  <si>
    <t>2519122 ( 1.4% )</t>
  </si>
  <si>
    <t>-1914 ( -8.4% )</t>
  </si>
  <si>
    <t>125790076 ( 68.1% )</t>
  </si>
  <si>
    <t>14458 ( 69.2% )</t>
  </si>
  <si>
    <t>-36432578 ( -11.7% )</t>
  </si>
  <si>
    <t>-4121 ( -11.7% )</t>
  </si>
  <si>
    <t>-159425760 ( -58.2% )</t>
  </si>
  <si>
    <t>-16936 ( -54.2% )</t>
  </si>
  <si>
    <t>7568610 ( 6.6% )</t>
  </si>
  <si>
    <t>1120 ( 7.8% )</t>
  </si>
  <si>
    <t>-104442540 ( -85.4% )</t>
  </si>
  <si>
    <t>-12534 ( -81.2% )</t>
  </si>
  <si>
    <t>-7100110 ( -39.8% )</t>
  </si>
  <si>
    <t>-1440 ( -49.7% )</t>
  </si>
  <si>
    <t>3021940 ( 28.2% )</t>
  </si>
  <si>
    <t>362 ( 24.9% )</t>
  </si>
  <si>
    <t>1042230 ( 7.6% )</t>
  </si>
  <si>
    <t>89 ( 4.9% )</t>
  </si>
  <si>
    <t>-483720 ( -3.3% )</t>
  </si>
  <si>
    <t>-39 ( -2.0% )</t>
  </si>
  <si>
    <t>707330 ( 4.9% )</t>
  </si>
  <si>
    <t>127 ( 6.8% )</t>
  </si>
  <si>
    <t>-10646960 ( -70.9% )</t>
  </si>
  <si>
    <t>-1455 ( -73.0% )</t>
  </si>
  <si>
    <t>-957800 ( -21.9% )</t>
  </si>
  <si>
    <t>-122 ( -22.6% )</t>
  </si>
  <si>
    <t>-2541300 ( -74.6% )</t>
  </si>
  <si>
    <t>-307 ( -73.6% )</t>
  </si>
  <si>
    <t>171400 ( 19.8% )</t>
  </si>
  <si>
    <t>8 ( 7.3% )</t>
  </si>
  <si>
    <t>876800 ( 84.6% )</t>
  </si>
  <si>
    <t>117 ( 99.2% )</t>
  </si>
  <si>
    <t>-481700 ( -25.2% )</t>
  </si>
  <si>
    <t>-66 ( -28.1% )</t>
  </si>
  <si>
    <t>-832100 ( -58.1% )</t>
  </si>
  <si>
    <t>-92 ( -54.4% )</t>
  </si>
  <si>
    <t>347100 ( 57.9% )</t>
  </si>
  <si>
    <t>44 ( 57.1% )</t>
  </si>
  <si>
    <t>2698150 ( 285.1% )</t>
  </si>
  <si>
    <t>285 ( 235.5% )</t>
  </si>
  <si>
    <t>-1669650 ( -45.8% )</t>
  </si>
  <si>
    <t>-163 ( -40.1% )</t>
  </si>
  <si>
    <t>-1674000 ( -84.8% )</t>
  </si>
  <si>
    <t>-184 ( -75.7% )</t>
  </si>
  <si>
    <t>143600 ( 47.7% )</t>
  </si>
  <si>
    <t>14 ( 23.7% )</t>
  </si>
  <si>
    <t>175400 ( 39.5% )</t>
  </si>
  <si>
    <t>40 ( 54.8% )</t>
  </si>
  <si>
    <t>-16000 ( -2.6% )</t>
  </si>
  <si>
    <t>2 ( 1.8% )</t>
  </si>
  <si>
    <t>-35000 ( -5.8% )</t>
  </si>
  <si>
    <t>-6 ( -5.2% )</t>
  </si>
  <si>
    <t>-2000 ( -0.4% )</t>
  </si>
  <si>
    <t>-62000 ( -10.9% )</t>
  </si>
  <si>
    <t>-8 ( -7.3% )</t>
  </si>
  <si>
    <t>-320000 ( -63.4% )</t>
  </si>
  <si>
    <t>-70 ( -69.3% )</t>
  </si>
  <si>
    <t>95000 ( 100.0% )</t>
  </si>
  <si>
    <t>31 ( 100.0% )</t>
  </si>
  <si>
    <t>2310500 ( 2432.1% )</t>
  </si>
  <si>
    <t>436 ( 1406.5% )</t>
  </si>
  <si>
    <t>-2105500 ( -87.5% )</t>
  </si>
  <si>
    <t>-407 ( -87.2% )</t>
  </si>
  <si>
    <t>1501000 ( 500.3% )</t>
  </si>
  <si>
    <t>290 ( 483.3% )</t>
  </si>
  <si>
    <t>5000 ( 100.0% )</t>
  </si>
  <si>
    <t>32000 ( 100.0% )</t>
  </si>
  <si>
    <t>■ '주먹왕 랄프 2: 인터넷 속으로' 일자별 통계정보</t>
  </si>
  <si>
    <t>942808600 ( 100.0% )</t>
  </si>
  <si>
    <t>125882 ( 100.0% )</t>
  </si>
  <si>
    <t>1759545 ( 0.2% )</t>
  </si>
  <si>
    <t>-11527 ( -9.2% )</t>
  </si>
  <si>
    <t>1255433458 ( 132.9% )</t>
  </si>
  <si>
    <t>153971 ( 134.6% )</t>
  </si>
  <si>
    <t>-178936803 ( -8.1% )</t>
  </si>
  <si>
    <t>-23101 ( -8.6% )</t>
  </si>
  <si>
    <t>-1477420850 ( -73.1% )</t>
  </si>
  <si>
    <t>-173807 ( -70.9% )</t>
  </si>
  <si>
    <t>20122550 ( 3.7% )</t>
  </si>
  <si>
    <t>3993 ( 5.6% )</t>
  </si>
  <si>
    <t>-98207300 ( -17.4% )</t>
  </si>
  <si>
    <t>-12609 ( -16.7% )</t>
  </si>
  <si>
    <t>-39163350 ( -8.4% )</t>
  </si>
  <si>
    <t>-4607 ( -7.3% )</t>
  </si>
  <si>
    <t>49148079 ( 11.5% )</t>
  </si>
  <si>
    <t>1170 ( 2.0% )</t>
  </si>
  <si>
    <t>629146067 ( 132.3% )</t>
  </si>
  <si>
    <t>75564 ( 127.3% )</t>
  </si>
  <si>
    <t>-104394416 ( -9.5% )</t>
  </si>
  <si>
    <t>-13118 ( -9.7% )</t>
  </si>
  <si>
    <t>-748840680 ( -74.9% )</t>
  </si>
  <si>
    <t>-87898 ( -72.2% )</t>
  </si>
  <si>
    <t>13471970 ( 5.4% )</t>
  </si>
  <si>
    <t>2424 ( 7.1% )</t>
  </si>
  <si>
    <t>-45388790 ( -17.1% )</t>
  </si>
  <si>
    <t>-6423 ( -17.7% )</t>
  </si>
  <si>
    <t>-53762760 ( -24.5% )</t>
  </si>
  <si>
    <t>-6993 ( -23.4% )</t>
  </si>
  <si>
    <t>24951610 ( 15.1% )</t>
  </si>
  <si>
    <t>1365 ( 6.0% )</t>
  </si>
  <si>
    <t>283326340 ( 148.6% )</t>
  </si>
  <si>
    <t>34785 ( 143.2% )</t>
  </si>
  <si>
    <t>859050 ( 0.2% )</t>
  </si>
  <si>
    <t>-830 ( -1.4% )</t>
  </si>
  <si>
    <t>-356048540 ( -75.0% )</t>
  </si>
  <si>
    <t>-42113 ( -72.3% )</t>
  </si>
  <si>
    <t>11293320 ( 9.5% )</t>
  </si>
  <si>
    <t>1811 ( 11.2% )</t>
  </si>
  <si>
    <t>-45160340 ( -34.7% )</t>
  </si>
  <si>
    <t>-5919 ( -33.0% )</t>
  </si>
  <si>
    <t>748700 ( 0.9% )</t>
  </si>
  <si>
    <t>141 ( 1.2% )</t>
  </si>
  <si>
    <t>-2237430 ( -2.6% )</t>
  </si>
  <si>
    <t>-1274 ( -10.5% )</t>
  </si>
  <si>
    <t>150996090 ( 180.8% )</t>
  </si>
  <si>
    <t>18508 ( 170.0% )</t>
  </si>
  <si>
    <t>3308440 ( 1.4% )</t>
  </si>
  <si>
    <t>339 ( 1.2% )</t>
  </si>
  <si>
    <t>-189288000 ( -79.6% )</t>
  </si>
  <si>
    <t>-23048 ( -77.5% )</t>
  </si>
  <si>
    <t>5472900 ( 11.3% )</t>
  </si>
  <si>
    <t>904 ( 13.5% )</t>
  </si>
  <si>
    <t>-43382080 ( -80.3% )</t>
  </si>
  <si>
    <t>-5964 ( -78.6% )</t>
  </si>
  <si>
    <t>-4235530 ( -39.9% )</t>
  </si>
  <si>
    <t>-675 ( -41.5% )</t>
  </si>
  <si>
    <t>-1481920 ( -23.2% )</t>
  </si>
  <si>
    <t>-366 ( -38.5% )</t>
  </si>
  <si>
    <t>3270560 ( 66.8% )</t>
  </si>
  <si>
    <t>452 ( 77.3% )</t>
  </si>
  <si>
    <t>1920740 ( 23.5% )</t>
  </si>
  <si>
    <t>207 ( 20.0% )</t>
  </si>
  <si>
    <t>1046750 ( 10.4% )</t>
  </si>
  <si>
    <t>45 ( 3.6% )</t>
  </si>
  <si>
    <t>-8199980 ( -73.6% )</t>
  </si>
  <si>
    <t>-959 ( -74.4% )</t>
  </si>
  <si>
    <t>-712520 ( -24.3% )</t>
  </si>
  <si>
    <t>-60 ( -18.2% )</t>
  </si>
  <si>
    <t>-1936980 ( -87.1% )</t>
  </si>
  <si>
    <t>-228 ( -84.4% )</t>
  </si>
  <si>
    <t>-14350 ( -5.0% )</t>
  </si>
  <si>
    <t>-10 ( -23.8% )</t>
  </si>
  <si>
    <t>1085000 ( 398.7% )</t>
  </si>
  <si>
    <t>125 ( 390.6% )</t>
  </si>
  <si>
    <t>40650 ( 3.0% )</t>
  </si>
  <si>
    <t>3 ( 1.9% )</t>
  </si>
  <si>
    <t>-1074800 ( -76.9% )</t>
  </si>
  <si>
    <t>-120 ( -75.0% )</t>
  </si>
  <si>
    <t>224480 ( 69.5% )</t>
  </si>
  <si>
    <t>52 ( 130.0% )</t>
  </si>
  <si>
    <t>867150 ( 158.4% )</t>
  </si>
  <si>
    <t>99 ( 107.6% )</t>
  </si>
  <si>
    <t>-416630 ( -29.5% )</t>
  </si>
  <si>
    <t>-1 ( -0.5% )</t>
  </si>
  <si>
    <t>-642000 ( -64.3% )</t>
  </si>
  <si>
    <t>-121 ( -63.7% )</t>
  </si>
  <si>
    <t>-56000 ( -15.7% )</t>
  </si>
  <si>
    <t>-9 ( -13.0% )</t>
  </si>
  <si>
    <t>45000 ( 15.0% )</t>
  </si>
  <si>
    <t>9 ( 15.0% )</t>
  </si>
  <si>
    <t>-95000 ( -27.5% )</t>
  </si>
  <si>
    <t>-19 ( -27.5% )</t>
  </si>
  <si>
    <t>15000 ( 6.0% )</t>
  </si>
  <si>
    <t>3 ( 6.0% )</t>
  </si>
  <si>
    <t>-15000 ( -5.7% )</t>
  </si>
  <si>
    <t>-3 ( -5.7% )</t>
  </si>
  <si>
    <t>266000 ( 106.4% )</t>
  </si>
  <si>
    <t>42 ( 84.0% )</t>
  </si>
  <si>
    <t>-266000 ( -51.6% )</t>
  </si>
  <si>
    <t>-42 ( -45.7% )</t>
  </si>
  <si>
    <t>101000 ( 40.4% )</t>
  </si>
  <si>
    <t>17 ( 34.0% )</t>
  </si>
  <si>
    <t>-101000 ( -28.8% )</t>
  </si>
  <si>
    <t>-17 ( -25.4% )</t>
  </si>
  <si>
    <t>45000 ( 18.0% )</t>
  </si>
  <si>
    <t>9 ( 18.0% )</t>
  </si>
  <si>
    <t>-45000 ( -15.3% )</t>
  </si>
  <si>
    <t>-9 ( -15.3% )</t>
  </si>
  <si>
    <t>48000 ( 19.2% )</t>
  </si>
  <si>
    <t>7 ( 14.0% )</t>
  </si>
  <si>
    <t>55000 ( 100.0% )</t>
  </si>
  <si>
    <t>11 ( 100.0% )</t>
  </si>
  <si>
    <t>■ '아쿠아맨' 일자별 통계정보</t>
  </si>
  <si>
    <t>1184647100 ( 2631.3% )</t>
  </si>
  <si>
    <t>140124 ( 2664.5% )</t>
  </si>
  <si>
    <t>-120814000 ( -9.8% )</t>
  </si>
  <si>
    <t>-12747 ( -8.8% )</t>
  </si>
  <si>
    <t>523784031 ( 47.2% )</t>
  </si>
  <si>
    <t>49170 ( 37.1% )</t>
  </si>
  <si>
    <t>1868429136 ( 114.4% )</t>
  </si>
  <si>
    <t>196875 ( 108.3% )</t>
  </si>
  <si>
    <t>242722933 ( 6.9% )</t>
  </si>
  <si>
    <t>27072 ( 7.1% )</t>
  </si>
  <si>
    <t>-843308300 ( -22.5% )</t>
  </si>
  <si>
    <t>-61995 ( -15.3% )</t>
  </si>
  <si>
    <t>1660656550 ( 57.3% )</t>
  </si>
  <si>
    <t>164182 ( 47.8% )</t>
  </si>
  <si>
    <t>-3481373050 ( -76.3% )</t>
  </si>
  <si>
    <t>-340548 ( -67.0% )</t>
  </si>
  <si>
    <t>-153265650 ( -14.2% )</t>
  </si>
  <si>
    <t>-54051 ( -32.3% )</t>
  </si>
  <si>
    <t>441992237 ( 47.7% )</t>
  </si>
  <si>
    <t>38824 ( 34.3% )</t>
  </si>
  <si>
    <t>1537358959 ( 112.3% )</t>
  </si>
  <si>
    <t>170705 ( 112.2% )</t>
  </si>
  <si>
    <t>211570904 ( 7.3% )</t>
  </si>
  <si>
    <t>23767 ( 7.4% )</t>
  </si>
  <si>
    <t>-789396550 ( -25.3% )</t>
  </si>
  <si>
    <t>-58943 ( -17.0% )</t>
  </si>
  <si>
    <t>1154385750 ( 49.6% )</t>
  </si>
  <si>
    <t>96412 ( 33.5% )</t>
  </si>
  <si>
    <t>-2608451000 ( -74.9% )</t>
  </si>
  <si>
    <t>-279017 ( -72.6% )</t>
  </si>
  <si>
    <t>-208965100 ( -23.9% )</t>
  </si>
  <si>
    <t>-23690 ( -22.5% )</t>
  </si>
  <si>
    <t>184428471 ( 27.7% )</t>
  </si>
  <si>
    <t>12991 ( 16.0% )</t>
  </si>
  <si>
    <t>1055364156 ( 124.2% )</t>
  </si>
  <si>
    <t>114834 ( 121.7% )</t>
  </si>
  <si>
    <t>-289450177 ( -15.2% )</t>
  </si>
  <si>
    <t>-30918 ( -14.8% )</t>
  </si>
  <si>
    <t>-1114197400 ( -69.0% )</t>
  </si>
  <si>
    <t>-117627 ( -66.0% )</t>
  </si>
  <si>
    <t>-12925050 ( -2.6% )</t>
  </si>
  <si>
    <t>-1419 ( -2.3% )</t>
  </si>
  <si>
    <t>-148901900 ( -30.5% )</t>
  </si>
  <si>
    <t>-18445 ( -31.1% )</t>
  </si>
  <si>
    <t>-60373590 ( -17.8% )</t>
  </si>
  <si>
    <t>-7419 ( -18.2% )</t>
  </si>
  <si>
    <t>74987941 ( 26.9% )</t>
  </si>
  <si>
    <t>5345 ( 16.0% )</t>
  </si>
  <si>
    <t>361590113 ( 102.2% )</t>
  </si>
  <si>
    <t>38898 ( 100.4% )</t>
  </si>
  <si>
    <t>-112201904 ( -15.7% )</t>
  </si>
  <si>
    <t>-11805 ( -15.2% )</t>
  </si>
  <si>
    <t>-427586270 ( -70.9% )</t>
  </si>
  <si>
    <t>-44729 ( -67.9% )</t>
  </si>
  <si>
    <t>-2749290 ( -1.6% )</t>
  </si>
  <si>
    <t>-41 ( -0.2% )</t>
  </si>
  <si>
    <t>-58662780 ( -33.9% )</t>
  </si>
  <si>
    <t>-7363 ( -35.0% )</t>
  </si>
  <si>
    <t>-60302280 ( -52.7% )</t>
  </si>
  <si>
    <t>-6917 ( -50.5% )</t>
  </si>
  <si>
    <t>13592490 ( 25.2% )</t>
  </si>
  <si>
    <t>792 ( 11.7% )</t>
  </si>
  <si>
    <t>68303970 ( 101.0% )</t>
  </si>
  <si>
    <t>7724 ( 102.0% )</t>
  </si>
  <si>
    <t>-21775940 ( -16.0% )</t>
  </si>
  <si>
    <t>-2330 ( -15.2% )</t>
  </si>
  <si>
    <t>-76562310 ( -67.1% )</t>
  </si>
  <si>
    <t>-8276 ( -63.8% )</t>
  </si>
  <si>
    <t>-1342430 ( -3.6% )</t>
  </si>
  <si>
    <t>-122 ( -2.6% )</t>
  </si>
  <si>
    <t>-25470040 ( -70.3% )</t>
  </si>
  <si>
    <t>-3197 ( -69.9% )</t>
  </si>
  <si>
    <t>-1111470 ( -10.3% )</t>
  </si>
  <si>
    <t>-122 ( -8.9% )</t>
  </si>
  <si>
    <t>-1673780 ( -17.3% )</t>
  </si>
  <si>
    <t>-312 ( -24.9% )</t>
  </si>
  <si>
    <t>9028030 ( 113.2% )</t>
  </si>
  <si>
    <t>1003 ( 106.6% )</t>
  </si>
  <si>
    <t>-3357530 ( -19.7% )</t>
  </si>
  <si>
    <t>-360 ( -18.5% )</t>
  </si>
  <si>
    <t>-6871490 ( -50.4% )</t>
  </si>
  <si>
    <t>-729 ( -46.0% )</t>
  </si>
  <si>
    <t>-1001910 ( -14.8% )</t>
  </si>
  <si>
    <t>-93 ( -10.9% )</t>
  </si>
  <si>
    <t>-5523580 ( -95.7% )</t>
  </si>
  <si>
    <t>-731 ( -95.9% )</t>
  </si>
  <si>
    <t>31800 ( 12.8% )</t>
  </si>
  <si>
    <t>5 ( 16.1% )</t>
  </si>
  <si>
    <t>200700 ( 71.5% )</t>
  </si>
  <si>
    <t>18 ( 50.0% )</t>
  </si>
  <si>
    <t>470500 ( 97.7% )</t>
  </si>
  <si>
    <t>53 ( 98.1% )</t>
  </si>
  <si>
    <t>-380000 ( -39.9% )</t>
  </si>
  <si>
    <t>-41 ( -38.3% )</t>
  </si>
  <si>
    <t>244000 ( 42.7% )</t>
  </si>
  <si>
    <t>31 ( 47.0% )</t>
  </si>
  <si>
    <t>-265000 ( -32.5% )</t>
  </si>
  <si>
    <t>-33 ( -34.0% )</t>
  </si>
  <si>
    <t>-16000 ( -2.9% )</t>
  </si>
  <si>
    <t>-6 ( -9.4% )</t>
  </si>
  <si>
    <t>-380000 ( -71.0% )</t>
  </si>
  <si>
    <t>-39 ( -67.2% )</t>
  </si>
  <si>
    <t>39000 ( 25.2% )</t>
  </si>
  <si>
    <t>4 ( 21.1% )</t>
  </si>
  <si>
    <t>130500 ( 67.3% )</t>
  </si>
  <si>
    <t>17 ( 73.9% )</t>
  </si>
  <si>
    <t>112500 ( 34.7% )</t>
  </si>
  <si>
    <t>11 ( 27.5% )</t>
  </si>
  <si>
    <t>-268000 ( -61.3% )</t>
  </si>
  <si>
    <t>-28 ( -54.9% )</t>
  </si>
  <si>
    <t>265000 ( 156.8% )</t>
  </si>
  <si>
    <t>33 ( 143.5% )</t>
  </si>
  <si>
    <t>1215000 ( 280.0% )</t>
  </si>
  <si>
    <t>138 ( 246.4% )</t>
  </si>
  <si>
    <t>■ '보헤미안 랩소디' 일자별 통계정보</t>
  </si>
  <si>
    <t>756095950 ( 18463.9% )</t>
  </si>
  <si>
    <t>109922 ( 19805.8% )</t>
  </si>
  <si>
    <t>-194311600 ( -25.6% )</t>
  </si>
  <si>
    <t>-45005 ( -40.7% )</t>
  </si>
  <si>
    <t>382206552 ( 67.5% )</t>
  </si>
  <si>
    <t>34083 ( 52.1% )</t>
  </si>
  <si>
    <t>1135840459 ( 119.8% )</t>
  </si>
  <si>
    <t>120345 ( 120.9% )</t>
  </si>
  <si>
    <t>-181696311 ( -8.7% )</t>
  </si>
  <si>
    <t>-16002 ( -7.3% )</t>
  </si>
  <si>
    <t>-1216876000 ( -64.0% )</t>
  </si>
  <si>
    <t>-123762 ( -60.7% )</t>
  </si>
  <si>
    <t>37929100 ( 5.5% )</t>
  </si>
  <si>
    <t>4904 ( 6.1% )</t>
  </si>
  <si>
    <t>43558250 ( 6.0% )</t>
  </si>
  <si>
    <t>4834 ( 5.7% )</t>
  </si>
  <si>
    <t>39895850 ( 5.2% )</t>
  </si>
  <si>
    <t>4823 ( 5.4% )</t>
  </si>
  <si>
    <t>594308287 ( 73.7% )</t>
  </si>
  <si>
    <t>55420 ( 58.5% )</t>
  </si>
  <si>
    <t>1597034764 ( 114.0% )</t>
  </si>
  <si>
    <t>172209 ( 114.7% )</t>
  </si>
  <si>
    <t>-126705001 ( -4.2% )</t>
  </si>
  <si>
    <t>-10674 ( -3.3% )</t>
  </si>
  <si>
    <t>-1941251300 ( -67.6% )</t>
  </si>
  <si>
    <t>-202282 ( -64.9% )</t>
  </si>
  <si>
    <t>72423950 ( 7.8% )</t>
  </si>
  <si>
    <t>9661 ( 8.8% )</t>
  </si>
  <si>
    <t>-31950400 ( -3.2% )</t>
  </si>
  <si>
    <t>138 ( 0.1% )</t>
  </si>
  <si>
    <t>66475400 ( 6.8% )</t>
  </si>
  <si>
    <t>11969 ( 10.0% )</t>
  </si>
  <si>
    <t>486087710 ( 46.9% )</t>
  </si>
  <si>
    <t>39324 ( 30.0% )</t>
  </si>
  <si>
    <t>1427190700 ( 93.7% )</t>
  </si>
  <si>
    <t>155906 ( 91.5% )</t>
  </si>
  <si>
    <t>-84786060 ( -2.9% )</t>
  </si>
  <si>
    <t>-7053 ( -2.2% )</t>
  </si>
  <si>
    <t>-1762129950 ( -61.5% )</t>
  </si>
  <si>
    <t>-183719 ( -57.5% )</t>
  </si>
  <si>
    <t>-49905000 ( -4.5% )</t>
  </si>
  <si>
    <t>-5121 ( -3.8% )</t>
  </si>
  <si>
    <t>173780200 ( 16.5% )</t>
  </si>
  <si>
    <t>22796 ( 17.5% )</t>
  </si>
  <si>
    <t>-155624900 ( -12.7% )</t>
  </si>
  <si>
    <t>-21606 ( -14.1% )</t>
  </si>
  <si>
    <t>627708568 ( 58.6% )</t>
  </si>
  <si>
    <t>57979 ( 44.0% )</t>
  </si>
  <si>
    <t>1912969078 ( 112.6% )</t>
  </si>
  <si>
    <t>205860 ( 108.6% )</t>
  </si>
  <si>
    <t>-280647246 ( -7.8% )</t>
  </si>
  <si>
    <t>-25226 ( -6.4% )</t>
  </si>
  <si>
    <t>-2235039450 ( -67.1% )</t>
  </si>
  <si>
    <t>-234327 ( -63.3% )</t>
  </si>
  <si>
    <t>-47961250 ( -4.4% )</t>
  </si>
  <si>
    <t>-4116 ( -3.0% )</t>
  </si>
  <si>
    <t>257851700 ( 24.6% )</t>
  </si>
  <si>
    <t>71073 ( 53.9% )</t>
  </si>
  <si>
    <t>-286535250 ( -21.9% )</t>
  </si>
  <si>
    <t>-75426 ( -37.2% )</t>
  </si>
  <si>
    <t>594656054 ( 58.3% )</t>
  </si>
  <si>
    <t>56551 ( 44.4% )</t>
  </si>
  <si>
    <t>1381968030 ( 85.6% )</t>
  </si>
  <si>
    <t>144017 ( 78.3% )</t>
  </si>
  <si>
    <t>-353841984 ( -11.8% )</t>
  </si>
  <si>
    <t>-35812 ( -10.9% )</t>
  </si>
  <si>
    <t>-1737533250 ( -65.7% )</t>
  </si>
  <si>
    <t>-180518 ( -61.8% )</t>
  </si>
  <si>
    <t>6307150 ( 0.7% )</t>
  </si>
  <si>
    <t>2280 ( 2.0% )</t>
  </si>
  <si>
    <t>-129337100 ( -14.2% )</t>
  </si>
  <si>
    <t>-17815 ( -15.6% )</t>
  </si>
  <si>
    <t>-25582250 ( -3.3% )</t>
  </si>
  <si>
    <t>-2117 ( -2.2% )</t>
  </si>
  <si>
    <t>338660323 ( 44.8% )</t>
  </si>
  <si>
    <t>28040 ( 29.8% )</t>
  </si>
  <si>
    <t>1187764145 ( 108.4% )</t>
  </si>
  <si>
    <t>128704 ( 105.4% )</t>
  </si>
  <si>
    <t>-253310168 ( -11.1% )</t>
  </si>
  <si>
    <t>-26470 ( -10.6% )</t>
  </si>
  <si>
    <t>-1401845900 ( -69.1% )</t>
  </si>
  <si>
    <t>-146298 ( -65.2% )</t>
  </si>
  <si>
    <t>35828000 ( 5.7% )</t>
  </si>
  <si>
    <t>5485 ( 7.0% )</t>
  </si>
  <si>
    <t>-2794400 ( -0.4% )</t>
  </si>
  <si>
    <t>-536 ( -0.6% )</t>
  </si>
  <si>
    <t>9405000 ( 1.4% )</t>
  </si>
  <si>
    <t>969 ( 1.2% )</t>
  </si>
  <si>
    <t>335623950 ( 50.1% )</t>
  </si>
  <si>
    <t>30194 ( 36.0% )</t>
  </si>
  <si>
    <t>1040307600 ( 103.4% )</t>
  </si>
  <si>
    <t>112892 ( 98.9% )</t>
  </si>
  <si>
    <t>-138087500 ( -6.7% )</t>
  </si>
  <si>
    <t>-14464 ( -6.4% )</t>
  </si>
  <si>
    <t>-1274722300 ( -66.8% )</t>
  </si>
  <si>
    <t>-133410 ( -62.8% )</t>
  </si>
  <si>
    <t>53898300 ( 8.5% )</t>
  </si>
  <si>
    <t>7511 ( 9.5% )</t>
  </si>
  <si>
    <t>-342132050 ( -49.8% )</t>
  </si>
  <si>
    <t>-43104 ( -49.7% )</t>
  </si>
  <si>
    <t>10280400 ( 3.0% )</t>
  </si>
  <si>
    <t>858 ( 2.0% )</t>
  </si>
  <si>
    <t>163048900 ( 45.9% )</t>
  </si>
  <si>
    <t>14409 ( 32.4% )</t>
  </si>
  <si>
    <t>565123850 ( 109.0% )</t>
  </si>
  <si>
    <t>59709 ( 101.5% )</t>
  </si>
  <si>
    <t>82245600 ( 7.6% )</t>
  </si>
  <si>
    <t>9786 ( 8.3% )</t>
  </si>
  <si>
    <t>-191766900 ( -16.4% )</t>
  </si>
  <si>
    <t>-8420 ( -6.6% )</t>
  </si>
  <si>
    <t>321743500 ( 33.0% )</t>
  </si>
  <si>
    <t>24026 ( 20.0% )</t>
  </si>
  <si>
    <t>-921979150 ( -71.1% )</t>
  </si>
  <si>
    <t>-90271 ( -62.7% )</t>
  </si>
  <si>
    <t>-29677650 ( -7.9% )</t>
  </si>
  <si>
    <t>-11401 ( -21.2% )</t>
  </si>
  <si>
    <t>131551308 ( 38.2% )</t>
  </si>
  <si>
    <t>10102 ( 23.9% )</t>
  </si>
  <si>
    <t>398917565 ( 83.8% )</t>
  </si>
  <si>
    <t>43317 ( 82.7% )</t>
  </si>
  <si>
    <t>107678377 ( 12.3% )</t>
  </si>
  <si>
    <t>12410 ( 13.0% )</t>
  </si>
  <si>
    <t>-123890450 ( -12.6% )</t>
  </si>
  <si>
    <t>-1658 ( -1.5% )</t>
  </si>
  <si>
    <t>378199650 ( 44.1% )</t>
  </si>
  <si>
    <t>29431 ( 27.6% )</t>
  </si>
  <si>
    <t>-906411500 ( -73.3% )</t>
  </si>
  <si>
    <t>-94925 ( -69.9% )</t>
  </si>
  <si>
    <t>-62832250 ( -19.0% )</t>
  </si>
  <si>
    <t>-8065 ( -19.7% )</t>
  </si>
  <si>
    <t>83694200 ( 31.3% )</t>
  </si>
  <si>
    <t>5639 ( 17.1% )</t>
  </si>
  <si>
    <t>331857250 ( 94.5% )</t>
  </si>
  <si>
    <t>36024 ( 93.5% )</t>
  </si>
  <si>
    <t>-112076350 ( -16.4% )</t>
  </si>
  <si>
    <t>-11547 ( -15.5% )</t>
  </si>
  <si>
    <t>-357845300 ( -62.7% )</t>
  </si>
  <si>
    <t>-36690 ( -58.2% )</t>
  </si>
  <si>
    <t>16404600 ( 7.7% )</t>
  </si>
  <si>
    <t>2100 ( 8.0% )</t>
  </si>
  <si>
    <t>-73962800 ( -32.2% )</t>
  </si>
  <si>
    <t>-9446 ( -33.2% )</t>
  </si>
  <si>
    <t>-14426800 ( -9.3% )</t>
  </si>
  <si>
    <t>-1915 ( -10.1% )</t>
  </si>
  <si>
    <t>37358650 ( 26.5% )</t>
  </si>
  <si>
    <t>2387 ( 14.0% )</t>
  </si>
  <si>
    <t>146881360 ( 82.3% )</t>
  </si>
  <si>
    <t>15623 ( 80.4% )</t>
  </si>
  <si>
    <t>-47769480 ( -14.7% )</t>
  </si>
  <si>
    <t>-5032 ( -14.4% )</t>
  </si>
  <si>
    <t>-174686760 ( -62.9% )</t>
  </si>
  <si>
    <t>-17524 ( -58.4% )</t>
  </si>
  <si>
    <t>8054730 ( 7.8% )</t>
  </si>
  <si>
    <t>930 ( 7.4% )</t>
  </si>
  <si>
    <t>-33277060 ( -30.0% )</t>
  </si>
  <si>
    <t>-4122 ( -30.7% )</t>
  </si>
  <si>
    <t>-20820250 ( -26.8% )</t>
  </si>
  <si>
    <t>-2362 ( -25.4% )</t>
  </si>
  <si>
    <t>20968990 ( 36.9% )</t>
  </si>
  <si>
    <t>1575 ( 22.6% )</t>
  </si>
  <si>
    <t>72795480 ( 93.5% )</t>
  </si>
  <si>
    <t>7645 ( 89.6% )</t>
  </si>
  <si>
    <t>-19702830 ( -13.1% )</t>
  </si>
  <si>
    <t>-1962 ( -12.1% )</t>
  </si>
  <si>
    <t>-78026720 ( -59.6% )</t>
  </si>
  <si>
    <t>-6753 ( -47.5% )</t>
  </si>
  <si>
    <t>6205730 ( 11.7% )</t>
  </si>
  <si>
    <t>904 ( 12.1% )</t>
  </si>
  <si>
    <t>-23308680 ( -39.4% )</t>
  </si>
  <si>
    <t>-3327 ( -39.8% )</t>
  </si>
  <si>
    <t>4801830 ( 13.4% )</t>
  </si>
  <si>
    <t>854 ( 17.0% )</t>
  </si>
  <si>
    <t>-3881640 ( -9.6% )</t>
  </si>
  <si>
    <t>-828 ( -14.1% )</t>
  </si>
  <si>
    <t>12925720 ( 35.2% )</t>
  </si>
  <si>
    <t>1545 ( 30.5% )</t>
  </si>
  <si>
    <t>-8702720 ( -17.5% )</t>
  </si>
  <si>
    <t>-1128 ( -17.1% )</t>
  </si>
  <si>
    <t>-13172670 ( -32.2% )</t>
  </si>
  <si>
    <t>-1357 ( -24.8% )</t>
  </si>
  <si>
    <t>9113760 ( 32.8% )</t>
  </si>
  <si>
    <t>1544 ( 37.5% )</t>
  </si>
  <si>
    <t>-28237240 ( -76.5% )</t>
  </si>
  <si>
    <t>-4460 ( -78.7% )</t>
  </si>
  <si>
    <t>-1294400 ( -14.9% )</t>
  </si>
  <si>
    <t>-150 ( -12.4% )</t>
  </si>
  <si>
    <t>3236250 ( 43.9% )</t>
  </si>
  <si>
    <t>187 ( 17.7% )</t>
  </si>
  <si>
    <t>3544900 ( 33.4% )</t>
  </si>
  <si>
    <t>415 ( 33.4% )</t>
  </si>
  <si>
    <t>-484590 ( -3.4% )</t>
  </si>
  <si>
    <t>98 ( 5.9% )</t>
  </si>
  <si>
    <t>2120740 ( 15.5% )</t>
  </si>
  <si>
    <t>260 ( 14.8% )</t>
  </si>
  <si>
    <t>-3299500 ( -20.9% )</t>
  </si>
  <si>
    <t>-435 ( -21.6% )</t>
  </si>
  <si>
    <t>-762300 ( -6.1% )</t>
  </si>
  <si>
    <t>-57 ( -3.6% )</t>
  </si>
  <si>
    <t>-5354700 ( -45.7% )</t>
  </si>
  <si>
    <t>-704 ( -46.2% )</t>
  </si>
  <si>
    <t>197000 ( 3.1% )</t>
  </si>
  <si>
    <t>-52 ( -6.3% )</t>
  </si>
  <si>
    <t>1422950 ( 21.7% )</t>
  </si>
  <si>
    <t>199 ( 25.9% )</t>
  </si>
  <si>
    <t>-3986450 ( -49.9% )</t>
  </si>
  <si>
    <t>-431 ( -44.6% )</t>
  </si>
  <si>
    <t>-815100 ( -20.4% )</t>
  </si>
  <si>
    <t>-137 ( -25.6% )</t>
  </si>
  <si>
    <t>-503750 ( -15.8% )</t>
  </si>
  <si>
    <t>-36 ( -9.0% )</t>
  </si>
  <si>
    <t>-689950 ( -25.7% )</t>
  </si>
  <si>
    <t>-108 ( -29.8% )</t>
  </si>
  <si>
    <t>-1095800 ( -55.0% )</t>
  </si>
  <si>
    <t>-143 ( -56.1% )</t>
  </si>
  <si>
    <t>2471000 ( 276.1% )</t>
  </si>
  <si>
    <t>252 ( 225.0% )</t>
  </si>
  <si>
    <t>1883600 ( 56.0% )</t>
  </si>
  <si>
    <t>222 ( 61.0% )</t>
  </si>
  <si>
    <t>-3021800 ( -57.6% )</t>
  </si>
  <si>
    <t>-349 ( -59.6% )</t>
  </si>
  <si>
    <t>-1796300 ( -80.6% )</t>
  </si>
  <si>
    <t>-175 ( -73.8% )</t>
  </si>
  <si>
    <t>566980 ( 131.4% )</t>
  </si>
  <si>
    <t>63 ( 101.6% )</t>
  </si>
  <si>
    <t>-549980 ( -55.1% )</t>
  </si>
  <si>
    <t>-61 ( -48.8% )</t>
  </si>
  <si>
    <t>5793000 ( 1291.6% )</t>
  </si>
  <si>
    <t>554 ( 865.6% )</t>
  </si>
  <si>
    <t>-4254000 ( -68.2% )</t>
  </si>
  <si>
    <t>-402 ( -65.0% )</t>
  </si>
  <si>
    <t>1237800 ( 62.3% )</t>
  </si>
  <si>
    <t>126 ( 58.3% )</t>
  </si>
  <si>
    <t>-2658000 ( -82.4% )</t>
  </si>
  <si>
    <t>-269 ( -78.7% )</t>
  </si>
  <si>
    <t>-286300 ( -50.5% )</t>
  </si>
  <si>
    <t>-33 ( -45.2% )</t>
  </si>
  <si>
    <t>1092100 ( 388.6% )</t>
  </si>
  <si>
    <t>149 ( 372.5% )</t>
  </si>
  <si>
    <t>-482300 ( -35.1% )</t>
  </si>
  <si>
    <t>-64 ( -33.9% )</t>
  </si>
  <si>
    <t>-96200 ( -10.8% )</t>
  </si>
  <si>
    <t>-25 ( -20.0% )</t>
  </si>
  <si>
    <t>6032310 ( 759.2% )</t>
  </si>
  <si>
    <t>673 ( 673.0% )</t>
  </si>
  <si>
    <t>-769650 ( -11.3% )</t>
  </si>
  <si>
    <t>-116 ( -15.0% )</t>
  </si>
  <si>
    <t>-1913010 ( -31.6% )</t>
  </si>
  <si>
    <t>-182 ( -27.7% )</t>
  </si>
  <si>
    <t>-930250 ( -22.4% )</t>
  </si>
  <si>
    <t>-9 ( -1.9% )</t>
  </si>
  <si>
    <t>-1360500 ( -42.3% )</t>
  </si>
  <si>
    <t>-238 ( -51.1% )</t>
  </si>
  <si>
    <t>-575200 ( -31.0% )</t>
  </si>
  <si>
    <t>-39 ( -17.1% )</t>
  </si>
  <si>
    <t>193200 ( 15.1% )</t>
  </si>
  <si>
    <t>47 ( 24.9% )</t>
  </si>
  <si>
    <t>152500 ( 10.4% )</t>
  </si>
  <si>
    <t>23 ( 9.7% )</t>
  </si>
  <si>
    <t>1870300 ( 115.2% )</t>
  </si>
  <si>
    <t>258 ( 99.6% )</t>
  </si>
  <si>
    <t>-1101600 ( -31.5% )</t>
  </si>
  <si>
    <t>-179 ( -34.6% )</t>
  </si>
  <si>
    <t>-1676200 ( -70.1% )</t>
  </si>
  <si>
    <t>-232 ( -68.6% )</t>
  </si>
  <si>
    <t>-13700 ( -1.9% )</t>
  </si>
  <si>
    <t>361200 ( 51.4% )</t>
  </si>
  <si>
    <t>54 ( 50.9% )</t>
  </si>
  <si>
    <t>-1001700 ( -94.1% )</t>
  </si>
  <si>
    <t>-152 ( -95.0% )</t>
  </si>
  <si>
    <t>142700 ( 229.1% )</t>
  </si>
  <si>
    <t>19 ( 237.5% )</t>
  </si>
  <si>
    <t>-37500 ( -18.3% )</t>
  </si>
  <si>
    <t>-3 ( -11.1% )</t>
  </si>
  <si>
    <t>-27000 ( -16.1% )</t>
  </si>
  <si>
    <t>-9 ( -37.5% )</t>
  </si>
  <si>
    <t>285980 ( 203.5% )</t>
  </si>
  <si>
    <t>36 ( 240.0% )</t>
  </si>
  <si>
    <t>-372980 ( -87.5% )</t>
  </si>
  <si>
    <t>-43 ( -84.3% )</t>
  </si>
  <si>
    <t>10914500 ( 20400.9% )</t>
  </si>
  <si>
    <t>1210 ( 15125.0% )</t>
  </si>
  <si>
    <t>-10316000 ( -94.1% )</t>
  </si>
  <si>
    <t>-1146 ( -94.1% )</t>
  </si>
  <si>
    <t>-486200 ( -74.6% )</t>
  </si>
  <si>
    <t>-55 ( -76.4% )</t>
  </si>
  <si>
    <t>-7500 ( -4.5% )</t>
  </si>
  <si>
    <t>208200 ( 131.5% )</t>
  </si>
  <si>
    <t>23 ( 135.3% )</t>
  </si>
  <si>
    <t>-226200 ( -61.7% )</t>
  </si>
  <si>
    <t>-22 ( -55.0% )</t>
  </si>
  <si>
    <t>-79500 ( -56.7% )</t>
  </si>
  <si>
    <t>-9 ( -50.0% )</t>
  </si>
  <si>
    <t>155200 ( 255.3% )</t>
  </si>
  <si>
    <t>26 ( 288.9% )</t>
  </si>
  <si>
    <t>-189500 ( -87.7% )</t>
  </si>
  <si>
    <t>-31 ( -88.6% )</t>
  </si>
  <si>
    <t>55600 ( 209.8% )</t>
  </si>
  <si>
    <t>6 ( 150.0% )</t>
  </si>
  <si>
    <t>896900 ( 1092.4% )</t>
  </si>
  <si>
    <t>130 ( 1300.0% )</t>
  </si>
  <si>
    <t>-879000 ( -89.8% )</t>
  </si>
  <si>
    <t>-126 ( -90.0% )</t>
  </si>
  <si>
    <t>39900 ( 39.9% )</t>
  </si>
  <si>
    <t>5 ( 35.7% )</t>
  </si>
  <si>
    <t>-126900 ( -90.7% )</t>
  </si>
  <si>
    <t>-17 ( -89.5% )</t>
  </si>
  <si>
    <t>55000 ( 423.1% )</t>
  </si>
  <si>
    <t>7 ( 350.0% )</t>
  </si>
  <si>
    <t>-16500 ( -24.3% )</t>
  </si>
  <si>
    <t>-3 ( -33.3% )</t>
  </si>
  <si>
    <t>37800 ( 73.4% )</t>
  </si>
  <si>
    <t>4 ( 66.7% )</t>
  </si>
  <si>
    <t>-10000 ( -11.2% )</t>
  </si>
  <si>
    <t>-3 ( -30.0% )</t>
  </si>
  <si>
    <t>49700 ( 62.7% )</t>
  </si>
  <si>
    <t>6 ( 85.7% )</t>
  </si>
  <si>
    <t>-31500 ( -24.4% )</t>
  </si>
  <si>
    <t>-2 ( -15.4% )</t>
  </si>
  <si>
    <t>-9400 ( -9.6% )</t>
  </si>
  <si>
    <t>-1 ( -9.1% )</t>
  </si>
  <si>
    <t>13900 ( 15.8% )</t>
  </si>
  <si>
    <t>-42000 ( -41.2% )</t>
  </si>
  <si>
    <t>-4 ( -40.0% )</t>
  </si>
  <si>
    <t>1188000 ( 1980.0% )</t>
  </si>
  <si>
    <t>176 ( 2933.3% )</t>
  </si>
  <si>
    <t>541800 ( 43.4% )</t>
  </si>
  <si>
    <t>77 ( 42.3% )</t>
  </si>
  <si>
    <t>-31300 ( -1.7% )</t>
  </si>
  <si>
    <t>-1 ( -0.4% )</t>
  </si>
  <si>
    <t>-940500 ( -53.5% )</t>
  </si>
  <si>
    <t>-138 ( -53.5% )</t>
  </si>
  <si>
    <t>29500 ( 3.6% )</t>
  </si>
  <si>
    <t>8 ( 6.7% )</t>
  </si>
  <si>
    <t>714500 ( 84.3% )</t>
  </si>
  <si>
    <t>104 ( 81.3% )</t>
  </si>
  <si>
    <t>-772000 ( -49.4% )</t>
  </si>
  <si>
    <t>-114 ( -49.1% )</t>
  </si>
  <si>
    <t>891500 ( 112.8% )</t>
  </si>
  <si>
    <t>133 ( 112.7% )</t>
  </si>
  <si>
    <t>1071000 ( 63.7% )</t>
  </si>
  <si>
    <t>154 ( 61.4% )</t>
  </si>
  <si>
    <t>-1486500 ( -54.0% )</t>
  </si>
  <si>
    <t>-219 ( -54.1% )</t>
  </si>
  <si>
    <t>-1225700 ( -96.8% )</t>
  </si>
  <si>
    <t>-181 ( -97.3% )</t>
  </si>
  <si>
    <t>19000 ( 47.1% )</t>
  </si>
  <si>
    <t>2 ( 40.0% )</t>
  </si>
  <si>
    <t>■ 'PMC: 더 벙커' 일자별 통계정보</t>
  </si>
  <si>
    <t>1365529550 ( 100.0% )</t>
  </si>
  <si>
    <t>219234 ( 100.0% )</t>
  </si>
  <si>
    <t>-311945650 ( -22.8% )</t>
  </si>
  <si>
    <t>-88587 ( -40.4% )</t>
  </si>
  <si>
    <t>321305163 ( 30.5% )</t>
  </si>
  <si>
    <t>23516 ( 18.0% )</t>
  </si>
  <si>
    <t>889858841 ( 64.7% )</t>
  </si>
  <si>
    <t>97303 ( 63.1% )</t>
  </si>
  <si>
    <t>-137604904 ( -6.1% )</t>
  </si>
  <si>
    <t>-15252 ( -6.1% )</t>
  </si>
  <si>
    <t>-788597550 ( -37.1% )</t>
  </si>
  <si>
    <t>-71088 ( -30.1% )</t>
  </si>
  <si>
    <t>425397650 ( 31.8% )</t>
  </si>
  <si>
    <t>30733 ( 18.6% )</t>
  </si>
  <si>
    <t>-1366457850 ( -77.5% )</t>
  </si>
  <si>
    <t>-146559 ( -74.8% )</t>
  </si>
  <si>
    <t>-109618400 ( -27.6% )</t>
  </si>
  <si>
    <t>-13791 ( -28.0% )</t>
  </si>
  <si>
    <t>32196867 ( 11.2% )</t>
  </si>
  <si>
    <t>494 ( 1.4% )</t>
  </si>
  <si>
    <t>236792393 ( 74.0% )</t>
  </si>
  <si>
    <t>25433 ( 70.6% )</t>
  </si>
  <si>
    <t>-99073610 ( -17.8% )</t>
  </si>
  <si>
    <t>-10899 ( -17.7% )</t>
  </si>
  <si>
    <t>-305311450 ( -66.7% )</t>
  </si>
  <si>
    <t>-31763 ( -62.9% )</t>
  </si>
  <si>
    <t>-10927300 ( -7.2% )</t>
  </si>
  <si>
    <t>-1524 ( -8.1% )</t>
  </si>
  <si>
    <t>-101755000 ( -71.9% )</t>
  </si>
  <si>
    <t>-12562 ( -72.8% )</t>
  </si>
  <si>
    <t>-11566500 ( -29.1% )</t>
  </si>
  <si>
    <t>-1403 ( -29.9% )</t>
  </si>
  <si>
    <t>5341150 ( 18.9% )</t>
  </si>
  <si>
    <t>316 ( 9.6% )</t>
  </si>
  <si>
    <t>13603830 ( 40.5% )</t>
  </si>
  <si>
    <t>1492 ( 41.4% )</t>
  </si>
  <si>
    <t>-1715680 ( -3.6% )</t>
  </si>
  <si>
    <t>-259 ( -5.1% )</t>
  </si>
  <si>
    <t>-32115100 ( -70.7% )</t>
  </si>
  <si>
    <t>-3248 ( -67.2% )</t>
  </si>
  <si>
    <t>29500 ( 0.2% )</t>
  </si>
  <si>
    <t>-21 ( -1.3% )</t>
  </si>
  <si>
    <t>-10170300 ( -76.1% )</t>
  </si>
  <si>
    <t>-1194 ( -76.3% )</t>
  </si>
  <si>
    <t>-2278650 ( -71.3% )</t>
  </si>
  <si>
    <t>-272 ( -73.3% )</t>
  </si>
  <si>
    <t>176000 ( 19.2% )</t>
  </si>
  <si>
    <t>16 ( 16.2% )</t>
  </si>
  <si>
    <t>719500 ( 65.8% )</t>
  </si>
  <si>
    <t>77 ( 67.0% )</t>
  </si>
  <si>
    <t>-266000 ( -14.7% )</t>
  </si>
  <si>
    <t>-21 ( -10.9% )</t>
  </si>
  <si>
    <t>-1471500 ( -95.2% )</t>
  </si>
  <si>
    <t>-159 ( -93.0% )</t>
  </si>
  <si>
    <t>228000 ( 304.0% )</t>
  </si>
  <si>
    <t>24 ( 200.0% )</t>
  </si>
  <si>
    <t>1697000 ( 560.1% )</t>
  </si>
  <si>
    <t>364 ( 1011.1% )</t>
  </si>
  <si>
    <t>-1410000 ( -70.5% )</t>
  </si>
  <si>
    <t>-291 ( -72.8% )</t>
  </si>
  <si>
    <t>-90000 ( -15.3% )</t>
  </si>
  <si>
    <t>-9 ( -8.3% )</t>
  </si>
  <si>
    <t>5000 ( 1.0% )</t>
  </si>
  <si>
    <t>1 ( 1.0% )</t>
  </si>
  <si>
    <t>-5000 ( -1.0% )</t>
  </si>
  <si>
    <t>-1 ( -1.0% )</t>
  </si>
  <si>
    <t>-100000 ( -20.0% )</t>
  </si>
  <si>
    <t>-20 ( -20.0% )</t>
  </si>
  <si>
    <t>200000 ( 50.0% )</t>
  </si>
  <si>
    <t>40 ( 50.0% )</t>
  </si>
  <si>
    <t>-100000 ( -16.7% )</t>
  </si>
  <si>
    <t>-20 ( -16.7% )</t>
  </si>
  <si>
    <t>2596000 ( 51920.0% )</t>
  </si>
  <si>
    <t>305 ( 30500.0% )</t>
  </si>
  <si>
    <t>-1091500 ( -42.0% )</t>
  </si>
  <si>
    <t>-128 ( -41.8% )</t>
  </si>
  <si>
    <t>■ '글래스' 일자별 통계정보</t>
  </si>
  <si>
    <t>- 조회일: 2019-07-10</t>
  </si>
  <si>
    <t>- 출처: 영화진흥위원회 통합전산망 (http://www.kobis.or.kr)</t>
  </si>
  <si>
    <t>615511580 ( 100.0% )</t>
  </si>
  <si>
    <t>71816 ( 100.0% )</t>
  </si>
  <si>
    <t>-11973422 ( -1.9% )</t>
  </si>
  <si>
    <t>-7412 ( -10.3% )</t>
  </si>
  <si>
    <t>459411966 ( 76.1% )</t>
  </si>
  <si>
    <t>48854 ( 75.9% )</t>
  </si>
  <si>
    <t>-225139614 ( -21.2% )</t>
  </si>
  <si>
    <t>-23653 ( -20.9% )</t>
  </si>
  <si>
    <t>-567515980 ( -67.7% )</t>
  </si>
  <si>
    <t>-57862 ( -64.6% )</t>
  </si>
  <si>
    <t>-49734430 ( -18.4% )</t>
  </si>
  <si>
    <t>-5612 ( -17.7% )</t>
  </si>
  <si>
    <t>-116492850 ( -52.8% )</t>
  </si>
  <si>
    <t>-14453 ( -55.3% )</t>
  </si>
  <si>
    <t>-21763560 ( -20.9% )</t>
  </si>
  <si>
    <t>-2353 ( -20.1% )</t>
  </si>
  <si>
    <t>174980 ( 0.2% )</t>
  </si>
  <si>
    <t>-937 ( -10.0% )</t>
  </si>
  <si>
    <t>62681710 ( 76.0% )</t>
  </si>
  <si>
    <t>5509 ( 65.7% )</t>
  </si>
  <si>
    <t>-25049850 ( -17.3% )</t>
  </si>
  <si>
    <t>-2306 ( -16.6% )</t>
  </si>
  <si>
    <t>-75758020 ( -63.1% )</t>
  </si>
  <si>
    <t>-6665 ( -57.5% )</t>
  </si>
  <si>
    <t>4953060 ( 11.2% )</t>
  </si>
  <si>
    <t>504 ( 10.2% )</t>
  </si>
  <si>
    <t>-45092870 ( -91.5% )</t>
  </si>
  <si>
    <t>-4795 ( -88.3% )</t>
  </si>
  <si>
    <t>191180 ( 4.5% )</t>
  </si>
  <si>
    <t>-71 ( -11.2% )</t>
  </si>
  <si>
    <t>-846980 ( -19.2% )</t>
  </si>
  <si>
    <t>-181 ( -32.1% )</t>
  </si>
  <si>
    <t>312800 ( 8.8% )</t>
  </si>
  <si>
    <t>40 ( 10.4% )</t>
  </si>
  <si>
    <t>26000 ( 0.7% )</t>
  </si>
  <si>
    <t>8800 ( 0.2% )</t>
  </si>
  <si>
    <t>1 ( 0.2% )</t>
  </si>
  <si>
    <t>-2141000 ( -54.8% )</t>
  </si>
  <si>
    <t>-235 ( -55.4% )</t>
  </si>
  <si>
    <t>-152000 ( -8.6% )</t>
  </si>
  <si>
    <t>1 ( 0.5% )</t>
  </si>
  <si>
    <t>-1362500 ( -84.5% )</t>
  </si>
  <si>
    <t>-158 ( -83.2% )</t>
  </si>
  <si>
    <t>158000 ( 63.5% )</t>
  </si>
  <si>
    <t>682000 ( 167.6% )</t>
  </si>
  <si>
    <t>75 ( 170.5% )</t>
  </si>
  <si>
    <t>-465000 ( -42.7% )</t>
  </si>
  <si>
    <t>-46 ( -38.7% )</t>
  </si>
  <si>
    <t>-509000 ( -81.6% )</t>
  </si>
  <si>
    <t>-56 ( -76.7% )</t>
  </si>
  <si>
    <t>16000 ( 13.9% )</t>
  </si>
  <si>
    <t>-1 ( -5.9% )</t>
  </si>
  <si>
    <t>-66000 ( -50.4% )</t>
  </si>
  <si>
    <t>-7 ( -43.8% )</t>
  </si>
  <si>
    <t>24000 ( 36.9% )</t>
  </si>
  <si>
    <t>2 ( 22.2% )</t>
  </si>
  <si>
    <t>21000 ( 23.6% )</t>
  </si>
  <si>
    <t>123000 ( 111.8% )</t>
  </si>
  <si>
    <t>17 ( 154.5% )</t>
  </si>
  <si>
    <t>141000 ( 60.5% )</t>
  </si>
  <si>
    <t>13 ( 46.4% )</t>
  </si>
  <si>
    <t>-305000 ( -81.6% )</t>
  </si>
  <si>
    <t>-32 ( -78.0% )</t>
  </si>
  <si>
    <t>16000 ( 23.2% )</t>
  </si>
  <si>
    <t>3 ( 33.3% )</t>
  </si>
  <si>
    <t>-46000 ( -54.1% )</t>
  </si>
  <si>
    <t>-6 ( -50.0% )</t>
  </si>
  <si>
    <t>■ '극장판 공룡메카드: 타이니소어의 섬' 일자별 통계정보</t>
  </si>
  <si>
    <t>403179750 ( 22079.9% )</t>
  </si>
  <si>
    <t>57412 ( 28143.1% )</t>
  </si>
  <si>
    <t>-171246070 ( -42.3% )</t>
  </si>
  <si>
    <t>-27363 ( -47.5% )</t>
  </si>
  <si>
    <t>639135100 ( 273.4% )</t>
  </si>
  <si>
    <t>80704 ( 266.8% )</t>
  </si>
  <si>
    <t>-162074550 ( -18.6% )</t>
  </si>
  <si>
    <t>-21480 ( -19.4% )</t>
  </si>
  <si>
    <t>-630143430 ( -88.7% )</t>
  </si>
  <si>
    <t>-78129 ( -87.3% )</t>
  </si>
  <si>
    <t>-4163500 ( -5.2% )</t>
  </si>
  <si>
    <t>-282 ( -2.5% )</t>
  </si>
  <si>
    <t>-24250200 ( -31.7% )</t>
  </si>
  <si>
    <t>-3490 ( -31.5% )</t>
  </si>
  <si>
    <t>-14819550 ( -28.4% )</t>
  </si>
  <si>
    <t>-2085 ( -27.5% )</t>
  </si>
  <si>
    <t>898500 ( 2.4% )</t>
  </si>
  <si>
    <t>-376 ( -6.8% )</t>
  </si>
  <si>
    <t>158667790 ( 413.8% )</t>
  </si>
  <si>
    <t>19743 ( 386.0% )</t>
  </si>
  <si>
    <t>-3081030 ( -1.6% )</t>
  </si>
  <si>
    <t>-621 ( -2.5% )</t>
  </si>
  <si>
    <t>-174371260 ( -89.9% )</t>
  </si>
  <si>
    <t>-21439 ( -88.5% )</t>
  </si>
  <si>
    <t>1473800 ( 7.5% )</t>
  </si>
  <si>
    <t>315 ( 11.3% )</t>
  </si>
  <si>
    <t>-10056550 ( -47.8% )</t>
  </si>
  <si>
    <t>-1502 ( -48.2% )</t>
  </si>
  <si>
    <t>-1136870 ( -10.4% )</t>
  </si>
  <si>
    <t>-149 ( -9.2% )</t>
  </si>
  <si>
    <t>3861070 ( 39.2% )</t>
  </si>
  <si>
    <t>502 ( 34.3% )</t>
  </si>
  <si>
    <t>46368810 ( 338.5% )</t>
  </si>
  <si>
    <t>5660 ( 288.2% )</t>
  </si>
  <si>
    <t>3619740 ( 6.0% )</t>
  </si>
  <si>
    <t>254 ( 3.3% )</t>
  </si>
  <si>
    <t>-57833310 ( -90.8% )</t>
  </si>
  <si>
    <t>-7016 ( -89.1% )</t>
  </si>
  <si>
    <t>554460 ( 9.5% )</t>
  </si>
  <si>
    <t>90 ( 10.4% )</t>
  </si>
  <si>
    <t>-4454000 ( -69.5% )</t>
  </si>
  <si>
    <t>-634 ( -66.6% )</t>
  </si>
  <si>
    <t>-1390400 ( -71.1% )</t>
  </si>
  <si>
    <t>-239 ( -75.2% )</t>
  </si>
  <si>
    <t>87000 ( 15.4% )</t>
  </si>
  <si>
    <t>20 ( 25.3% )</t>
  </si>
  <si>
    <t>1168000 ( 179.3% )</t>
  </si>
  <si>
    <t>139 ( 140.4% )</t>
  </si>
  <si>
    <t>39600 ( 2.2% )</t>
  </si>
  <si>
    <t>17 ( 7.1% )</t>
  </si>
  <si>
    <t>-909600 ( -48.9% )</t>
  </si>
  <si>
    <t>-115 ( -45.1% )</t>
  </si>
  <si>
    <t>-375300 ( -39.5% )</t>
  </si>
  <si>
    <t>-69 ( -49.3% )</t>
  </si>
  <si>
    <t>559300 ( 97.4% )</t>
  </si>
  <si>
    <t>80 ( 112.7% )</t>
  </si>
  <si>
    <t>-1035300 ( -91.4% )</t>
  </si>
  <si>
    <t>-137 ( -90.7% )</t>
  </si>
  <si>
    <t>139000 ( 141.8% )</t>
  </si>
  <si>
    <t>30 ( 214.3% )</t>
  </si>
  <si>
    <t>183000 ( 77.2% )</t>
  </si>
  <si>
    <t>10 ( 22.7% )</t>
  </si>
  <si>
    <t>80000 ( 19.0% )</t>
  </si>
  <si>
    <t>15 ( 27.8% )</t>
  </si>
  <si>
    <t>-411000 ( -82.2% )</t>
  </si>
  <si>
    <t>-57 ( -82.6% )</t>
  </si>
  <si>
    <t>16000 ( 18.0% )</t>
  </si>
  <si>
    <t>4 ( 33.3% )</t>
  </si>
  <si>
    <t>4564000 ( 4346.7% )</t>
  </si>
  <si>
    <t>529 ( 3306.3% )</t>
  </si>
  <si>
    <t>163000 ( 100.0% )</t>
  </si>
  <si>
    <t>32 ( 100.0% )</t>
  </si>
  <si>
    <t>165000 ( 100.0% )</t>
  </si>
  <si>
    <t>33 ( 100.0% )</t>
  </si>
  <si>
    <t>330000 ( 200.0% )</t>
  </si>
  <si>
    <t>66 ( 200.0% )</t>
  </si>
  <si>
    <t>-310000 ( -62.6% )</t>
  </si>
  <si>
    <t>-62 ( -62.6% )</t>
  </si>
  <si>
    <t>-34000 ( -18.4% )</t>
  </si>
  <si>
    <t>-8 ( -21.6% )</t>
  </si>
  <si>
    <t>79000 ( 100.0% )</t>
  </si>
  <si>
    <t>12 ( 100.0% )</t>
  </si>
  <si>
    <t>31000 ( 100.0% )</t>
  </si>
  <si>
    <t>5 ( 100.0% )</t>
  </si>
  <si>
    <t>90000 ( 100.0% )</t>
  </si>
  <si>
    <t>10 ( 100.0% )</t>
  </si>
  <si>
    <t>-61000 ( -67.8% )</t>
  </si>
  <si>
    <t>-6 ( -60.0% )</t>
  </si>
  <si>
    <t>150000 ( 100.0% )</t>
  </si>
  <si>
    <t>17 ( 100.0% )</t>
  </si>
  <si>
    <t>-87000 ( -58.0% )</t>
  </si>
  <si>
    <t>-9 ( -52.9% )</t>
  </si>
  <si>
    <t>33000 ( 100.0% )</t>
  </si>
  <si>
    <t>-8000 ( -24.2% )</t>
  </si>
  <si>
    <t>8000 ( 100.0% )</t>
  </si>
  <si>
    <t>10000 ( 100.0% )</t>
  </si>
  <si>
    <t>2 ( 100.0% )</t>
  </si>
  <si>
    <t>4000 ( 40.0% )</t>
  </si>
  <si>
    <t>-1500 ( -10.7% )</t>
  </si>
  <si>
    <t>7000 ( 100.0% )</t>
  </si>
  <si>
    <t>72500 ( 100.0% )</t>
  </si>
  <si>
    <t>9 ( 100.0% )</t>
  </si>
  <si>
    <t>8000 ( 11.0% )</t>
  </si>
  <si>
    <t>1 ( 11.1% )</t>
  </si>
  <si>
    <t>-64500 ( -80.1% )</t>
  </si>
  <si>
    <t>-8 ( -80.0% )</t>
  </si>
  <si>
    <t>23000 ( 100.0% )</t>
  </si>
  <si>
    <t>-9000 ( -39.1% )</t>
  </si>
  <si>
    <t>20000 ( 100.0% )</t>
  </si>
  <si>
    <t>-4000 ( -20.0% )</t>
  </si>
  <si>
    <t>-1 ( -33.3% )</t>
  </si>
  <si>
    <t>■ '범블비' 일자별 통계정보</t>
  </si>
  <si>
    <t>705887500 ( 100.0% )</t>
  </si>
  <si>
    <t>85275 ( 100.0% )</t>
  </si>
  <si>
    <t>3126981350 ( 443.0% )</t>
  </si>
  <si>
    <t>356618 ( 418.2% )</t>
  </si>
  <si>
    <t>-3206143300 ( -83.6% )</t>
  </si>
  <si>
    <t>-341357 ( -77.2% )</t>
  </si>
  <si>
    <t>-174728900 ( -27.9% )</t>
  </si>
  <si>
    <t>-44087 ( -43.9% )</t>
  </si>
  <si>
    <t>187289779 ( 41.4% )</t>
  </si>
  <si>
    <t>16059 ( 28.4% )</t>
  </si>
  <si>
    <t>644468744 ( 100.8% )</t>
  </si>
  <si>
    <t>74523 ( 102.8% )</t>
  </si>
  <si>
    <t>17629877 ( 1.4% )</t>
  </si>
  <si>
    <t>1719 ( 1.2% )</t>
  </si>
  <si>
    <t>-422428500 ( -32.5% )</t>
  </si>
  <si>
    <t>-37743 ( -25.4% )</t>
  </si>
  <si>
    <t>264548150 ( 30.1% )</t>
  </si>
  <si>
    <t>21611 ( 19.5% )</t>
  </si>
  <si>
    <t>-859885250 ( -75.2% )</t>
  </si>
  <si>
    <t>-96790 ( -73.0% )</t>
  </si>
  <si>
    <t>-84898400 ( -29.9% )</t>
  </si>
  <si>
    <t>-10763 ( -30.0% )</t>
  </si>
  <si>
    <t>54990812 ( 27.7% )</t>
  </si>
  <si>
    <t>4236 ( 16.9% )</t>
  </si>
  <si>
    <t>218140001 ( 86.0% )</t>
  </si>
  <si>
    <t>24770 ( 84.5% )</t>
  </si>
  <si>
    <t>-71296013 ( -15.1% )</t>
  </si>
  <si>
    <t>-8004 ( -14.8% )</t>
  </si>
  <si>
    <t>-271239450 ( -67.7% )</t>
  </si>
  <si>
    <t>-29833 ( -64.8% )</t>
  </si>
  <si>
    <t>1233400 ( 1.0% )</t>
  </si>
  <si>
    <t>123 ( 0.8% )</t>
  </si>
  <si>
    <t>-81459850 ( -62.4% )</t>
  </si>
  <si>
    <t>-10144 ( -62.0% )</t>
  </si>
  <si>
    <t>-12467300 ( -25.4% )</t>
  </si>
  <si>
    <t>-1596 ( -25.7% )</t>
  </si>
  <si>
    <t>5151630 ( 14.1% )</t>
  </si>
  <si>
    <t>133 ( 2.9% )</t>
  </si>
  <si>
    <t>32481920 ( 77.8% )</t>
  </si>
  <si>
    <t>3806 ( 80.1% )</t>
  </si>
  <si>
    <t>-17039370 ( -22.9% )</t>
  </si>
  <si>
    <t>-1892 ( -22.1% )</t>
  </si>
  <si>
    <t>-38289520 ( -66.9% )</t>
  </si>
  <si>
    <t>-4239 ( -63.6% )</t>
  </si>
  <si>
    <t>4075850 ( 21.5% )</t>
  </si>
  <si>
    <t>531 ( 21.9% )</t>
  </si>
  <si>
    <t>-18877960 ( -82.1% )</t>
  </si>
  <si>
    <t>-2380 ( -80.5% )</t>
  </si>
  <si>
    <t>-2914600 ( -70.7% )</t>
  </si>
  <si>
    <t>-413 ( -71.7% )</t>
  </si>
  <si>
    <t>215300 ( 17.8% )</t>
  </si>
  <si>
    <t>9 ( 5.5% )</t>
  </si>
  <si>
    <t>1349200 ( 94.6% )</t>
  </si>
  <si>
    <t>175 ( 101.7% )</t>
  </si>
  <si>
    <t>-599700 ( -21.6% )</t>
  </si>
  <si>
    <t>-92 ( -26.5% )</t>
  </si>
  <si>
    <t>-1399500 ( -64.3% )</t>
  </si>
  <si>
    <t>-157 ( -61.6% )</t>
  </si>
  <si>
    <t>151300 ( 19.5% )</t>
  </si>
  <si>
    <t>19 ( 19.4% )</t>
  </si>
  <si>
    <t>-791200 ( -85.3% )</t>
  </si>
  <si>
    <t>-102 ( -87.2% )</t>
  </si>
  <si>
    <t>102800 ( 75.6% )</t>
  </si>
  <si>
    <t>22 ( 146.7% )</t>
  </si>
  <si>
    <t>110000 ( 100.0% )</t>
  </si>
  <si>
    <t>21 ( 100.0% )</t>
  </si>
  <si>
    <t>5304000 ( 100.0% )</t>
  </si>
  <si>
    <t>624 ( 100.0% )</t>
  </si>
  <si>
    <t>-2371500 ( -44.7% )</t>
  </si>
  <si>
    <t>-279 ( -44.7% )</t>
  </si>
  <si>
    <t>■ '뺑반' 일자별 통계정보</t>
  </si>
  <si>
    <t>1496483250 ( 6278.9% )</t>
  </si>
  <si>
    <t>251175 ( 9842.3% )</t>
  </si>
  <si>
    <t>-532508260 ( -35.0% )</t>
  </si>
  <si>
    <t>-130979 ( -51.6% )</t>
  </si>
  <si>
    <t>167090022 ( 16.9% )</t>
  </si>
  <si>
    <t>8553 ( 7.0% )</t>
  </si>
  <si>
    <t>777807193 ( 67.3% )</t>
  </si>
  <si>
    <t>87879 ( 66.9% )</t>
  </si>
  <si>
    <t>32854185 ( 1.7% )</t>
  </si>
  <si>
    <t>2609 ( 1.2% )</t>
  </si>
  <si>
    <t>-346254630 ( -17.6% )</t>
  </si>
  <si>
    <t>-40884 ( -18.4% )</t>
  </si>
  <si>
    <t>-146669190 ( -9.1% )</t>
  </si>
  <si>
    <t>-18386 ( -10.2% )</t>
  </si>
  <si>
    <t>-169110620 ( -11.5% )</t>
  </si>
  <si>
    <t>-14397 ( -8.9% )</t>
  </si>
  <si>
    <t>-807421810 ( -61.9% )</t>
  </si>
  <si>
    <t>-86197 ( -58.2% )</t>
  </si>
  <si>
    <t>-23504894 ( -4.7% )</t>
  </si>
  <si>
    <t>-8151 ( -13.2% )</t>
  </si>
  <si>
    <t>284644679 ( 60.2% )</t>
  </si>
  <si>
    <t>32997 ( 61.4% )</t>
  </si>
  <si>
    <t>-101512285 ( -13.4% )</t>
  </si>
  <si>
    <t>-11595 ( -13.4% )</t>
  </si>
  <si>
    <t>-417074170 ( -63.6% )</t>
  </si>
  <si>
    <t>-45562 ( -60.6% )</t>
  </si>
  <si>
    <t>-9394900 ( -3.9% )</t>
  </si>
  <si>
    <t>-616 ( -2.1% )</t>
  </si>
  <si>
    <t>-135580310 ( -59.1% )</t>
  </si>
  <si>
    <t>-17205 ( -59.3% )</t>
  </si>
  <si>
    <t>-53009860 ( -56.6% )</t>
  </si>
  <si>
    <t>-6705 ( -56.9% )</t>
  </si>
  <si>
    <t>-3759090 ( -9.2% )</t>
  </si>
  <si>
    <t>-780 ( -15.3% )</t>
  </si>
  <si>
    <t>3030510 ( 8.2% )</t>
  </si>
  <si>
    <t>507 ( 11.8% )</t>
  </si>
  <si>
    <t>-3355120 ( -8.4% )</t>
  </si>
  <si>
    <t>-478 ( -9.9% )</t>
  </si>
  <si>
    <t>-19793520 ( -54.1% )</t>
  </si>
  <si>
    <t>-2169 ( -50.0% )</t>
  </si>
  <si>
    <t>1519320 ( 9.0% )</t>
  </si>
  <si>
    <t>152 ( 7.0% )</t>
  </si>
  <si>
    <t>-17510300 ( -95.6% )</t>
  </si>
  <si>
    <t>-2206 ( -95.1% )</t>
  </si>
  <si>
    <t>-249770 ( -31.1% )</t>
  </si>
  <si>
    <t>-39 ( -34.2% )</t>
  </si>
  <si>
    <t>-157530 ( -28.4% )</t>
  </si>
  <si>
    <t>-20 ( -26.7% )</t>
  </si>
  <si>
    <t>352880 ( 89.0% )</t>
  </si>
  <si>
    <t>52 ( 94.5% )</t>
  </si>
  <si>
    <t>450670 ( 60.1% )</t>
  </si>
  <si>
    <t>61 ( 57.0% )</t>
  </si>
  <si>
    <t>-923350 ( -76.9% )</t>
  </si>
  <si>
    <t>-128 ( -76.2% )</t>
  </si>
  <si>
    <t>195200 ( 70.5% )</t>
  </si>
  <si>
    <t>23 ( 57.5% )</t>
  </si>
  <si>
    <t>-382000 ( -80.9% )</t>
  </si>
  <si>
    <t>-48 ( -76.2% )</t>
  </si>
  <si>
    <t>-72000 ( -80.0% )</t>
  </si>
  <si>
    <t>-13 ( -86.7% )</t>
  </si>
  <si>
    <t>6000 ( 100.0% )</t>
  </si>
  <si>
    <t>88000 ( 100.0% )</t>
  </si>
  <si>
    <t>8 ( 100.0% )</t>
  </si>
  <si>
    <t>3870000 ( 100.0% )</t>
  </si>
  <si>
    <t>430 ( 100.0% )</t>
  </si>
  <si>
    <t>■ '러브 유어셀프 인 서울' 일자별 통계정보</t>
  </si>
  <si>
    <t>947048800 ( 100.0% )</t>
  </si>
  <si>
    <t>100191 ( 100.0% )</t>
  </si>
  <si>
    <t>-165066900 ( -17.4% )</t>
  </si>
  <si>
    <t>-18279 ( -18.2% )</t>
  </si>
  <si>
    <t>-527181000 ( -67.4% )</t>
  </si>
  <si>
    <t>-55399 ( -67.6% )</t>
  </si>
  <si>
    <t>-12808100 ( -5.0% )</t>
  </si>
  <si>
    <t>-1273 ( -4.8% )</t>
  </si>
  <si>
    <t>-140092400 ( -57.9% )</t>
  </si>
  <si>
    <t>-6749 ( -26.7% )</t>
  </si>
  <si>
    <t>-3292600 ( -3.2% )</t>
  </si>
  <si>
    <t>-8159 ( -44.1% )</t>
  </si>
  <si>
    <t>5757600 ( 5.8% )</t>
  </si>
  <si>
    <t>364 ( 3.5% )</t>
  </si>
  <si>
    <t>39302200 ( 37.7% )</t>
  </si>
  <si>
    <t>4135 ( 38.7% )</t>
  </si>
  <si>
    <t>-36785900 ( -25.6% )</t>
  </si>
  <si>
    <t>-3830 ( -25.8% )</t>
  </si>
  <si>
    <t>-47572900 ( -44.5% )</t>
  </si>
  <si>
    <t>-4874 ( -44.3% )</t>
  </si>
  <si>
    <t>-19923500 ( -33.6% )</t>
  </si>
  <si>
    <t>-2145 ( -35.0% )</t>
  </si>
  <si>
    <t>24336700 ( 61.8% )</t>
  </si>
  <si>
    <t>2473 ( 62.1% )</t>
  </si>
  <si>
    <t>-29002000 ( -45.5% )</t>
  </si>
  <si>
    <t>-2935 ( -45.5% )</t>
  </si>
  <si>
    <t>1431000 ( 4.1% )</t>
  </si>
  <si>
    <t>121 ( 3.4% )</t>
  </si>
  <si>
    <t>58942000 ( 163.0% )</t>
  </si>
  <si>
    <t>5813 ( 159.7% )</t>
  </si>
  <si>
    <t>4962500 ( 5.2% )</t>
  </si>
  <si>
    <t>526 ( 5.6% )</t>
  </si>
  <si>
    <t>■ '그린 북' 일자별 통계정보</t>
  </si>
  <si>
    <t>100047150 ( 2166.9% )</t>
  </si>
  <si>
    <t>11903 ( 2320.3% )</t>
  </si>
  <si>
    <t>-10483700 ( -10.0% )</t>
  </si>
  <si>
    <t>-955 ( -7.7% )</t>
  </si>
  <si>
    <t>24415582 ( 25.9% )</t>
  </si>
  <si>
    <t>1803 ( 15.7% )</t>
  </si>
  <si>
    <t>126611110 ( 106.8% )</t>
  </si>
  <si>
    <t>13653 ( 102.9% )</t>
  </si>
  <si>
    <t>-14846492 ( -6.1% )</t>
  </si>
  <si>
    <t>-1457 ( -5.4% )</t>
  </si>
  <si>
    <t>-135998390 ( -59.0% )</t>
  </si>
  <si>
    <t>-14094 ( -55.4% )</t>
  </si>
  <si>
    <t>6922560 ( 7.3% )</t>
  </si>
  <si>
    <t>950 ( 8.4% )</t>
  </si>
  <si>
    <t>-35952440 ( -35.5% )</t>
  </si>
  <si>
    <t>-4327 ( -35.1% )</t>
  </si>
  <si>
    <t>-13010650 ( -19.9% )</t>
  </si>
  <si>
    <t>-1665 ( -20.8% )</t>
  </si>
  <si>
    <t>14794500 ( 28.3% )</t>
  </si>
  <si>
    <t>1049 ( 16.6% )</t>
  </si>
  <si>
    <t>68936360 ( 102.7% )</t>
  </si>
  <si>
    <t>7390 ( 100.2% )</t>
  </si>
  <si>
    <t>-11645650 ( -8.6% )</t>
  </si>
  <si>
    <t>-1215 ( -8.2% )</t>
  </si>
  <si>
    <t>-76127630 ( -61.2% )</t>
  </si>
  <si>
    <t>-7672 ( -56.6% )</t>
  </si>
  <si>
    <t>-2227750 ( -4.6% )</t>
  </si>
  <si>
    <t>-244 ( -4.2% )</t>
  </si>
  <si>
    <t>-10069330 ( -21.9% )</t>
  </si>
  <si>
    <t>-1133 ( -20.1% )</t>
  </si>
  <si>
    <t>-5627500 ( -15.6% )</t>
  </si>
  <si>
    <t>-719 ( -16.0% )</t>
  </si>
  <si>
    <t>3787930 ( 12.5% )</t>
  </si>
  <si>
    <t>86 ( 2.3% )</t>
  </si>
  <si>
    <t>30841340 ( 90.3% )</t>
  </si>
  <si>
    <t>3419 ( 88.4% )</t>
  </si>
  <si>
    <t>-6904790 ( -10.6% )</t>
  </si>
  <si>
    <t>-819 ( -11.2% )</t>
  </si>
  <si>
    <t>-29733570 ( -51.2% )</t>
  </si>
  <si>
    <t>-2868 ( -44.4% )</t>
  </si>
  <si>
    <t>3307750 ( 11.7% )</t>
  </si>
  <si>
    <t>536 ( 14.9% )</t>
  </si>
  <si>
    <t>-12282790 ( -38.8% )</t>
  </si>
  <si>
    <t>-907 ( -21.9% )</t>
  </si>
  <si>
    <t>-2193370 ( -11.3% )</t>
  </si>
  <si>
    <t>-1063 ( -32.9% )</t>
  </si>
  <si>
    <t>16071520 ( 93.6% )</t>
  </si>
  <si>
    <t>1586 ( 73.3% )</t>
  </si>
  <si>
    <t>25653150 ( 77.2% )</t>
  </si>
  <si>
    <t>2543 ( 67.8% )</t>
  </si>
  <si>
    <t>1527200 ( 2.6% )</t>
  </si>
  <si>
    <t>257 ( 4.1% )</t>
  </si>
  <si>
    <t>3676270 ( 6.1% )</t>
  </si>
  <si>
    <t>291 ( 4.4% )</t>
  </si>
  <si>
    <t>-5477430 ( -8.5% )</t>
  </si>
  <si>
    <t>-563 ( -8.2% )</t>
  </si>
  <si>
    <t>1816490 ( 3.1% )</t>
  </si>
  <si>
    <t>374 ( 6.0% )</t>
  </si>
  <si>
    <t>-38194900 ( -63.2% )</t>
  </si>
  <si>
    <t>-3897 ( -58.6% )</t>
  </si>
  <si>
    <t>3703740 ( 16.6% )</t>
  </si>
  <si>
    <t>240 ( 8.7% )</t>
  </si>
  <si>
    <t>24139590 ( 93.0% )</t>
  </si>
  <si>
    <t>2597 ( 86.7% )</t>
  </si>
  <si>
    <t>2358930 ( 4.7% )</t>
  </si>
  <si>
    <t>334 ( 6.0% )</t>
  </si>
  <si>
    <t>-36816830 ( -70.2% )</t>
  </si>
  <si>
    <t>-3997 ( -67.4% )</t>
  </si>
  <si>
    <t>4581500 ( 29.3% )</t>
  </si>
  <si>
    <t>663 ( 34.4% )</t>
  </si>
  <si>
    <t>-6049410 ( -29.9% )</t>
  </si>
  <si>
    <t>-825 ( -31.8% )</t>
  </si>
  <si>
    <t>-2356900 ( -16.6% )</t>
  </si>
  <si>
    <t>-288 ( -16.3% )</t>
  </si>
  <si>
    <t>6954400 ( 58.9% )</t>
  </si>
  <si>
    <t>676 ( 45.7% )</t>
  </si>
  <si>
    <t>13866860 ( 73.9% )</t>
  </si>
  <si>
    <t>1335 ( 61.9% )</t>
  </si>
  <si>
    <t>2183190 ( 6.7% )</t>
  </si>
  <si>
    <t>535 ( 15.3% )</t>
  </si>
  <si>
    <t>-23812100 ( -68.4% )</t>
  </si>
  <si>
    <t>-2653 ( -65.9% )</t>
  </si>
  <si>
    <t>3490300 ( 31.7% )</t>
  </si>
  <si>
    <t>434 ( 31.6% )</t>
  </si>
  <si>
    <t>-3162420 ( -21.8% )</t>
  </si>
  <si>
    <t>-371 ( -20.5% )</t>
  </si>
  <si>
    <t>-4538530 ( -40.1% )</t>
  </si>
  <si>
    <t>-568 ( -39.6% )</t>
  </si>
  <si>
    <t>1887850 ( 27.8% )</t>
  </si>
  <si>
    <t>174 ( 20.1% )</t>
  </si>
  <si>
    <t>10692580 ( 123.2% )</t>
  </si>
  <si>
    <t>1123 ( 107.9% )</t>
  </si>
  <si>
    <t>-2254250 ( -11.6% )</t>
  </si>
  <si>
    <t>-194 ( -9.0% )</t>
  </si>
  <si>
    <t>-9185640 ( -53.7% )</t>
  </si>
  <si>
    <t>-983 ( -49.9% )</t>
  </si>
  <si>
    <t>8324100 ( 104.9% )</t>
  </si>
  <si>
    <t>1246 ( 126.2% )</t>
  </si>
  <si>
    <t>-849690 ( -5.2% )</t>
  </si>
  <si>
    <t>245 ( 11.0% )</t>
  </si>
  <si>
    <t>12078550 ( 78.4% )</t>
  </si>
  <si>
    <t>1044 ( 42.1% )</t>
  </si>
  <si>
    <t>63397763 ( 230.7% )</t>
  </si>
  <si>
    <t>6780 ( 192.5% )</t>
  </si>
  <si>
    <t>2995611 ( 3.3% )</t>
  </si>
  <si>
    <t>167 ( 1.6% )</t>
  </si>
  <si>
    <t>-21917914 ( -23.3% )</t>
  </si>
  <si>
    <t>-2323 ( -22.2% )</t>
  </si>
  <si>
    <t>-46074610 ( -64.0% )</t>
  </si>
  <si>
    <t>-4892 ( -60.1% )</t>
  </si>
  <si>
    <t>4610240 ( 17.8% )</t>
  </si>
  <si>
    <t>711 ( 21.9% )</t>
  </si>
  <si>
    <t>-13704090 ( -44.9% )</t>
  </si>
  <si>
    <t>-1827 ( -46.1% )</t>
  </si>
  <si>
    <t>1727680 ( 10.3% )</t>
  </si>
  <si>
    <t>505 ( 23.6% )</t>
  </si>
  <si>
    <t>4613930 ( 24.9% )</t>
  </si>
  <si>
    <t>455 ( 17.2% )</t>
  </si>
  <si>
    <t>30769400 ( 133.0% )</t>
  </si>
  <si>
    <t>4195 ( 135.4% )</t>
  </si>
  <si>
    <t>-8025490 ( -14.9% )</t>
  </si>
  <si>
    <t>-1027 ( -14.1% )</t>
  </si>
  <si>
    <t>-27105130 ( -59.1% )</t>
  </si>
  <si>
    <t>-3505 ( -55.9% )</t>
  </si>
  <si>
    <t>-391880 ( -2.1% )</t>
  </si>
  <si>
    <t>-36 ( -1.3% )</t>
  </si>
  <si>
    <t>3523470 ( 19.2% )</t>
  </si>
  <si>
    <t>507 ( 18.6% )</t>
  </si>
  <si>
    <t>-9976570 ( -45.5% )</t>
  </si>
  <si>
    <t>-1559 ( -48.2% )</t>
  </si>
  <si>
    <t>5203090 ( 43.6% )</t>
  </si>
  <si>
    <t>671 ( 40.1% )</t>
  </si>
  <si>
    <t>21673620 ( 126.5% )</t>
  </si>
  <si>
    <t>2793 ( 119.2% )</t>
  </si>
  <si>
    <t>-7463140 ( -19.2% )</t>
  </si>
  <si>
    <t>-922 ( -17.9% )</t>
  </si>
  <si>
    <t>-16766470 ( -53.5% )</t>
  </si>
  <si>
    <t>-2141 ( -50.8% )</t>
  </si>
  <si>
    <t>291790 ( 2.0% )</t>
  </si>
  <si>
    <t>14 ( 0.7% )</t>
  </si>
  <si>
    <t>-5426600 ( -36.5% )</t>
  </si>
  <si>
    <t>-710 ( -34.0% )</t>
  </si>
  <si>
    <t>-1243450 ( -13.2% )</t>
  </si>
  <si>
    <t>-175 ( -12.7% )</t>
  </si>
  <si>
    <t>3823630 ( 46.6% )</t>
  </si>
  <si>
    <t>441 ( 36.7% )</t>
  </si>
  <si>
    <t>15716180 ( 130.7% )</t>
  </si>
  <si>
    <t>2158 ( 131.3% )</t>
  </si>
  <si>
    <t>-4021350 ( -14.5% )</t>
  </si>
  <si>
    <t>-500 ( -13.2% )</t>
  </si>
  <si>
    <t>-13506360 ( -57.0% )</t>
  </si>
  <si>
    <t>-1789 ( -54.2% )</t>
  </si>
  <si>
    <t>293310 ( 2.9% )</t>
  </si>
  <si>
    <t>80 ( 5.3% )</t>
  </si>
  <si>
    <t>-3765110 ( -35.9% )</t>
  </si>
  <si>
    <t>-555 ( -34.8% )</t>
  </si>
  <si>
    <t>-855550 ( -12.7% )</t>
  </si>
  <si>
    <t>-204 ( -19.7% )</t>
  </si>
  <si>
    <t>596619 ( 10.1% )</t>
  </si>
  <si>
    <t>91 ( 10.9% )</t>
  </si>
  <si>
    <t>8928131 ( 137.8% )</t>
  </si>
  <si>
    <t>1147 ( 124.0% )</t>
  </si>
  <si>
    <t>-2792000 ( -18.1% )</t>
  </si>
  <si>
    <t>-309 ( -14.9% )</t>
  </si>
  <si>
    <t>-7965050 ( -63.1% )</t>
  </si>
  <si>
    <t>-1073 ( -60.9% )</t>
  </si>
  <si>
    <t>-351800 ( -7.6% )</t>
  </si>
  <si>
    <t>-62 ( -9.0% )</t>
  </si>
  <si>
    <t>-1066850 ( -24.8% )</t>
  </si>
  <si>
    <t>-146 ( -23.2% )</t>
  </si>
  <si>
    <t>-828300 ( -25.6% )</t>
  </si>
  <si>
    <t>-131 ( -27.2% )</t>
  </si>
  <si>
    <t>1221200 ( 50.8% )</t>
  </si>
  <si>
    <t>167 ( 47.6% )</t>
  </si>
  <si>
    <t>2939100 ( 81.1% )</t>
  </si>
  <si>
    <t>382 ( 73.7% )</t>
  </si>
  <si>
    <t>-261500 ( -4.0% )</t>
  </si>
  <si>
    <t>-36 ( -4.0% )</t>
  </si>
  <si>
    <t>-2837800 ( -45.0% )</t>
  </si>
  <si>
    <t>-485 ( -56.1% )</t>
  </si>
  <si>
    <t>540300 ( 15.6% )</t>
  </si>
  <si>
    <t>202 ( 53.3% )</t>
  </si>
  <si>
    <t>-154500 ( -3.9% )</t>
  </si>
  <si>
    <t>14 ( 2.4% )</t>
  </si>
  <si>
    <t>-2113000 ( -54.9% )</t>
  </si>
  <si>
    <t>-340 ( -57.1% )</t>
  </si>
  <si>
    <t>3044400 ( 175.4% )</t>
  </si>
  <si>
    <t>482 ( 189.0% )</t>
  </si>
  <si>
    <t>-1043600 ( -21.8% )</t>
  </si>
  <si>
    <t>-220 ( -29.9% )</t>
  </si>
  <si>
    <t>632500 ( 16.9% )</t>
  </si>
  <si>
    <t>97 ( 18.8% )</t>
  </si>
  <si>
    <t>-3259400 ( -74.6% )</t>
  </si>
  <si>
    <t>-444 ( -72.3% )</t>
  </si>
  <si>
    <t>207100 ( 18.7% )</t>
  </si>
  <si>
    <t>23 ( 13.5% )</t>
  </si>
  <si>
    <t>754450 ( 57.3% )</t>
  </si>
  <si>
    <t>121 ( 62.7% )</t>
  </si>
  <si>
    <t>400750 ( 19.3% )</t>
  </si>
  <si>
    <t>-12 ( -3.8% )</t>
  </si>
  <si>
    <t>-838300 ( -33.9% )</t>
  </si>
  <si>
    <t>-46 ( -15.2% )</t>
  </si>
  <si>
    <t>903200 ( 55.3% )</t>
  </si>
  <si>
    <t>111 ( 43.4% )</t>
  </si>
  <si>
    <t>-395200 ( -15.6% )</t>
  </si>
  <si>
    <t>-62 ( -16.9% )</t>
  </si>
  <si>
    <t>-1034900 ( -48.3% )</t>
  </si>
  <si>
    <t>-139 ( -45.6% )</t>
  </si>
  <si>
    <t>2320100 ( 209.6% )</t>
  </si>
  <si>
    <t>415 ( 250.0% )</t>
  </si>
  <si>
    <t>-2577000 ( -75.2% )</t>
  </si>
  <si>
    <t>-454 ( -78.1% )</t>
  </si>
  <si>
    <t>-509500 ( -59.9% )</t>
  </si>
  <si>
    <t>-79 ( -62.2% )</t>
  </si>
  <si>
    <t>1042500 ( 306.2% )</t>
  </si>
  <si>
    <t>135 ( 281.3% )</t>
  </si>
  <si>
    <t>-750100 ( -54.2% )</t>
  </si>
  <si>
    <t>-98 ( -53.6% )</t>
  </si>
  <si>
    <t>321100 ( 50.7% )</t>
  </si>
  <si>
    <t>33 ( 38.8% )</t>
  </si>
  <si>
    <t>996500 ( 104.5% )</t>
  </si>
  <si>
    <t>134 ( 113.6% )</t>
  </si>
  <si>
    <t>-536600 ( -27.5% )</t>
  </si>
  <si>
    <t>-56 ( -22.2% )</t>
  </si>
  <si>
    <t>-483700 ( -34.2% )</t>
  </si>
  <si>
    <t>-80 ( -40.8% )</t>
  </si>
  <si>
    <t>483800 ( 52.0% )</t>
  </si>
  <si>
    <t>63 ( 54.3% )</t>
  </si>
  <si>
    <t>492000 ( 34.8% )</t>
  </si>
  <si>
    <t>5 ( 2.8% )</t>
  </si>
  <si>
    <t>-1321100 ( -69.3% )</t>
  </si>
  <si>
    <t>-110 ( -59.8% )</t>
  </si>
  <si>
    <t>171100 ( 29.3% )</t>
  </si>
  <si>
    <t>13 ( 17.6% )</t>
  </si>
  <si>
    <t>207600 ( 27.5% )</t>
  </si>
  <si>
    <t>27 ( 31.0% )</t>
  </si>
  <si>
    <t>-624600 ( -64.8% )</t>
  </si>
  <si>
    <t>-68 ( -59.6% )</t>
  </si>
  <si>
    <t>-16000 ( -4.7% )</t>
  </si>
  <si>
    <t>3 ( 6.5% )</t>
  </si>
  <si>
    <t>-176000 ( -54.5% )</t>
  </si>
  <si>
    <t>-28 ( -57.1% )</t>
  </si>
  <si>
    <t>34000 ( 23.1% )</t>
  </si>
  <si>
    <t>6 ( 28.6% )</t>
  </si>
  <si>
    <t>799500 ( 441.7% )</t>
  </si>
  <si>
    <t>89 ( 329.6% )</t>
  </si>
  <si>
    <t>-164000 ( -16.7% )</t>
  </si>
  <si>
    <t>-15 ( -12.9% )</t>
  </si>
  <si>
    <t>-550500 ( -67.4% )</t>
  </si>
  <si>
    <t>-66 ( -65.3% )</t>
  </si>
  <si>
    <t>32000 ( 12.0% )</t>
  </si>
  <si>
    <t>4 ( 11.4% )</t>
  </si>
  <si>
    <t>-30000 ( -10.1% )</t>
  </si>
  <si>
    <t>-3 ( -7.7% )</t>
  </si>
  <si>
    <t>-76000 ( -28.4% )</t>
  </si>
  <si>
    <t>-9 ( -25.0% )</t>
  </si>
  <si>
    <t>-60000 ( -31.3% )</t>
  </si>
  <si>
    <t>-9 ( -33.3% )</t>
  </si>
  <si>
    <t>1581000 ( 1197.7% )</t>
  </si>
  <si>
    <t>176 ( 977.8% )</t>
  </si>
  <si>
    <t>361800 ( 21.1% )</t>
  </si>
  <si>
    <t>8 ( 4.1% )</t>
  </si>
  <si>
    <t>-1872800 ( -90.3% )</t>
  </si>
  <si>
    <t>-178 ( -88.1% )</t>
  </si>
  <si>
    <t>122800 ( 60.8% )</t>
  </si>
  <si>
    <t>23 ( 95.8% )</t>
  </si>
  <si>
    <t>-119800 ( -36.9% )</t>
  </si>
  <si>
    <t>-21 ( -44.7% )</t>
  </si>
  <si>
    <t>-174500 ( -85.1% )</t>
  </si>
  <si>
    <t>-21 ( -80.8% )</t>
  </si>
  <si>
    <t>592500 ( 1942.6% )</t>
  </si>
  <si>
    <t>98 ( 1960.0% )</t>
  </si>
  <si>
    <t>-609000 ( -97.8% )</t>
  </si>
  <si>
    <t>-101 ( -98.1% )</t>
  </si>
  <si>
    <t>371600 ( 2654.3% )</t>
  </si>
  <si>
    <t>41 ( 2050.0% )</t>
  </si>
  <si>
    <t>-366600 ( -95.1% )</t>
  </si>
  <si>
    <t>-40 ( -93.0% )</t>
  </si>
  <si>
    <t>1500 ( 7.9% )</t>
  </si>
  <si>
    <t>700000 ( 100.0% )</t>
  </si>
  <si>
    <t>140 ( 100.0% )</t>
  </si>
  <si>
    <t>870000 ( 100.0% )</t>
  </si>
  <si>
    <t>174 ( 100.0% )</t>
  </si>
  <si>
    <t>511000 ( 100.0% )</t>
  </si>
  <si>
    <t>78 ( 100.0% )</t>
  </si>
  <si>
    <t>-341000 ( -66.7% )</t>
  </si>
  <si>
    <t>-44 ( -56.4% )</t>
  </si>
  <si>
    <t>450000 ( 100.0% )</t>
  </si>
  <si>
    <t>90 ( 100.0% )</t>
  </si>
  <si>
    <t>■ '스윙키즈' 일자별 통계정보</t>
  </si>
  <si>
    <t>247 ( 100.0% )</t>
  </si>
  <si>
    <t>52034600 ( 151.8% )</t>
  </si>
  <si>
    <t>6759 ( 222.0% )</t>
  </si>
  <si>
    <t>185669500 ( 215.1% )</t>
  </si>
  <si>
    <t>21147 ( 215.7% )</t>
  </si>
  <si>
    <t>13850100 ( 5.1% )</t>
  </si>
  <si>
    <t>1354 ( 4.4% )</t>
  </si>
  <si>
    <t>-259384300 ( -90.7% )</t>
  </si>
  <si>
    <t>-29219 ( -90.4% )</t>
  </si>
  <si>
    <t>14506700 ( 54.9% )</t>
  </si>
  <si>
    <t>1545 ( 50.1% )</t>
  </si>
  <si>
    <t>736031000 ( 1797.5% )</t>
  </si>
  <si>
    <t>97871 ( 2113.4% )</t>
  </si>
  <si>
    <t>-188142800 ( -24.2% )</t>
  </si>
  <si>
    <t>-24047 ( -23.5% )</t>
  </si>
  <si>
    <t>173864669 ( 29.5% )</t>
  </si>
  <si>
    <t>15887 ( 20.2% )</t>
  </si>
  <si>
    <t>472352514 ( 61.9% )</t>
  </si>
  <si>
    <t>47048 ( 49.9% )</t>
  </si>
  <si>
    <t>-42238983 ( -3.4% )</t>
  </si>
  <si>
    <t>-5840 ( -4.1% )</t>
  </si>
  <si>
    <t>-295969450 ( -24.8% )</t>
  </si>
  <si>
    <t>-21273 ( -15.7% )</t>
  </si>
  <si>
    <t>351416450 ( 39.2% )</t>
  </si>
  <si>
    <t>30551 ( 26.7% )</t>
  </si>
  <si>
    <t>-924588700 ( -74.1% )</t>
  </si>
  <si>
    <t>-90672 ( -62.6% )</t>
  </si>
  <si>
    <t>-26315150 ( -8.1% )</t>
  </si>
  <si>
    <t>-15071 ( -27.8% )</t>
  </si>
  <si>
    <t>63478800 ( 21.3% )</t>
  </si>
  <si>
    <t>4145 ( 10.6% )</t>
  </si>
  <si>
    <t>244531700 ( 67.8% )</t>
  </si>
  <si>
    <t>25710 ( 59.5% )</t>
  </si>
  <si>
    <t>1219350 ( 0.2% )</t>
  </si>
  <si>
    <t>750 ( 1.1% )</t>
  </si>
  <si>
    <t>-115141850 ( -19.0% )</t>
  </si>
  <si>
    <t>-6030 ( -8.7% )</t>
  </si>
  <si>
    <t>89503150 ( 18.2% )</t>
  </si>
  <si>
    <t>2513 ( 3.9% )</t>
  </si>
  <si>
    <t>-401831350 ( -69.2% )</t>
  </si>
  <si>
    <t>-43069 ( -65.1% )</t>
  </si>
  <si>
    <t>-31858000 ( -17.8% )</t>
  </si>
  <si>
    <t>-4081 ( -17.7% )</t>
  </si>
  <si>
    <t>3146750 ( 2.1% )</t>
  </si>
  <si>
    <t>-1654 ( -8.7% )</t>
  </si>
  <si>
    <t>63023900 ( 41.9% )</t>
  </si>
  <si>
    <t>6946 ( 40.0% )</t>
  </si>
  <si>
    <t>-45381500 ( -21.3% )</t>
  </si>
  <si>
    <t>-5105 ( -21.0% )</t>
  </si>
  <si>
    <t>-82557450 ( -49.1% )</t>
  </si>
  <si>
    <t>-8422 ( -43.8% )</t>
  </si>
  <si>
    <t>5771900 ( 6.8% )</t>
  </si>
  <si>
    <t>785 ( 7.3% )</t>
  </si>
  <si>
    <t>-69876100 ( -76.6% )</t>
  </si>
  <si>
    <t>-8837 ( -76.4% )</t>
  </si>
  <si>
    <t>-1542950 ( -7.2% )</t>
  </si>
  <si>
    <t>-81 ( -3.0% )</t>
  </si>
  <si>
    <t>-1795150 ( -9.0% )</t>
  </si>
  <si>
    <t>-542 ( -20.4% )</t>
  </si>
  <si>
    <t>10026200 ( 55.6% )</t>
  </si>
  <si>
    <t>1225 ( 58.0% )</t>
  </si>
  <si>
    <t>-13474340 ( -48.0% )</t>
  </si>
  <si>
    <t>-1673 ( -50.1% )</t>
  </si>
  <si>
    <t>-7212860 ( -49.4% )</t>
  </si>
  <si>
    <t>-709 ( -42.6% )</t>
  </si>
  <si>
    <t>2922750 ( 39.6% )</t>
  </si>
  <si>
    <t>493 ( 51.6% )</t>
  </si>
  <si>
    <t>-4387900 ( -42.6% )</t>
  </si>
  <si>
    <t>-443 ( -30.6% )</t>
  </si>
  <si>
    <t>-2233300 ( -37.7% )</t>
  </si>
  <si>
    <t>-403 ( -40.1% )</t>
  </si>
  <si>
    <t>-830720 ( -22.5% )</t>
  </si>
  <si>
    <t>-95 ( -15.8% )</t>
  </si>
  <si>
    <t>-520580 ( -18.2% )</t>
  </si>
  <si>
    <t>-163 ( -32.1% )</t>
  </si>
  <si>
    <t>-1848000 ( -79.1% )</t>
  </si>
  <si>
    <t>-290 ( -84.1% )</t>
  </si>
  <si>
    <t>-214800 ( -43.9% )</t>
  </si>
  <si>
    <t>-18 ( -32.7% )</t>
  </si>
  <si>
    <t>1535000 ( 559.8% )</t>
  </si>
  <si>
    <t>232 ( 627.0% )</t>
  </si>
  <si>
    <t>170000 ( 9.4% )</t>
  </si>
  <si>
    <t>109 ( 40.5% )</t>
  </si>
  <si>
    <t>-1753000 ( -88.6% )</t>
  </si>
  <si>
    <t>-349 ( -92.3% )</t>
  </si>
  <si>
    <t>849000 ( 375.3% )</t>
  </si>
  <si>
    <t>163 ( 562.1% )</t>
  </si>
  <si>
    <t>-174800 ( -16.3% )</t>
  </si>
  <si>
    <t>-93 ( -48.4% )</t>
  </si>
  <si>
    <t>-540200 ( -60.0% )</t>
  </si>
  <si>
    <t>-58 ( -58.6% )</t>
  </si>
  <si>
    <t>1011000 ( 280.7% )</t>
  </si>
  <si>
    <t>207 ( 504.9% )</t>
  </si>
  <si>
    <t>3249000 ( 236.9% )</t>
  </si>
  <si>
    <t>559 ( 225.4% )</t>
  </si>
  <si>
    <t>-2225200 ( -48.2% )</t>
  </si>
  <si>
    <t>-389 ( -48.2% )</t>
  </si>
  <si>
    <t>-1849000 ( -77.2% )</t>
  </si>
  <si>
    <t>-325 ( -77.8% )</t>
  </si>
  <si>
    <t>-413000 ( -75.6% )</t>
  </si>
  <si>
    <t>-78 ( -83.9% )</t>
  </si>
  <si>
    <t>81000 ( 60.9% )</t>
  </si>
  <si>
    <t>10 ( 66.7% )</t>
  </si>
  <si>
    <t>26000 ( 12.1% )</t>
  </si>
  <si>
    <t>4 ( 16.0% )</t>
  </si>
  <si>
    <t>-18000 ( -7.5% )</t>
  </si>
  <si>
    <t>-3 ( -10.3% )</t>
  </si>
  <si>
    <t>29500 ( 13.3% )</t>
  </si>
  <si>
    <t>4 ( 15.4% )</t>
  </si>
  <si>
    <t>29500 ( 11.7% )</t>
  </si>
  <si>
    <t>3 ( 10.0% )</t>
  </si>
  <si>
    <t>-259000 ( -92.2% )</t>
  </si>
  <si>
    <t>-30 ( -90.9% )</t>
  </si>
  <si>
    <t>986000 ( 4481.8% )</t>
  </si>
  <si>
    <t>159 ( 5300.0% )</t>
  </si>
  <si>
    <t>-918000 ( -91.1% )</t>
  </si>
  <si>
    <t>-151 ( -93.2% )</t>
  </si>
  <si>
    <t>68500 ( 76.1% )</t>
  </si>
  <si>
    <t>-95000 ( -59.9% )</t>
  </si>
  <si>
    <t>-13 ( -59.1% )</t>
  </si>
  <si>
    <t>30500 ( 48.0% )</t>
  </si>
  <si>
    <t>3375000 ( 3590.4% )</t>
  </si>
  <si>
    <t>452 ( 3766.7% )</t>
  </si>
  <si>
    <t>714000 ( 100.0% )</t>
  </si>
  <si>
    <t>102 ( 100.0% )</t>
  </si>
  <si>
    <t>1568700 ( 100.0% )</t>
  </si>
  <si>
    <t>243 ( 100.0% )</t>
  </si>
  <si>
    <t>790500 ( 50.4% )</t>
  </si>
  <si>
    <t>116 ( 47.7% )</t>
  </si>
  <si>
    <t>-541900 ( -23.0% )</t>
  </si>
  <si>
    <t>-83 ( -23.1% )</t>
  </si>
  <si>
    <t>-124900 ( -6.9% )</t>
  </si>
  <si>
    <t>-16 ( -5.8% )</t>
  </si>
  <si>
    <t>-269600 ( -15.9% )</t>
  </si>
  <si>
    <t>-45 ( -17.3% )</t>
  </si>
  <si>
    <t>-956900 ( -67.3% )</t>
  </si>
  <si>
    <t>-144 ( -67.0% )</t>
  </si>
  <si>
    <t>571200 ( 122.6% )</t>
  </si>
  <si>
    <t>87 ( 122.5% )</t>
  </si>
  <si>
    <t>■ '드래곤 길들이기 3' 일자별 통계정보</t>
  </si>
  <si>
    <t>822417640 ( 20306.6% )</t>
  </si>
  <si>
    <t>124067 ( 27570.4% )</t>
  </si>
  <si>
    <t>-277478170 ( -33.6% )</t>
  </si>
  <si>
    <t>-55683 ( -44.7% )</t>
  </si>
  <si>
    <t>115166486 ( 21.0% )</t>
  </si>
  <si>
    <t>5667 ( 8.2% )</t>
  </si>
  <si>
    <t>901707814 ( 135.8% )</t>
  </si>
  <si>
    <t>105028 ( 141.0% )</t>
  </si>
  <si>
    <t>-103706870 ( -6.6% )</t>
  </si>
  <si>
    <t>-12852 ( -7.2% )</t>
  </si>
  <si>
    <t>-366896630 ( -25.1% )</t>
  </si>
  <si>
    <t>-43268 ( -26.0% )</t>
  </si>
  <si>
    <t>-426020360 ( -38.9% )</t>
  </si>
  <si>
    <t>-46785 ( -37.9% )</t>
  </si>
  <si>
    <t>323188810 ( 48.3% )</t>
  </si>
  <si>
    <t>41210 ( 53.8% )</t>
  </si>
  <si>
    <t>-694078430 ( -69.9% )</t>
  </si>
  <si>
    <t>-79234 ( -67.2% )</t>
  </si>
  <si>
    <t>-285030 ( -0.1% )</t>
  </si>
  <si>
    <t>-3044 ( -7.9% )</t>
  </si>
  <si>
    <t>383507390 ( 128.7% )</t>
  </si>
  <si>
    <t>46909 ( 131.9% )</t>
  </si>
  <si>
    <t>3957280 ( 0.6% )</t>
  </si>
  <si>
    <t>407 ( 0.5% )</t>
  </si>
  <si>
    <t>-507107790 ( -74.0% )</t>
  </si>
  <si>
    <t>-59526 ( -71.8% )</t>
  </si>
  <si>
    <t>9233220 ( 5.2% )</t>
  </si>
  <si>
    <t>1737 ( 7.4% )</t>
  </si>
  <si>
    <t>-67581550 ( -36.0% )</t>
  </si>
  <si>
    <t>-8857 ( -35.3% )</t>
  </si>
  <si>
    <t>-28305060 ( -23.6% )</t>
  </si>
  <si>
    <t>-3306 ( -20.4% )</t>
  </si>
  <si>
    <t>12665140 ( 13.8% )</t>
  </si>
  <si>
    <t>729 ( 5.6% )</t>
  </si>
  <si>
    <t>178459300 ( 170.9% )</t>
  </si>
  <si>
    <t>22260 ( 163.1% )</t>
  </si>
  <si>
    <t>30121010 ( 10.6% )</t>
  </si>
  <si>
    <t>3596 ( 10.0% )</t>
  </si>
  <si>
    <t>-228006130 ( -72.8% )</t>
  </si>
  <si>
    <t>-27636 ( -70.0% )</t>
  </si>
  <si>
    <t>6186630 ( 7.3% )</t>
  </si>
  <si>
    <t>1032 ( 8.7% )</t>
  </si>
  <si>
    <t>-40142760 ( -44.0% )</t>
  </si>
  <si>
    <t>-5444 ( -42.2% )</t>
  </si>
  <si>
    <t>-882120 ( -1.7% )</t>
  </si>
  <si>
    <t>-261 ( -3.5% )</t>
  </si>
  <si>
    <t>12159620 ( 24.2% )</t>
  </si>
  <si>
    <t>1102 ( 15.3% )</t>
  </si>
  <si>
    <t>72562090 ( 116.4% )</t>
  </si>
  <si>
    <t>8887 ( 107.1% )</t>
  </si>
  <si>
    <t>8158880 ( 6.0% )</t>
  </si>
  <si>
    <t>952 ( 5.5% )</t>
  </si>
  <si>
    <t>-82620180 ( -57.8% )</t>
  </si>
  <si>
    <t>-9503 ( -52.4% )</t>
  </si>
  <si>
    <t>11138950 ( 18.4% )</t>
  </si>
  <si>
    <t>1767 ( 20.5% )</t>
  </si>
  <si>
    <t>-23384630 ( -32.7% )</t>
  </si>
  <si>
    <t>-3149 ( -30.3% )</t>
  </si>
  <si>
    <t>4704830 ( 9.8% )</t>
  </si>
  <si>
    <t>485 ( 6.7% )</t>
  </si>
  <si>
    <t>60314570 ( 114.0% )</t>
  </si>
  <si>
    <t>6737 ( 87.1% )</t>
  </si>
  <si>
    <t>-30165250 ( -26.6% )</t>
  </si>
  <si>
    <t>-4029 ( -27.8% )</t>
  </si>
  <si>
    <t>-10030400 ( -12.1% )</t>
  </si>
  <si>
    <t>-1346 ( -12.9% )</t>
  </si>
  <si>
    <t>-62562760 ( -85.7% )</t>
  </si>
  <si>
    <t>-7713 ( -84.8% )</t>
  </si>
  <si>
    <t>-4954210 ( -47.4% )</t>
  </si>
  <si>
    <t>-665 ( -48.0% )</t>
  </si>
  <si>
    <t>-4088430 ( -74.5% )</t>
  </si>
  <si>
    <t>-534 ( -74.1% )</t>
  </si>
  <si>
    <t>-497450 ( -35.5% )</t>
  </si>
  <si>
    <t>-63 ( -33.7% )</t>
  </si>
  <si>
    <t>-50170 ( -5.5% )</t>
  </si>
  <si>
    <t>-20 ( -16.1% )</t>
  </si>
  <si>
    <t>8083420 ( 945.1% )</t>
  </si>
  <si>
    <t>1017 ( 977.9% )</t>
  </si>
  <si>
    <t>3978010 ( 44.5% )</t>
  </si>
  <si>
    <t>477 ( 42.6% )</t>
  </si>
  <si>
    <t>-12342110 ( -95.6% )</t>
  </si>
  <si>
    <t>-1512 ( -94.6% )</t>
  </si>
  <si>
    <t>186960 ( 32.5% )</t>
  </si>
  <si>
    <t>23 ( 26.7% )</t>
  </si>
  <si>
    <t>-26560 ( -3.5% )</t>
  </si>
  <si>
    <t>-352400 ( -47.9% )</t>
  </si>
  <si>
    <t>-42 ( -42.0% )</t>
  </si>
  <si>
    <t>332000 ( 86.8% )</t>
  </si>
  <si>
    <t>56 ( 96.6% )</t>
  </si>
  <si>
    <t>4199400 ( 587.7% )</t>
  </si>
  <si>
    <t>533 ( 467.5% )</t>
  </si>
  <si>
    <t>170800 ( 3.5% )</t>
  </si>
  <si>
    <t>2 ( 0.3% )</t>
  </si>
  <si>
    <t>-4740900 ( -93.2% )</t>
  </si>
  <si>
    <t>-595 ( -91.7% )</t>
  </si>
  <si>
    <t>-29800 ( -8.7% )</t>
  </si>
  <si>
    <t>-5 ( -9.3% )</t>
  </si>
  <si>
    <t>4096000 ( 1304.0% )</t>
  </si>
  <si>
    <t>453 ( 924.5% )</t>
  </si>
  <si>
    <t>-4361100 ( -98.9% )</t>
  </si>
  <si>
    <t>-493 ( -98.2% )</t>
  </si>
  <si>
    <t>71000 ( 144.9% )</t>
  </si>
  <si>
    <t>7 ( 77.8% )</t>
  </si>
  <si>
    <t>886600 ( 738.8% )</t>
  </si>
  <si>
    <t>106 ( 662.5% )</t>
  </si>
  <si>
    <t>352400 ( 35.0% )</t>
  </si>
  <si>
    <t>50 ( 41.0% )</t>
  </si>
  <si>
    <t>-1018700 ( -75.0% )</t>
  </si>
  <si>
    <t>-118 ( -68.6% )</t>
  </si>
  <si>
    <t>-166700 ( -49.0% )</t>
  </si>
  <si>
    <t>-31 ( -57.4% )</t>
  </si>
  <si>
    <t>-138600 ( -79.8% )</t>
  </si>
  <si>
    <t>-16 ( -69.6% )</t>
  </si>
  <si>
    <t>570800 ( 100.0% )</t>
  </si>
  <si>
    <t>75 ( 100.0% )</t>
  </si>
  <si>
    <t>50000 ( 8.8% )</t>
  </si>
  <si>
    <t>7 ( 9.3% )</t>
  </si>
  <si>
    <t>49000 ( 100.0% )</t>
  </si>
  <si>
    <t>30000 ( 61.2% )</t>
  </si>
  <si>
    <t>4 ( 80.0% )</t>
  </si>
  <si>
    <t>■ '언니' 일자별 통계정보</t>
  </si>
  <si>
    <t>612798450 ( 100.0% )</t>
  </si>
  <si>
    <t>66686 ( 100.0% )</t>
  </si>
  <si>
    <t>-408046050 ( -66.6% )</t>
  </si>
  <si>
    <t>-41841 ( -62.7% )</t>
  </si>
  <si>
    <t>-62432750 ( -30.5% )</t>
  </si>
  <si>
    <t>-7618 ( -30.7% )</t>
  </si>
  <si>
    <t>14126350 ( 9.9% )</t>
  </si>
  <si>
    <t>-25 ( -0.1% )</t>
  </si>
  <si>
    <t>72158700 ( 46.1% )</t>
  </si>
  <si>
    <t>7704 ( 44.8% )</t>
  </si>
  <si>
    <t>-43041050 ( -18.8% )</t>
  </si>
  <si>
    <t>-4677 ( -18.8% )</t>
  </si>
  <si>
    <t>-101257550 ( -54.6% )</t>
  </si>
  <si>
    <t>-10084 ( -49.8% )</t>
  </si>
  <si>
    <t>-9208850 ( -10.9% )</t>
  </si>
  <si>
    <t>-1102 ( -10.9% )</t>
  </si>
  <si>
    <t>-63557950 ( -84.6% )</t>
  </si>
  <si>
    <t>-7627 ( -84.3% )</t>
  </si>
  <si>
    <t>-4082900 ( -35.4% )</t>
  </si>
  <si>
    <t>-477 ( -33.7% )</t>
  </si>
  <si>
    <t>1040800 ( 14.0% )</t>
  </si>
  <si>
    <t>28 ( 3.0% )</t>
  </si>
  <si>
    <t>2684650 ( 31.6% )</t>
  </si>
  <si>
    <t>310 ( 32.1% )</t>
  </si>
  <si>
    <t>-1634550 ( -14.6% )</t>
  </si>
  <si>
    <t>-191 ( -15.0% )</t>
  </si>
  <si>
    <t>-5693000 ( -59.6% )</t>
  </si>
  <si>
    <t>-611 ( -56.3% )</t>
  </si>
  <si>
    <t>-378550 ( -9.8% )</t>
  </si>
  <si>
    <t>-41 ( -8.6% )</t>
  </si>
  <si>
    <t>-3199750 ( -92.1% )</t>
  </si>
  <si>
    <t>-389 ( -89.6% )</t>
  </si>
  <si>
    <t>-267000 ( -96.7% )</t>
  </si>
  <si>
    <t>-39 ( -86.7% )</t>
  </si>
  <si>
    <t>72300 ( 803.3% )</t>
  </si>
  <si>
    <t>11 ( 183.3% )</t>
  </si>
  <si>
    <t>39350 ( 48.4% )</t>
  </si>
  <si>
    <t>3 ( 17.6% )</t>
  </si>
  <si>
    <t>4350 ( 3.6% )</t>
  </si>
  <si>
    <t>1 ( 5.0% )</t>
  </si>
  <si>
    <t>-67000 ( -53.6% )</t>
  </si>
  <si>
    <t>-9 ( -42.9% )</t>
  </si>
  <si>
    <t>-23000 ( -39.7% )</t>
  </si>
  <si>
    <t>-2 ( -16.7% )</t>
  </si>
  <si>
    <t>-30000 ( -85.7% )</t>
  </si>
  <si>
    <t>-5 ( -50.0% )</t>
  </si>
  <si>
    <t>156000 ( 100.0% )</t>
  </si>
  <si>
    <t>-114000 ( -73.1% )</t>
  </si>
  <si>
    <t>-60 ( -76.9% )</t>
  </si>
  <si>
    <t>■ '언더독' 일자별 통계정보</t>
  </si>
  <si>
    <t>101226100 ( 264.2% )</t>
  </si>
  <si>
    <t>14364 ( 325.2% )</t>
  </si>
  <si>
    <t>-41340620 ( -29.6% )</t>
  </si>
  <si>
    <t>-5025 ( -26.8% )</t>
  </si>
  <si>
    <t>2800270 ( 2.9% )</t>
  </si>
  <si>
    <t>-520 ( -3.8% )</t>
  </si>
  <si>
    <t>139897030 ( 138.5% )</t>
  </si>
  <si>
    <t>16936 ( 128.0% )</t>
  </si>
  <si>
    <t>-23146770 ( -9.6% )</t>
  </si>
  <si>
    <t>-3142 ( -10.4% )</t>
  </si>
  <si>
    <t>-158126530 ( -72.6% )</t>
  </si>
  <si>
    <t>-18774 ( -69.5% )</t>
  </si>
  <si>
    <t>18815410 ( 31.6% )</t>
  </si>
  <si>
    <t>2709 ( 32.8% )</t>
  </si>
  <si>
    <t>-43649540 ( -55.6% )</t>
  </si>
  <si>
    <t>-5769 ( -52.6% )</t>
  </si>
  <si>
    <t>3971150 ( 11.4% )</t>
  </si>
  <si>
    <t>461 ( 8.9% )</t>
  </si>
  <si>
    <t>747630 ( 1.9% )</t>
  </si>
  <si>
    <t>-60 ( -1.1% )</t>
  </si>
  <si>
    <t>32872660 ( 83.2% )</t>
  </si>
  <si>
    <t>3809 ( 68.1% )</t>
  </si>
  <si>
    <t>817870 ( 1.1% )</t>
  </si>
  <si>
    <t>-219 ( -2.3% )</t>
  </si>
  <si>
    <t>-56674960 ( -77.4% )</t>
  </si>
  <si>
    <t>-6812 ( -74.1% )</t>
  </si>
  <si>
    <t>3660910 ( 22.2% )</t>
  </si>
  <si>
    <t>584 ( 24.6% )</t>
  </si>
  <si>
    <t>-12234010 ( -60.6% )</t>
  </si>
  <si>
    <t>-1700 ( -57.5% )</t>
  </si>
  <si>
    <t>-4953800 ( -62.3% )</t>
  </si>
  <si>
    <t>-744 ( -59.1% )</t>
  </si>
  <si>
    <t>79600 ( 2.7% )</t>
  </si>
  <si>
    <t>-72 ( -14.0% )</t>
  </si>
  <si>
    <t>1258800 ( 40.9% )</t>
  </si>
  <si>
    <t>141 ( 31.8% )</t>
  </si>
  <si>
    <t>124000 ( 2.9% )</t>
  </si>
  <si>
    <t>-58 ( -9.9% )</t>
  </si>
  <si>
    <t>-1260500 ( -28.3% )</t>
  </si>
  <si>
    <t>-133 ( -25.3% )</t>
  </si>
  <si>
    <t>-1787200 ( -55.9% )</t>
  </si>
  <si>
    <t>-203 ( -51.7% )</t>
  </si>
  <si>
    <t>1058000 ( 75.0% )</t>
  </si>
  <si>
    <t>58 ( 30.5% )</t>
  </si>
  <si>
    <t>-1417500 ( -57.4% )</t>
  </si>
  <si>
    <t>-48 ( -19.4% )</t>
  </si>
  <si>
    <t>448000 ( 42.6% )</t>
  </si>
  <si>
    <t>72 ( 36.0% )</t>
  </si>
  <si>
    <t>2967000 ( 197.9% )</t>
  </si>
  <si>
    <t>194 ( 71.3% )</t>
  </si>
  <si>
    <t>-3281300 ( -73.5% )</t>
  </si>
  <si>
    <t>-287 ( -61.6% )</t>
  </si>
  <si>
    <t>-409100 ( -34.5% )</t>
  </si>
  <si>
    <t>-47 ( -26.3% )</t>
  </si>
  <si>
    <t>-112300 ( -14.5% )</t>
  </si>
  <si>
    <t>-26 ( -19.7% )</t>
  </si>
  <si>
    <t>36300 ( 5.5% )</t>
  </si>
  <si>
    <t>6 ( 5.7% )</t>
  </si>
  <si>
    <t>-261600 ( -37.4% )</t>
  </si>
  <si>
    <t>-33 ( -29.5% )</t>
  </si>
  <si>
    <t>75000 ( 17.1% )</t>
  </si>
  <si>
    <t>7 ( 8.9% )</t>
  </si>
  <si>
    <t>116000 ( 22.6% )</t>
  </si>
  <si>
    <t>-4 ( -4.7% )</t>
  </si>
  <si>
    <t>-159000 ( -25.3% )</t>
  </si>
  <si>
    <t>-12 ( -14.6% )</t>
  </si>
  <si>
    <t>-165000 ( -35.1% )</t>
  </si>
  <si>
    <t>-10 ( -14.3% )</t>
  </si>
  <si>
    <t>918000 ( 301.0% )</t>
  </si>
  <si>
    <t>137 ( 228.3% )</t>
  </si>
  <si>
    <t>-961000 ( -78.6% )</t>
  </si>
  <si>
    <t>-159 ( -80.7% )</t>
  </si>
  <si>
    <t>-68000 ( -26.0% )</t>
  </si>
  <si>
    <t>-5 ( -13.2% )</t>
  </si>
  <si>
    <t>-86000 ( -44.3% )</t>
  </si>
  <si>
    <t>-14 ( -42.4% )</t>
  </si>
  <si>
    <t>1228000 ( 1137.0% )</t>
  </si>
  <si>
    <t>190 ( 1000.0% )</t>
  </si>
  <si>
    <t>987000 ( 73.9% )</t>
  </si>
  <si>
    <t>14 ( 6.7% )</t>
  </si>
  <si>
    <t>-2190000 ( -94.3% )</t>
  </si>
  <si>
    <t>-201 ( -90.1% )</t>
  </si>
  <si>
    <t>1506000 ( 1132.3% )</t>
  </si>
  <si>
    <t>290 ( 1318.2% )</t>
  </si>
  <si>
    <t>-306000 ( -18.7% )</t>
  </si>
  <si>
    <t>-63 ( -20.2% )</t>
  </si>
  <si>
    <t>-1275000 ( -95.6% )</t>
  </si>
  <si>
    <t>-238 ( -95.6% )</t>
  </si>
  <si>
    <t>231000 ( 398.3% )</t>
  </si>
  <si>
    <t>34 ( 309.1% )</t>
  </si>
  <si>
    <t>21000 ( 7.3% )</t>
  </si>
  <si>
    <t>5 ( 11.1% )</t>
  </si>
  <si>
    <t>-134000 ( -43.2% )</t>
  </si>
  <si>
    <t>-26 ( -52.0% )</t>
  </si>
  <si>
    <t>-147000 ( -83.5% )</t>
  </si>
  <si>
    <t>-20 ( -83.3% )</t>
  </si>
  <si>
    <t>41000 ( 141.4% )</t>
  </si>
  <si>
    <t>5 ( 125.0% )</t>
  </si>
  <si>
    <t>18000 ( 25.7% )</t>
  </si>
  <si>
    <t>-47000 ( -53.4% )</t>
  </si>
  <si>
    <t>-5 ( -45.5% )</t>
  </si>
  <si>
    <t>5000 ( 12.2% )</t>
  </si>
  <si>
    <t>1 ( 16.7% )</t>
  </si>
  <si>
    <t>2420000 ( 5260.9% )</t>
  </si>
  <si>
    <t>302 ( 4314.3% )</t>
  </si>
  <si>
    <t>-2410000 ( -97.7% )</t>
  </si>
  <si>
    <t>-301 ( -97.4% )</t>
  </si>
  <si>
    <t>-27000 ( -48.2% )</t>
  </si>
  <si>
    <t>-4 ( -50.0% )</t>
  </si>
  <si>
    <t>-12000 ( -41.4% )</t>
  </si>
  <si>
    <t>1244000 ( 7317.6% )</t>
  </si>
  <si>
    <t>156 ( 7800.0% )</t>
  </si>
  <si>
    <t>-1218000 ( -96.6% )</t>
  </si>
  <si>
    <t>-153 ( -96.8% )</t>
  </si>
  <si>
    <t>-24000 ( -55.8% )</t>
  </si>
  <si>
    <t>-2 ( -40.0% )</t>
  </si>
  <si>
    <t>2741000 ( 14426.3% )</t>
  </si>
  <si>
    <t>342 ( 11400.0% )</t>
  </si>
  <si>
    <t>-2697000 ( -97.7% )</t>
  </si>
  <si>
    <t>-336 ( -97.4% )</t>
  </si>
  <si>
    <t>1942000 ( 24275.0% )</t>
  </si>
  <si>
    <t>324 ( 32400.0% )</t>
  </si>
  <si>
    <t>-1866500 ( -95.7% )</t>
  </si>
  <si>
    <t>-316 ( -97.2% )</t>
  </si>
  <si>
    <t>1316500 ( 1576.6% )</t>
  </si>
  <si>
    <t>166 ( 1844.4% )</t>
  </si>
  <si>
    <t>-1220000 ( -87.1% )</t>
  </si>
  <si>
    <t>-152 ( -86.9% )</t>
  </si>
  <si>
    <t>-117000 ( -65.0% )</t>
  </si>
  <si>
    <t>-49000 ( -77.8% )</t>
  </si>
  <si>
    <t>16442000 ( 117442.9% )</t>
  </si>
  <si>
    <t>1892 ( 94600.0% )</t>
  </si>
  <si>
    <t>19000 ( 100.0% )</t>
  </si>
  <si>
    <t>2381000 ( 12531.6% )</t>
  </si>
  <si>
    <t>297 ( 9900.0% )</t>
  </si>
  <si>
    <t>4904000 ( 100.0% )</t>
  </si>
  <si>
    <t>613 ( 100.0% )</t>
  </si>
  <si>
    <t>-4890000 ( -99.7% )</t>
  </si>
  <si>
    <t>-611 ( -99.7% )</t>
  </si>
  <si>
    <t>4000 ( 28.6% )</t>
  </si>
  <si>
    <t>7000 ( 38.9% )</t>
  </si>
  <si>
    <t>16000 ( 100.0% )</t>
  </si>
  <si>
    <t>-11000 ( -68.8% )</t>
  </si>
  <si>
    <t>-1 ( -50.0% )</t>
  </si>
  <si>
    <t>4000 ( 80.0% )</t>
  </si>
  <si>
    <t>45000 ( 100.0% )</t>
  </si>
  <si>
    <t>6 ( 100.0% )</t>
  </si>
  <si>
    <t>26000 ( 57.8% )</t>
  </si>
  <si>
    <t>5 ( 83.3% )</t>
  </si>
  <si>
    <t>162000 ( 100.0% )</t>
  </si>
  <si>
    <t>37 ( 100.0% )</t>
  </si>
  <si>
    <t>66000 ( 100.0% )</t>
  </si>
  <si>
    <t>19 ( 100.0% )</t>
  </si>
  <si>
    <t>510000 ( 100.0% )</t>
  </si>
  <si>
    <t>■ '점박이 한반도의 공룡2 : 새로운 낙원' 일자별 통계정보</t>
  </si>
  <si>
    <t>1234641300 ( 100.0% )</t>
  </si>
  <si>
    <t>154579 ( 100.0% )</t>
  </si>
  <si>
    <t>-1127118250 ( -91.3% )</t>
  </si>
  <si>
    <t>-139119 ( -90.0% )</t>
  </si>
  <si>
    <t>21161300 ( 19.7% )</t>
  </si>
  <si>
    <t>2579 ( 16.7% )</t>
  </si>
  <si>
    <t>38308950 ( 29.8% )</t>
  </si>
  <si>
    <t>2857 ( 15.8% )</t>
  </si>
  <si>
    <t>314607150 ( 188.4% )</t>
  </si>
  <si>
    <t>39606 ( 189.5% )</t>
  </si>
  <si>
    <t>-16143150 ( -3.4% )</t>
  </si>
  <si>
    <t>-2868 ( -4.7% )</t>
  </si>
  <si>
    <t>-167912650 ( -36.1% )</t>
  </si>
  <si>
    <t>-15948 ( -27.7% )</t>
  </si>
  <si>
    <t>193316450 ( 65.0% )</t>
  </si>
  <si>
    <t>18888 ( 45.3% )</t>
  </si>
  <si>
    <t>-340318300 ( -69.3% )</t>
  </si>
  <si>
    <t>-39349 ( -65.0% )</t>
  </si>
  <si>
    <t>-56707000 ( -37.7% )</t>
  </si>
  <si>
    <t>-7934 ( -37.4% )</t>
  </si>
  <si>
    <t>-2385250 ( -2.5% )</t>
  </si>
  <si>
    <t>-1788 ( -13.5% )</t>
  </si>
  <si>
    <t>67231300 ( 73.5% )</t>
  </si>
  <si>
    <t>8295 ( 72.1% )</t>
  </si>
  <si>
    <t>-2603800 ( -1.6% )</t>
  </si>
  <si>
    <t>-448 ( -2.3% )</t>
  </si>
  <si>
    <t>-115016750 ( -73.7% )</t>
  </si>
  <si>
    <t>-13530 ( -69.9% )</t>
  </si>
  <si>
    <t>-1523350 ( -3.7% )</t>
  </si>
  <si>
    <t>-182 ( -3.1% )</t>
  </si>
  <si>
    <t>-17398600 ( -44.0% )</t>
  </si>
  <si>
    <t>-2483 ( -44.0% )</t>
  </si>
  <si>
    <t>-12821350 ( -57.9% )</t>
  </si>
  <si>
    <t>-1790 ( -56.7% )</t>
  </si>
  <si>
    <t>2153850 ( 23.1% )</t>
  </si>
  <si>
    <t>208 ( 15.2% )</t>
  </si>
  <si>
    <t>15513000 ( 135.2% )</t>
  </si>
  <si>
    <t>1941 ( 123.4% )</t>
  </si>
  <si>
    <t>2153650 ( 8.0% )</t>
  </si>
  <si>
    <t>157 ( 4.5% )</t>
  </si>
  <si>
    <t>-23728250 ( -81.4% )</t>
  </si>
  <si>
    <t>-2907 ( -79.2% )</t>
  </si>
  <si>
    <t>1142250 ( 21.1% )</t>
  </si>
  <si>
    <t>198 ( 25.9% )</t>
  </si>
  <si>
    <t>-5016600 ( -76.6% )</t>
  </si>
  <si>
    <t>-724 ( -75.3% )</t>
  </si>
  <si>
    <t>-1038900 ( -67.6% )</t>
  </si>
  <si>
    <t>-163 ( -68.5% )</t>
  </si>
  <si>
    <t>1165300 ( 234.5% )</t>
  </si>
  <si>
    <t>184 ( 245.3% )</t>
  </si>
  <si>
    <t>553500 ( 33.3% )</t>
  </si>
  <si>
    <t>17 ( 6.6% )</t>
  </si>
  <si>
    <t>179800 ( 8.1% )</t>
  </si>
  <si>
    <t>22 ( 8.0% )</t>
  </si>
  <si>
    <t>-2068600 ( -86.3% )</t>
  </si>
  <si>
    <t>-249 ( -83.6% )</t>
  </si>
  <si>
    <t>91300 ( 27.9% )</t>
  </si>
  <si>
    <t>22 ( 44.9% )</t>
  </si>
  <si>
    <t>742700 ( 177.6% )</t>
  </si>
  <si>
    <t>116 ( 163.4% )</t>
  </si>
  <si>
    <t>-984000 ( -84.8% )</t>
  </si>
  <si>
    <t>-157 ( -84.0% )</t>
  </si>
  <si>
    <t>-5500 ( -3.1% )</t>
  </si>
  <si>
    <t>-2 ( -6.7% )</t>
  </si>
  <si>
    <t>276000 ( 160.9% )</t>
  </si>
  <si>
    <t>26 ( 92.9% )</t>
  </si>
  <si>
    <t>-700 ( -0.2% )</t>
  </si>
  <si>
    <t>-3 ( -5.6% )</t>
  </si>
  <si>
    <t>27200 ( 6.1% )</t>
  </si>
  <si>
    <t>27 ( 52.9% )</t>
  </si>
  <si>
    <t>1081000 ( 100.0% )</t>
  </si>
  <si>
    <t>209 ( 100.0% )</t>
  </si>
  <si>
    <t>945000 ( 87.4% )</t>
  </si>
  <si>
    <t>15 ( 7.2% )</t>
  </si>
  <si>
    <t>-2000000 ( -98.7% )</t>
  </si>
  <si>
    <t>-220 ( -98.2% )</t>
  </si>
  <si>
    <t>38000 ( 146.2% )</t>
  </si>
  <si>
    <t>-38000 ( -59.4% )</t>
  </si>
  <si>
    <t>-6000 ( -23.1% )</t>
  </si>
  <si>
    <t>-1 ( -25.0% )</t>
  </si>
  <si>
    <t>6000 ( 30.0% )</t>
  </si>
  <si>
    <t>1 ( 33.3% )</t>
  </si>
  <si>
    <t>12000 ( 46.2% )</t>
  </si>
  <si>
    <t>2 ( 50.0% )</t>
  </si>
  <si>
    <t>-12000 ( -31.6% )</t>
  </si>
  <si>
    <t>-2 ( -33.3% )</t>
  </si>
  <si>
    <t>3048500 ( 11725.0% )</t>
  </si>
  <si>
    <t>358 ( 8950.0% )</t>
  </si>
  <si>
    <t>66500 ( 100.0% )</t>
  </si>
  <si>
    <t>118500 ( 178.2% )</t>
  </si>
  <si>
    <t>17 ( 212.5% )</t>
  </si>
  <si>
    <t>37000 ( 100.0% )</t>
  </si>
  <si>
    <t>12000 ( 100.0% )</t>
  </si>
  <si>
    <t>10000 ( 83.3% )</t>
  </si>
  <si>
    <t>-9000 ( -40.9% )</t>
  </si>
  <si>
    <t>218500 ( 100.0% )</t>
  </si>
  <si>
    <t>26 ( 100.0% )</t>
  </si>
  <si>
    <t>-99000 ( -45.3% )</t>
  </si>
  <si>
    <t>-11 ( -42.3% )</t>
  </si>
  <si>
    <t>■ '미래의 미라이' 일자별 통계정보</t>
  </si>
  <si>
    <t>119312980 ( 2148.6% )</t>
  </si>
  <si>
    <t>15552 ( 2520.6% )</t>
  </si>
  <si>
    <t>-38380130 ( -30.7% )</t>
  </si>
  <si>
    <t>-4999 ( -30.9% )</t>
  </si>
  <si>
    <t>755539 ( 0.9% )</t>
  </si>
  <si>
    <t>-929 ( -8.3% )</t>
  </si>
  <si>
    <t>79291529 ( 90.9% )</t>
  </si>
  <si>
    <t>9456 ( 92.3% )</t>
  </si>
  <si>
    <t>-22071878 ( -13.3% )</t>
  </si>
  <si>
    <t>-2609 ( -13.2% )</t>
  </si>
  <si>
    <t>-93632140 ( -64.8% )</t>
  </si>
  <si>
    <t>-10483 ( -61.3% )</t>
  </si>
  <si>
    <t>-1325380 ( -2.6% )</t>
  </si>
  <si>
    <t>-14 ( -0.2% )</t>
  </si>
  <si>
    <t>-33300520 ( -67.3% )</t>
  </si>
  <si>
    <t>-4418 ( -67.0% )</t>
  </si>
  <si>
    <t>-1482290 ( -9.1% )</t>
  </si>
  <si>
    <t>-218 ( -10.0% )</t>
  </si>
  <si>
    <t>-2604020 ( -17.7% )</t>
  </si>
  <si>
    <t>-486 ( -24.9% )</t>
  </si>
  <si>
    <t>7487190 ( 61.8% )</t>
  </si>
  <si>
    <t>936 ( 63.7% )</t>
  </si>
  <si>
    <t>57310 ( 0.3% )</t>
  </si>
  <si>
    <t>62 ( 2.6% )</t>
  </si>
  <si>
    <t>-13082760 ( -66.5% )</t>
  </si>
  <si>
    <t>-1575 ( -63.8% )</t>
  </si>
  <si>
    <t>2481730 ( 37.7% )</t>
  </si>
  <si>
    <t>371 ( 41.6% )</t>
  </si>
  <si>
    <t>-8122760 ( -89.7% )</t>
  </si>
  <si>
    <t>-1098 ( -86.9% )</t>
  </si>
  <si>
    <t>-140900 ( -15.0% )</t>
  </si>
  <si>
    <t>-51 ( -30.9% )</t>
  </si>
  <si>
    <t>-132500 ( -16.6% )</t>
  </si>
  <si>
    <t>-34 ( -29.8% )</t>
  </si>
  <si>
    <t>31000 ( 4.7% )</t>
  </si>
  <si>
    <t>6 ( 7.5% )</t>
  </si>
  <si>
    <t>-191000 ( -27.5% )</t>
  </si>
  <si>
    <t>-22 ( -25.6% )</t>
  </si>
  <si>
    <t>449300 ( 89.1% )</t>
  </si>
  <si>
    <t>38 ( 59.4% )</t>
  </si>
  <si>
    <t>723600 ( 75.9% )</t>
  </si>
  <si>
    <t>53 ( 52.0% )</t>
  </si>
  <si>
    <t>-1200900 ( -71.6% )</t>
  </si>
  <si>
    <t>-93 ( -60.0% )</t>
  </si>
  <si>
    <t>-162000 ( -34.0% )</t>
  </si>
  <si>
    <t>-27 ( -43.5% )</t>
  </si>
  <si>
    <t>-306000 ( -97.5% )</t>
  </si>
  <si>
    <t>-34 ( -97.1% )</t>
  </si>
  <si>
    <t>876700 ( 10958.8% )</t>
  </si>
  <si>
    <t>91 ( 9100.0% )</t>
  </si>
  <si>
    <t>69300 ( 7.8% )</t>
  </si>
  <si>
    <t>5 ( 5.4% )</t>
  </si>
  <si>
    <t>163000 ( 17.1% )</t>
  </si>
  <si>
    <t>31 ( 32.0% )</t>
  </si>
  <si>
    <t>-1081000 ( -96.8% )</t>
  </si>
  <si>
    <t>-124 ( -96.9% )</t>
  </si>
  <si>
    <t>249500 ( 693.1% )</t>
  </si>
  <si>
    <t>30 ( 750.0% )</t>
  </si>
  <si>
    <t>-75500 ( -26.4% )</t>
  </si>
  <si>
    <t>-10 ( -29.4% )</t>
  </si>
  <si>
    <t>-140000 ( -66.7% )</t>
  </si>
  <si>
    <t>-16 ( -66.7% )</t>
  </si>
  <si>
    <t>6000 ( 8.6% )</t>
  </si>
  <si>
    <t>1 ( 12.5% )</t>
  </si>
  <si>
    <t>-16000 ( -21.1% )</t>
  </si>
  <si>
    <t>-2 ( -22.2% )</t>
  </si>
  <si>
    <t>-33000 ( -55.0% )</t>
  </si>
  <si>
    <t>-4 ( -57.1% )</t>
  </si>
  <si>
    <t>152000 ( 100.0% )</t>
  </si>
  <si>
    <t>18 ( 100.0% )</t>
  </si>
  <si>
    <t>80000 ( 1333.3% )</t>
  </si>
  <si>
    <t>9 ( 900.0% )</t>
  </si>
  <si>
    <t>327000 ( 100.0% )</t>
  </si>
  <si>
    <t>39 ( 100.0% )</t>
  </si>
  <si>
    <t>12402000 ( 100.0% )</t>
  </si>
  <si>
    <t>1378 ( 100.0% )</t>
  </si>
  <si>
    <t>■ '구스 베이비' 일자별 통계정보</t>
  </si>
  <si>
    <t>60424950 ( 3334.7% )</t>
  </si>
  <si>
    <t>9280 ( 4594.1% )</t>
  </si>
  <si>
    <t>-5437000 ( -8.7% )</t>
  </si>
  <si>
    <t>-728 ( -7.7% )</t>
  </si>
  <si>
    <t>531500 ( 0.9% )</t>
  </si>
  <si>
    <t>-500 ( -5.7% )</t>
  </si>
  <si>
    <t>81637600 ( 142.4% )</t>
  </si>
  <si>
    <t>9419 ( 114.1% )</t>
  </si>
  <si>
    <t>-20535720 ( -14.8% )</t>
  </si>
  <si>
    <t>-2869 ( -16.2% )</t>
  </si>
  <si>
    <t>-95107080 ( -80.3% )</t>
  </si>
  <si>
    <t>-11409 ( -77.1% )</t>
  </si>
  <si>
    <t>11330250 ( 48.6% )</t>
  </si>
  <si>
    <t>1941 ( 57.2% )</t>
  </si>
  <si>
    <t>-15803600 ( -45.6% )</t>
  </si>
  <si>
    <t>-2215 ( -41.5% )</t>
  </si>
  <si>
    <t>769200 ( 4.1% )</t>
  </si>
  <si>
    <t>98 ( 3.1% )</t>
  </si>
  <si>
    <t>-2360100 ( -12.0% )</t>
  </si>
  <si>
    <t>-474 ( -14.7% )</t>
  </si>
  <si>
    <t>12147030 ( 70.4% )</t>
  </si>
  <si>
    <t>965 ( 35.2% )</t>
  </si>
  <si>
    <t>-4667980 ( -15.9% )</t>
  </si>
  <si>
    <t>-631 ( -17.0% )</t>
  </si>
  <si>
    <t>-18550650 ( -75.0% )</t>
  </si>
  <si>
    <t>-2128 ( -69.1% )</t>
  </si>
  <si>
    <t>1623350 ( 26.2% )</t>
  </si>
  <si>
    <t>301 ( 31.7% )</t>
  </si>
  <si>
    <t>-3104650 ( -39.7% )</t>
  </si>
  <si>
    <t>-430 ( -34.3% )</t>
  </si>
  <si>
    <t>-2519800 ( -53.5% )</t>
  </si>
  <si>
    <t>-416 ( -50.6% )</t>
  </si>
  <si>
    <t>-225800 ( -10.3% )</t>
  </si>
  <si>
    <t>-40 ( -9.9% )</t>
  </si>
  <si>
    <t>-1490300 ( -75.9% )</t>
  </si>
  <si>
    <t>-314 ( -85.8% )</t>
  </si>
  <si>
    <t>-151800 ( -32.1% )</t>
  </si>
  <si>
    <t>-15 ( -28.8% )</t>
  </si>
  <si>
    <t>-36250 ( -11.3% )</t>
  </si>
  <si>
    <t>-3 ( -8.1% )</t>
  </si>
  <si>
    <t>-169150 ( -59.3% )</t>
  </si>
  <si>
    <t>-22 ( -64.7% )</t>
  </si>
  <si>
    <t>-103000 ( -88.8% )</t>
  </si>
  <si>
    <t>-10 ( -83.3% )</t>
  </si>
  <si>
    <t>841000 ( 6469.2% )</t>
  </si>
  <si>
    <t>168 ( 8400.0% )</t>
  </si>
  <si>
    <t>1863000 ( 218.1% )</t>
  </si>
  <si>
    <t>287 ( 168.8% )</t>
  </si>
  <si>
    <t>1965000 ( 100.0% )</t>
  </si>
  <si>
    <t>393 ( 100.0% )</t>
  </si>
  <si>
    <t>-893000 ( -45.4% )</t>
  </si>
  <si>
    <t>-202 ( -51.4% )</t>
  </si>
  <si>
    <t>865000 ( 80.7% )</t>
  </si>
  <si>
    <t>191 ( 100.0% )</t>
  </si>
  <si>
    <t>52000 ( 2.7% )</t>
  </si>
  <si>
    <t>-21 ( -5.5% )</t>
  </si>
  <si>
    <t>-447000 ( -22.5% )</t>
  </si>
  <si>
    <t>-57 ( -15.8% )</t>
  </si>
  <si>
    <t>14000 ( 100.0% )</t>
  </si>
  <si>
    <t>659000 ( 100.0% )</t>
  </si>
  <si>
    <t>120 ( 100.0% )</t>
  </si>
  <si>
    <t>330000 ( 100.0% )</t>
  </si>
  <si>
    <t>66 ( 100.0% )</t>
  </si>
  <si>
    <t>■ '그대 이름은 장미' 일자별 통계정보</t>
  </si>
  <si>
    <t>85825670 ( 344.6% )</t>
  </si>
  <si>
    <t>11062 ( 356.7% )</t>
  </si>
  <si>
    <t>-35090620 ( -31.7% )</t>
  </si>
  <si>
    <t>-4527 ( -32.0% )</t>
  </si>
  <si>
    <t>3170210 ( 4.2% )</t>
  </si>
  <si>
    <t>-442 ( -4.6% )</t>
  </si>
  <si>
    <t>31918880 ( 40.5% )</t>
  </si>
  <si>
    <t>3642 ( 39.6% )</t>
  </si>
  <si>
    <t>-15216940 ( -13.7% )</t>
  </si>
  <si>
    <t>-1667 ( -13.0% )</t>
  </si>
  <si>
    <t>-53367550 ( -55.9% )</t>
  </si>
  <si>
    <t>-5869 ( -52.5% )</t>
  </si>
  <si>
    <t>2506700 ( 5.9% )</t>
  </si>
  <si>
    <t>320 ( 6.0% )</t>
  </si>
  <si>
    <t>-40755700 ( -91.3% )</t>
  </si>
  <si>
    <t>-5095 ( -90.7% )</t>
  </si>
  <si>
    <t>-945500 ( -24.3% )</t>
  </si>
  <si>
    <t>-117 ( -22.3% )</t>
  </si>
  <si>
    <t>658050 ( 22.3% )</t>
  </si>
  <si>
    <t>48 ( 11.8% )</t>
  </si>
  <si>
    <t>-1009650 ( -28.0% )</t>
  </si>
  <si>
    <t>-113 ( -24.8% )</t>
  </si>
  <si>
    <t>332950 ( 12.8% )</t>
  </si>
  <si>
    <t>45 ( 13.1% )</t>
  </si>
  <si>
    <t>-1507200 ( -51.4% )</t>
  </si>
  <si>
    <t>-188 ( -48.5% )</t>
  </si>
  <si>
    <t>459850 ( 32.2% )</t>
  </si>
  <si>
    <t>64 ( 32.0% )</t>
  </si>
  <si>
    <t>-605500 ( -32.1% )</t>
  </si>
  <si>
    <t>-102 ( -38.6% )</t>
  </si>
  <si>
    <t>-214650 ( -16.7% )</t>
  </si>
  <si>
    <t>-63 ( -38.9% )</t>
  </si>
  <si>
    <t>-1041000 ( -97.6% )</t>
  </si>
  <si>
    <t>-93 ( -93.9% )</t>
  </si>
  <si>
    <t>24000 ( 92.3% )</t>
  </si>
  <si>
    <t>6000 ( 12.0% )</t>
  </si>
  <si>
    <t>1 ( 10.0% )</t>
  </si>
  <si>
    <t>186000 ( 332.1% )</t>
  </si>
  <si>
    <t>31 ( 281.8% )</t>
  </si>
  <si>
    <t>-48000 ( -19.8% )</t>
  </si>
  <si>
    <t>-8 ( -19.0% )</t>
  </si>
  <si>
    <t>-132000 ( -68.0% )</t>
  </si>
  <si>
    <t>-54000 ( -87.1% )</t>
  </si>
  <si>
    <t>-9 ( -75.0% )</t>
  </si>
  <si>
    <t>900000 ( 11250.0% )</t>
  </si>
  <si>
    <t>150 ( 5000.0% )</t>
  </si>
  <si>
    <t>-900000 ( -99.1% )</t>
  </si>
  <si>
    <t>-150 ( -98.0% )</t>
  </si>
  <si>
    <t>1000 ( 12.5% )</t>
  </si>
  <si>
    <t>-1000 ( -11.1% )</t>
  </si>
  <si>
    <t>1648000 ( 20600.0% )</t>
  </si>
  <si>
    <t>181 ( 6033.3% )</t>
  </si>
  <si>
    <t>2384000 ( 100.0% )</t>
  </si>
  <si>
    <t>298 ( 100.0% )</t>
  </si>
  <si>
    <t>4208000 ( 100.0% )</t>
  </si>
  <si>
    <t>526 ( 100.0% )</t>
  </si>
  <si>
    <t>2744000 ( 100.0% )</t>
  </si>
  <si>
    <t>343 ( 100.0% )</t>
  </si>
  <si>
    <t>15804000 ( 100.0% )</t>
  </si>
  <si>
    <t>1756 ( 100.0% )</t>
  </si>
  <si>
    <t>972000 ( 100.0% )</t>
  </si>
  <si>
    <t>162 ( 100.0% )</t>
  </si>
  <si>
    <t>288000 ( 100.0% )</t>
  </si>
  <si>
    <t>753000 ( 100.0% )</t>
  </si>
  <si>
    <t>107 ( 100.0% )</t>
  </si>
  <si>
    <t>■ '극장판 짱구는 못말려: 아뵤! 쿵후 보이즈 ~라면 대란~' 일자별 통계정보</t>
  </si>
  <si>
    <t>42574100 ( 100.0% )</t>
  </si>
  <si>
    <t>5904 ( 100.0% )</t>
  </si>
  <si>
    <t>-10489200 ( -24.6% )</t>
  </si>
  <si>
    <t>-1605 ( -27.2% )</t>
  </si>
  <si>
    <t>3204050 ( 10.0% )</t>
  </si>
  <si>
    <t>94 ( 2.2% )</t>
  </si>
  <si>
    <t>313102600 ( 887.3% )</t>
  </si>
  <si>
    <t>40187 ( 914.8% )</t>
  </si>
  <si>
    <t>63082750 ( 18.1% )</t>
  </si>
  <si>
    <t>7291 ( 16.4% )</t>
  </si>
  <si>
    <t>-328856700 ( -79.9% )</t>
  </si>
  <si>
    <t>-40730 ( -78.5% )</t>
  </si>
  <si>
    <t>460129400 ( 556.9% )</t>
  </si>
  <si>
    <t>58340 ( 523.7% )</t>
  </si>
  <si>
    <t>-509955800 ( -94.0% )</t>
  </si>
  <si>
    <t>-64925 ( -93.4% )</t>
  </si>
  <si>
    <t>6857150 ( 20.9% )</t>
  </si>
  <si>
    <t>753 ( 16.5% )</t>
  </si>
  <si>
    <t>6268350 ( 15.8% )</t>
  </si>
  <si>
    <t>443 ( 8.3% )</t>
  </si>
  <si>
    <t>146532150 ( 319.1% )</t>
  </si>
  <si>
    <t>19069 ( 331.5% )</t>
  </si>
  <si>
    <t>13611200 ( 7.1% )</t>
  </si>
  <si>
    <t>1333 ( 5.4% )</t>
  </si>
  <si>
    <t>-82081550 ( -39.8% )</t>
  </si>
  <si>
    <t>-8701 ( -33.3% )</t>
  </si>
  <si>
    <t>109925100 ( 88.7% )</t>
  </si>
  <si>
    <t>11919 ( 68.3% )</t>
  </si>
  <si>
    <t>-158953750 ( -68.0% )</t>
  </si>
  <si>
    <t>-18958 ( -64.5% )</t>
  </si>
  <si>
    <t>-44677500 ( -59.6% )</t>
  </si>
  <si>
    <t>-6214 ( -59.7% )</t>
  </si>
  <si>
    <t>1652350 ( 5.5% )</t>
  </si>
  <si>
    <t>-233 ( -5.5% )</t>
  </si>
  <si>
    <t>32064700 ( 100.4% )</t>
  </si>
  <si>
    <t>4094 ( 103.2% )</t>
  </si>
  <si>
    <t>-1191250 ( -1.9% )</t>
  </si>
  <si>
    <t>-212 ( -2.6% )</t>
  </si>
  <si>
    <t>-45384750 ( -72.3% )</t>
  </si>
  <si>
    <t>-5437 ( -69.3% )</t>
  </si>
  <si>
    <t>2136300 ( 12.3% )</t>
  </si>
  <si>
    <t>290 ( 12.0% )</t>
  </si>
  <si>
    <t>-10562550 ( -54.0% )</t>
  </si>
  <si>
    <t>-1459 ( -54.0% )</t>
  </si>
  <si>
    <t>-3678650 ( -40.9% )</t>
  </si>
  <si>
    <t>-484 ( -38.9% )</t>
  </si>
  <si>
    <t>246300 ( 4.6% )</t>
  </si>
  <si>
    <t>-66 ( -8.7% )</t>
  </si>
  <si>
    <t>5740800 ( 103.3% )</t>
  </si>
  <si>
    <t>734 ( 105.9% )</t>
  </si>
  <si>
    <t>-2400 ( 0.0% )</t>
  </si>
  <si>
    <t>-14 ( -1.0% )</t>
  </si>
  <si>
    <t>-8104600 ( -71.8% )</t>
  </si>
  <si>
    <t>-971 ( -68.7% )</t>
  </si>
  <si>
    <t>589500 ( 18.5% )</t>
  </si>
  <si>
    <t>94 ( 21.3% )</t>
  </si>
  <si>
    <t>-3655600 ( -96.8% )</t>
  </si>
  <si>
    <t>-518 ( -96.6% )</t>
  </si>
  <si>
    <t>-69500 ( -56.7% )</t>
  </si>
  <si>
    <t>-11 ( -61.1% )</t>
  </si>
  <si>
    <t>6000 ( 11.3% )</t>
  </si>
  <si>
    <t>802000 ( 1359.3% )</t>
  </si>
  <si>
    <t>103 ( 1471.4% )</t>
  </si>
  <si>
    <t>341000 ( 39.6% )</t>
  </si>
  <si>
    <t>40 ( 36.4% )</t>
  </si>
  <si>
    <t>-1158000 ( -96.3% )</t>
  </si>
  <si>
    <t>-144 ( -96.0% )</t>
  </si>
  <si>
    <t>99000 ( 225.0% )</t>
  </si>
  <si>
    <t>12 ( 200.0% )</t>
  </si>
  <si>
    <t>■ '스파이더맨: 뉴 유니버스' 일자별 통계정보</t>
  </si>
  <si>
    <t>34721300 ( 308.9% )</t>
  </si>
  <si>
    <t>4676 ( 454.0% )</t>
  </si>
  <si>
    <t>6655650 ( 14.5% )</t>
  </si>
  <si>
    <t>753 ( 13.2% )</t>
  </si>
  <si>
    <t>260541450 ( 495.2% )</t>
  </si>
  <si>
    <t>34017 ( 526.7% )</t>
  </si>
  <si>
    <t>-30446250 ( -9.7% )</t>
  </si>
  <si>
    <t>-4393 ( -10.9% )</t>
  </si>
  <si>
    <t>144385263 ( 51.1% )</t>
  </si>
  <si>
    <t>14926 ( 41.4% )</t>
  </si>
  <si>
    <t>645826250 ( 151.2% )</t>
  </si>
  <si>
    <t>76340 ( 149.7% )</t>
  </si>
  <si>
    <t>-55883413 ( -5.2% )</t>
  </si>
  <si>
    <t>-7539 ( -5.9% )</t>
  </si>
  <si>
    <t>-751757300 ( -73.9% )</t>
  </si>
  <si>
    <t>-85972 ( -71.8% )</t>
  </si>
  <si>
    <t>37813750 ( 14.3% )</t>
  </si>
  <si>
    <t>5332 ( 15.8% )</t>
  </si>
  <si>
    <t>-253693550 ( -83.7% )</t>
  </si>
  <si>
    <t>-32659 ( -83.4% )</t>
  </si>
  <si>
    <t>14177350 ( 28.7% )</t>
  </si>
  <si>
    <t>1834 ( 28.2% )</t>
  </si>
  <si>
    <t>35962650 ( 56.6% )</t>
  </si>
  <si>
    <t>3248 ( 38.9% )</t>
  </si>
  <si>
    <t>120321800 ( 120.9% )</t>
  </si>
  <si>
    <t>13541 ( 116.8% )</t>
  </si>
  <si>
    <t>17419500 ( 7.9% )</t>
  </si>
  <si>
    <t>1742 ( 6.9% )</t>
  </si>
  <si>
    <t>-97202650 ( -41.0% )</t>
  </si>
  <si>
    <t>-9199 ( -34.2% )</t>
  </si>
  <si>
    <t>44763450 ( 32.0% )</t>
  </si>
  <si>
    <t>3279 ( 18.5% )</t>
  </si>
  <si>
    <t>-130035300 ( -70.3% )</t>
  </si>
  <si>
    <t>-12658 ( -60.4% )</t>
  </si>
  <si>
    <t>-6467600 ( -11.8% )</t>
  </si>
  <si>
    <t>-2365 ( -28.5% )</t>
  </si>
  <si>
    <t>22451100 ( 46.4% )</t>
  </si>
  <si>
    <t>2064 ( 34.8% )</t>
  </si>
  <si>
    <t>42239650 ( 59.7% )</t>
  </si>
  <si>
    <t>4651 ( 58.2% )</t>
  </si>
  <si>
    <t>3679450 ( 3.3% )</t>
  </si>
  <si>
    <t>376 ( 3.0% )</t>
  </si>
  <si>
    <t>-25207850 ( -21.6% )</t>
  </si>
  <si>
    <t>-1417 ( -10.9% )</t>
  </si>
  <si>
    <t>25151800 ( 27.5% )</t>
  </si>
  <si>
    <t>1680 ( 14.5% )</t>
  </si>
  <si>
    <t>-69031350 ( -59.2% )</t>
  </si>
  <si>
    <t>-7398 ( -55.7% )</t>
  </si>
  <si>
    <t>-21943950 ( -46.1% )</t>
  </si>
  <si>
    <t>-2752 ( -46.7% )</t>
  </si>
  <si>
    <t>10129900 ( 39.4% )</t>
  </si>
  <si>
    <t>792 ( 25.2% )</t>
  </si>
  <si>
    <t>21331400 ( 59.6% )</t>
  </si>
  <si>
    <t>2333 ( 59.4% )</t>
  </si>
  <si>
    <t>-5396250 ( -9.4% )</t>
  </si>
  <si>
    <t>-600 ( -9.6% )</t>
  </si>
  <si>
    <t>-25421800 ( -49.1% )</t>
  </si>
  <si>
    <t>-2448 ( -43.2% )</t>
  </si>
  <si>
    <t>2110850 ( 8.0% )</t>
  </si>
  <si>
    <t>238 ( 7.4% )</t>
  </si>
  <si>
    <t>-14602250 ( -51.4% )</t>
  </si>
  <si>
    <t>-1777 ( -51.5% )</t>
  </si>
  <si>
    <t>-2055900 ( -14.9% )</t>
  </si>
  <si>
    <t>-232 ( -13.9% )</t>
  </si>
  <si>
    <t>6099600 ( 51.8% )</t>
  </si>
  <si>
    <t>496 ( 34.4% )</t>
  </si>
  <si>
    <t>12547480 ( 70.2% )</t>
  </si>
  <si>
    <t>1381 ( 71.2% )</t>
  </si>
  <si>
    <t>-5019690 ( -16.5% )</t>
  </si>
  <si>
    <t>-531 ( -16.0% )</t>
  </si>
  <si>
    <t>-15668560 ( -61.7% )</t>
  </si>
  <si>
    <t>-1598 ( -57.3% )</t>
  </si>
  <si>
    <t>816170 ( 8.4% )</t>
  </si>
  <si>
    <t>97 ( 8.1% )</t>
  </si>
  <si>
    <t>-228400 ( -2.2% )</t>
  </si>
  <si>
    <t>-25 ( -1.9% )</t>
  </si>
  <si>
    <t>-2408170 ( -23.3% )</t>
  </si>
  <si>
    <t>-103 ( -8.2% )</t>
  </si>
  <si>
    <t>2016780 ( 25.5% )</t>
  </si>
  <si>
    <t>180 ( 15.5% )</t>
  </si>
  <si>
    <t>7070120 ( 71.2% )</t>
  </si>
  <si>
    <t>893 ( 66.6% )</t>
  </si>
  <si>
    <t>-1188200 ( -7.0% )</t>
  </si>
  <si>
    <t>-117 ( -5.2% )</t>
  </si>
  <si>
    <t>-8121280 ( -51.4% )</t>
  </si>
  <si>
    <t>-1031 ( -48.7% )</t>
  </si>
  <si>
    <t>-511770 ( -6.7% )</t>
  </si>
  <si>
    <t>-71 ( -6.5% )</t>
  </si>
  <si>
    <t>-2021880 ( -28.2% )</t>
  </si>
  <si>
    <t>-272 ( -26.8% )</t>
  </si>
  <si>
    <t>-423240 ( -8.2% )</t>
  </si>
  <si>
    <t>-65 ( -8.8% )</t>
  </si>
  <si>
    <t>1034900 ( 21.9% )</t>
  </si>
  <si>
    <t>129 ( 19.1% )</t>
  </si>
  <si>
    <t>1866170 ( 32.3% )</t>
  </si>
  <si>
    <t>247 ( 30.6% )</t>
  </si>
  <si>
    <t>-374130 ( -4.9% )</t>
  </si>
  <si>
    <t>-62 ( -5.9% )</t>
  </si>
  <si>
    <t>-3714250 ( -51.1% )</t>
  </si>
  <si>
    <t>-490 ( -49.4% )</t>
  </si>
  <si>
    <t>-25220 ( -0.7% )</t>
  </si>
  <si>
    <t>16 ( 3.2% )</t>
  </si>
  <si>
    <t>-856580 ( -24.3% )</t>
  </si>
  <si>
    <t>-45 ( -8.7% )</t>
  </si>
  <si>
    <t>-1867870 ( -70.0% )</t>
  </si>
  <si>
    <t>-349 ( -73.9% )</t>
  </si>
  <si>
    <t>943870 ( 118.2% )</t>
  </si>
  <si>
    <t>128 ( 104.1% )</t>
  </si>
  <si>
    <t>-795650 ( -45.7% )</t>
  </si>
  <si>
    <t>-128 ( -51.0% )</t>
  </si>
  <si>
    <t>2542280 ( 268.5% )</t>
  </si>
  <si>
    <t>266 ( 216.3% )</t>
  </si>
  <si>
    <t>-1889280 ( -54.1% )</t>
  </si>
  <si>
    <t>-189 ( -48.6% )</t>
  </si>
  <si>
    <t>-752500 ( -47.0% )</t>
  </si>
  <si>
    <t>-97 ( -48.5% )</t>
  </si>
  <si>
    <t>1125300 ( 132.8% )</t>
  </si>
  <si>
    <t>129 ( 125.2% )</t>
  </si>
  <si>
    <t>-1515800 ( -76.8% )</t>
  </si>
  <si>
    <t>-172 ( -74.1% )</t>
  </si>
  <si>
    <t>26000 ( 5.7% )</t>
  </si>
  <si>
    <t>1 ( 1.7% )</t>
  </si>
  <si>
    <t>5780750 ( 1196.8% )</t>
  </si>
  <si>
    <t>666 ( 1091.8% )</t>
  </si>
  <si>
    <t>-3001750 ( -47.9% )</t>
  </si>
  <si>
    <t>-365 ( -50.2% )</t>
  </si>
  <si>
    <t>-2588040 ( -79.3% )</t>
  </si>
  <si>
    <t>-270 ( -74.6% )</t>
  </si>
  <si>
    <t>28040 ( 4.2% )</t>
  </si>
  <si>
    <t>4 ( 4.3% )</t>
  </si>
  <si>
    <t>2765400 ( 393.9% )</t>
  </si>
  <si>
    <t>339 ( 353.1% )</t>
  </si>
  <si>
    <t>-117400 ( -3.4% )</t>
  </si>
  <si>
    <t>-80 ( -18.4% )</t>
  </si>
  <si>
    <t>-3096000 ( -92.4% )</t>
  </si>
  <si>
    <t>-332 ( -93.5% )</t>
  </si>
  <si>
    <t>8594500 ( 3383.7% )</t>
  </si>
  <si>
    <t>988 ( 4295.7% )</t>
  </si>
  <si>
    <t>-5955000 ( -67.3% )</t>
  </si>
  <si>
    <t>-714 ( -70.6% )</t>
  </si>
  <si>
    <t>-1784900 ( -61.7% )</t>
  </si>
  <si>
    <t>-175 ( -58.9% )</t>
  </si>
  <si>
    <t>-298100 ( -26.9% )</t>
  </si>
  <si>
    <t>-21 ( -17.2% )</t>
  </si>
  <si>
    <t>4079300 ( 503.3% )</t>
  </si>
  <si>
    <t>490 ( 485.1% )</t>
  </si>
  <si>
    <t>-3865300 ( -79.0% )</t>
  </si>
  <si>
    <t>-476 ( -80.5% )</t>
  </si>
  <si>
    <t>-130500 ( -12.7% )</t>
  </si>
  <si>
    <t>-24 ( -20.9% )</t>
  </si>
  <si>
    <t>-400500 ( -44.8% )</t>
  </si>
  <si>
    <t>-18 ( -19.8% )</t>
  </si>
  <si>
    <t>1065500 ( 100.0% )</t>
  </si>
  <si>
    <t>123 ( 100.0% )</t>
  </si>
  <si>
    <t>1015500 ( 100.0% )</t>
  </si>
  <si>
    <t>130 ( 100.0% )</t>
  </si>
  <si>
    <t>-119500 ( -11.8% )</t>
  </si>
  <si>
    <t>-29 ( -22.3% )</t>
  </si>
  <si>
    <t>7016430 ( 783.1% )</t>
  </si>
  <si>
    <t>767 ( 759.4% )</t>
  </si>
  <si>
    <t>-2748600 ( -34.7% )</t>
  </si>
  <si>
    <t>-299 ( -34.4% )</t>
  </si>
  <si>
    <t>-1117630 ( -21.6% )</t>
  </si>
  <si>
    <t>-113 ( -19.9% )</t>
  </si>
  <si>
    <t>-2248800 ( -55.6% )</t>
  </si>
  <si>
    <t>-251 ( -55.0% )</t>
  </si>
  <si>
    <t>139760 ( 7.8% )</t>
  </si>
  <si>
    <t>31 ( 15.1% )</t>
  </si>
  <si>
    <t>-917160 ( -47.3% )</t>
  </si>
  <si>
    <t>-129 ( -54.7% )</t>
  </si>
  <si>
    <t>-908000 ( -89.0% )</t>
  </si>
  <si>
    <t>-95 ( -88.8% )</t>
  </si>
  <si>
    <t>238000 ( 212.5% )</t>
  </si>
  <si>
    <t>23 ( 191.7% )</t>
  </si>
  <si>
    <t>-106500 ( -30.4% )</t>
  </si>
  <si>
    <t>-10 ( -28.6% )</t>
  </si>
  <si>
    <t>22500 ( 9.2% )</t>
  </si>
  <si>
    <t>18 ( 72.0% )</t>
  </si>
  <si>
    <t>-154000 ( -57.9% )</t>
  </si>
  <si>
    <t>-28 ( -65.1% )</t>
  </si>
  <si>
    <t>291000 ( 259.8% )</t>
  </si>
  <si>
    <t>30 ( 200.0% )</t>
  </si>
  <si>
    <t>-233000 ( -57.8% )</t>
  </si>
  <si>
    <t>-14 ( -31.1% )</t>
  </si>
  <si>
    <t>99000 ( 990.0% )</t>
  </si>
  <si>
    <t>15 ( 750.0% )</t>
  </si>
  <si>
    <t>99000 ( 100.0% )</t>
  </si>
  <si>
    <t>■ '그린치' 일자별 통계정보</t>
  </si>
  <si>
    <t>77766500 ( 3176.7% )</t>
  </si>
  <si>
    <t>11632 ( 3801.3% )</t>
  </si>
  <si>
    <t>47729050 ( 59.5% )</t>
  </si>
  <si>
    <t>8410 ( 70.4% )</t>
  </si>
  <si>
    <t>2939800 ( 2.3% )</t>
  </si>
  <si>
    <t>-1223 ( -6.0% )</t>
  </si>
  <si>
    <t>428338800 ( 327.3% )</t>
  </si>
  <si>
    <t>52163 ( 272.7% )</t>
  </si>
  <si>
    <t>18746550 ( 3.4% )</t>
  </si>
  <si>
    <t>1224 ( 1.7% )</t>
  </si>
  <si>
    <t>-343047100 ( -59.4% )</t>
  </si>
  <si>
    <t>-38589 ( -53.2% )</t>
  </si>
  <si>
    <t>709079400 ( 301.8% )</t>
  </si>
  <si>
    <t>85262 ( 251.3% )</t>
  </si>
  <si>
    <t>-850633350 ( -90.1% )</t>
  </si>
  <si>
    <t>-104801 ( -87.9% )</t>
  </si>
  <si>
    <t>-10476050 ( -11.2% )</t>
  </si>
  <si>
    <t>-2253 ( -15.7% )</t>
  </si>
  <si>
    <t>25636650 ( 30.9% )</t>
  </si>
  <si>
    <t>2155 ( 17.8% )</t>
  </si>
  <si>
    <t>156028200 ( 143.8% )</t>
  </si>
  <si>
    <t>19535 ( 136.7% )</t>
  </si>
  <si>
    <t>-11528250 ( -4.4% )</t>
  </si>
  <si>
    <t>-2118 ( -6.3% )</t>
  </si>
  <si>
    <t>-67594250 ( -26.7% )</t>
  </si>
  <si>
    <t>-5453 ( -17.2% )</t>
  </si>
  <si>
    <t>78854150 ( 42.5% )</t>
  </si>
  <si>
    <t>6574 ( 25.0% )</t>
  </si>
  <si>
    <t>-189809600 ( -71.8% )</t>
  </si>
  <si>
    <t>-22297 ( -67.9% )</t>
  </si>
  <si>
    <t>-48145700 ( -64.6% )</t>
  </si>
  <si>
    <t>-6722 ( -63.9% )</t>
  </si>
  <si>
    <t>-408750 ( -1.6% )</t>
  </si>
  <si>
    <t>-342 ( -9.0% )</t>
  </si>
  <si>
    <t>7791800 ( 30.1% )</t>
  </si>
  <si>
    <t>911 ( 26.3% )</t>
  </si>
  <si>
    <t>-4713050 ( -14.0% )</t>
  </si>
  <si>
    <t>-618 ( -14.1% )</t>
  </si>
  <si>
    <t>-18626750 ( -64.2% )</t>
  </si>
  <si>
    <t>-2205 ( -58.7% )</t>
  </si>
  <si>
    <t>3069100 ( 29.6% )</t>
  </si>
  <si>
    <t>536 ( 34.6% )</t>
  </si>
  <si>
    <t>-8377300 ( -62.3% )</t>
  </si>
  <si>
    <t>-1251 ( -59.9% )</t>
  </si>
  <si>
    <t>-2813550 ( -55.5% )</t>
  </si>
  <si>
    <t>-456 ( -54.5% )</t>
  </si>
  <si>
    <t>422200 ( 18.7% )</t>
  </si>
  <si>
    <t>53 ( 13.9% )</t>
  </si>
  <si>
    <t>202000 ( 7.5% )</t>
  </si>
  <si>
    <t>-50 ( -11.5% )</t>
  </si>
  <si>
    <t>45000 ( 1.6% )</t>
  </si>
  <si>
    <t>14 ( 3.7% )</t>
  </si>
  <si>
    <t>-1473500 ( -50.4% )</t>
  </si>
  <si>
    <t>-136 ( -34.3% )</t>
  </si>
  <si>
    <t>-161500 ( -11.1% )</t>
  </si>
  <si>
    <t>-52 ( -19.9% )</t>
  </si>
  <si>
    <t>1541500 ( 119.6% )</t>
  </si>
  <si>
    <t>331 ( 158.4% )</t>
  </si>
  <si>
    <t>-2244000 ( -79.3% )</t>
  </si>
  <si>
    <t>-423 ( -78.3% )</t>
  </si>
  <si>
    <t>194000 ( 33.1% )</t>
  </si>
  <si>
    <t>23 ( 19.7% )</t>
  </si>
  <si>
    <t>-177000 ( -22.7% )</t>
  </si>
  <si>
    <t>-38 ( -27.1% )</t>
  </si>
  <si>
    <t>-226000 ( -37.5% )</t>
  </si>
  <si>
    <t>-32 ( -31.4% )</t>
  </si>
  <si>
    <t>-53000 ( -14.1% )</t>
  </si>
  <si>
    <t>-6 ( -8.6% )</t>
  </si>
  <si>
    <t>-24000 ( -7.4% )</t>
  </si>
  <si>
    <t>-4 ( -6.3% )</t>
  </si>
  <si>
    <t>450000 ( 150.0% )</t>
  </si>
  <si>
    <t>90 ( 150.0% )</t>
  </si>
  <si>
    <t>2601000 ( 100.0% )</t>
  </si>
  <si>
    <t>3442500 ( 132.4% )</t>
  </si>
  <si>
    <t>405 ( 132.4% )</t>
  </si>
  <si>
    <t>■ '극장판 헬로카봇: 옴파로스 섬의 비밀' 일자별 통계정보</t>
  </si>
  <si>
    <t>347838520 ( 7512.7% )</t>
  </si>
  <si>
    <t>48314 ( 9202.7% )</t>
  </si>
  <si>
    <t>-123289000 ( -35.0% )</t>
  </si>
  <si>
    <t>-19900 ( -40.7% )</t>
  </si>
  <si>
    <t>827677350 ( 361.1% )</t>
  </si>
  <si>
    <t>105972 ( 366.2% )</t>
  </si>
  <si>
    <t>-304729560 ( -28.8% )</t>
  </si>
  <si>
    <t>-40288 ( -29.9% )</t>
  </si>
  <si>
    <t>-346589450 ( -46.1% )</t>
  </si>
  <si>
    <t>-43836 ( -46.3% )</t>
  </si>
  <si>
    <t>-193573200 ( -47.7% )</t>
  </si>
  <si>
    <t>-25251 ( -49.7% )</t>
  </si>
  <si>
    <t>223114840 ( 105.3% )</t>
  </si>
  <si>
    <t>28777 ( 112.7% )</t>
  </si>
  <si>
    <t>-373175590 ( -85.8% )</t>
  </si>
  <si>
    <t>-45722 ( -84.2% )</t>
  </si>
  <si>
    <t>-5660580 ( -9.1% )</t>
  </si>
  <si>
    <t>-1099 ( -12.8% )</t>
  </si>
  <si>
    <t>205374400 ( 365.2% )</t>
  </si>
  <si>
    <t>26030 ( 347.4% )</t>
  </si>
  <si>
    <t>272160 ( 0.1% )</t>
  </si>
  <si>
    <t>-132 ( -0.4% )</t>
  </si>
  <si>
    <t>-238095630 ( -90.9% )</t>
  </si>
  <si>
    <t>-29965 ( -89.7% )</t>
  </si>
  <si>
    <t>6996750 ( 29.4% )</t>
  </si>
  <si>
    <t>1327 ( 38.7% )</t>
  </si>
  <si>
    <t>-10283950 ( -33.4% )</t>
  </si>
  <si>
    <t>-1480 ( -31.1% )</t>
  </si>
  <si>
    <t>-8167700 ( -39.8% )</t>
  </si>
  <si>
    <t>-1322 ( -40.4% )</t>
  </si>
  <si>
    <t>4327340 ( 35.1% )</t>
  </si>
  <si>
    <t>577 ( 29.6% )</t>
  </si>
  <si>
    <t>52138930 ( 312.8% )</t>
  </si>
  <si>
    <t>6189 ( 244.9% )</t>
  </si>
  <si>
    <t>13454570 ( 19.6% )</t>
  </si>
  <si>
    <t>1555 ( 17.8% )</t>
  </si>
  <si>
    <t>-72819700 ( -88.5% )</t>
  </si>
  <si>
    <t>-8841 ( -86.1% )</t>
  </si>
  <si>
    <t>-261750 ( -2.8% )</t>
  </si>
  <si>
    <t>-33 ( -2.3% )</t>
  </si>
  <si>
    <t>-3654450 ( -39.8% )</t>
  </si>
  <si>
    <t>-553 ( -39.6% )</t>
  </si>
  <si>
    <t>1089580 ( 19.7% )</t>
  </si>
  <si>
    <t>153 ( 18.1% )</t>
  </si>
  <si>
    <t>2291320 ( 34.6% )</t>
  </si>
  <si>
    <t>170 ( 17.1% )</t>
  </si>
  <si>
    <t>11525180 ( 129.4% )</t>
  </si>
  <si>
    <t>1395 ( 119.5% )</t>
  </si>
  <si>
    <t>-283680 ( -1.4% )</t>
  </si>
  <si>
    <t>-63 ( -2.5% )</t>
  </si>
  <si>
    <t>-11531740 ( -57.2% )</t>
  </si>
  <si>
    <t>-1277 ( -51.1% )</t>
  </si>
  <si>
    <t>785040 ( 9.1% )</t>
  </si>
  <si>
    <t>132 ( 10.8% )</t>
  </si>
  <si>
    <t>-7553800 ( -80.4% )</t>
  </si>
  <si>
    <t>-1086 ( -80.2% )</t>
  </si>
  <si>
    <t>870160 ( 47.1% )</t>
  </si>
  <si>
    <t>120 ( 44.8% )</t>
  </si>
  <si>
    <t>1687440 ( 62.1% )</t>
  </si>
  <si>
    <t>181 ( 46.6% )</t>
  </si>
  <si>
    <t>-608390 ( -13.8% )</t>
  </si>
  <si>
    <t>-65 ( -11.4% )</t>
  </si>
  <si>
    <t>-465110 ( -12.3% )</t>
  </si>
  <si>
    <t>-71 ( -14.1% )</t>
  </si>
  <si>
    <t>-2753900 ( -82.7% )</t>
  </si>
  <si>
    <t>-349 ( -80.6% )</t>
  </si>
  <si>
    <t>-360400 ( -62.5% )</t>
  </si>
  <si>
    <t>-55 ( -65.5% )</t>
  </si>
  <si>
    <t>-166000 ( -76.9% )</t>
  </si>
  <si>
    <t>-22 ( -75.9% )</t>
  </si>
  <si>
    <t>43000 ( 86.0% )</t>
  </si>
  <si>
    <t>-70500 ( -75.8% )</t>
  </si>
  <si>
    <t>-10 ( -76.9% )</t>
  </si>
  <si>
    <t>1412200 ( 6276.4% )</t>
  </si>
  <si>
    <t>185 ( 6166.7% )</t>
  </si>
  <si>
    <t>172400 ( 12.0% )</t>
  </si>
  <si>
    <t>12 ( 6.4% )</t>
  </si>
  <si>
    <t>-1586100 ( -98.7% )</t>
  </si>
  <si>
    <t>-197 ( -98.5% )</t>
  </si>
  <si>
    <t>-6000 ( -28.6% )</t>
  </si>
  <si>
    <t>14000 ( 93.3% )</t>
  </si>
  <si>
    <t>18000 ( 100.0% )</t>
  </si>
  <si>
    <t>727300 ( 4040.6% )</t>
  </si>
  <si>
    <t>107 ( 3566.7% )</t>
  </si>
  <si>
    <t>-222800 ( -29.9% )</t>
  </si>
  <si>
    <t>-39 ( -35.5% )</t>
  </si>
  <si>
    <t>39000 ( 325.0% )</t>
  </si>
  <si>
    <t>6 ( 300.0% )</t>
  </si>
  <si>
    <t>21000 ( 41.2% )</t>
  </si>
  <si>
    <t>3 ( 37.5% )</t>
  </si>
  <si>
    <t>-40000 ( -55.6% )</t>
  </si>
  <si>
    <t>-7 ( -63.6% )</t>
  </si>
  <si>
    <t>313000 ( 978.1% )</t>
  </si>
  <si>
    <t>43 ( 1075.0% )</t>
  </si>
  <si>
    <t>108480 ( 31.4% )</t>
  </si>
  <si>
    <t>13 ( 27.7% )</t>
  </si>
  <si>
    <t>-435480 ( -96.0% )</t>
  </si>
  <si>
    <t>-57 ( -95.0% )</t>
  </si>
  <si>
    <t>413000 ( 1475.0% )</t>
  </si>
  <si>
    <t>81 ( 1620.0% )</t>
  </si>
  <si>
    <t>320600 ( 100.0% )</t>
  </si>
  <si>
    <t>46 ( 100.0% )</t>
  </si>
  <si>
    <t>63400 ( 19.8% )</t>
  </si>
  <si>
    <t>9 ( 19.6% )</t>
  </si>
  <si>
    <t>-315000 ( -82.0% )</t>
  </si>
  <si>
    <t>-44 ( -80.0% )</t>
  </si>
  <si>
    <t>-37000 ( -53.6% )</t>
  </si>
  <si>
    <t>-6 ( -54.5% )</t>
  </si>
  <si>
    <t>6000 ( 18.8% )</t>
  </si>
  <si>
    <t>1 ( 20.0% )</t>
  </si>
  <si>
    <t>6000 ( 15.8% )</t>
  </si>
  <si>
    <t>-10000 ( -22.7% )</t>
  </si>
  <si>
    <t>-1 ( -16.7% )</t>
  </si>
  <si>
    <t>101000 ( 297.1% )</t>
  </si>
  <si>
    <t>15 ( 300.0% )</t>
  </si>
  <si>
    <t>53000 ( 39.3% )</t>
  </si>
  <si>
    <t>5 ( 25.0% )</t>
  </si>
  <si>
    <t>-174000 ( -92.6% )</t>
  </si>
  <si>
    <t>-23 ( -92.0% )</t>
  </si>
  <si>
    <t>-2000 ( -14.3% )</t>
  </si>
  <si>
    <t>58000 ( 100.0% )</t>
  </si>
  <si>
    <t>130000 ( 224.1% )</t>
  </si>
  <si>
    <t>19 ( 271.4% )</t>
  </si>
  <si>
    <t>44500 ( 23.7% )</t>
  </si>
  <si>
    <t>5 ( 19.2% )</t>
  </si>
  <si>
    <t>-208500 ( -89.7% )</t>
  </si>
  <si>
    <t>-27 ( -87.1% )</t>
  </si>
  <si>
    <t>-3000 ( -12.5% )</t>
  </si>
  <si>
    <t>15000 ( 71.4% )</t>
  </si>
  <si>
    <t>2 ( 66.7% )</t>
  </si>
  <si>
    <t>33000 ( 91.7% )</t>
  </si>
  <si>
    <t>-53000 ( -76.8% )</t>
  </si>
  <si>
    <t>100000 ( 625.0% )</t>
  </si>
  <si>
    <t>14 ( 700.0% )</t>
  </si>
  <si>
    <t>18000 ( 15.5% )</t>
  </si>
  <si>
    <t>2 ( 12.5% )</t>
  </si>
  <si>
    <t>-101000 ( -75.4% )</t>
  </si>
  <si>
    <t>-13 ( -72.2% )</t>
  </si>
  <si>
    <t>-28000 ( -84.8% )</t>
  </si>
  <si>
    <t>390000 ( 3900.0% )</t>
  </si>
  <si>
    <t>78 ( 3900.0% )</t>
  </si>
  <si>
    <t>756000 ( 100.0% )</t>
  </si>
  <si>
    <t>108 ( 100.0% )</t>
  </si>
  <si>
    <t>910000 ( 100.0% )</t>
  </si>
  <si>
    <t>■ '마약왕' 일자별 통계정보</t>
  </si>
  <si>
    <t>2000192200 ( 4426.8% )</t>
  </si>
  <si>
    <t>242510 ( 3192.6% )</t>
  </si>
  <si>
    <t>-529305050 ( -25.9% )</t>
  </si>
  <si>
    <t>-64674 ( -25.9% )</t>
  </si>
  <si>
    <t>141641819 ( 9.3% )</t>
  </si>
  <si>
    <t>-2506 ( -1.4% )</t>
  </si>
  <si>
    <t>1112188514 ( 67.1% )</t>
  </si>
  <si>
    <t>118244 ( 64.6% )</t>
  </si>
  <si>
    <t>-269748333 ( -9.7% )</t>
  </si>
  <si>
    <t>-29584 ( -9.8% )</t>
  </si>
  <si>
    <t>-923905550 ( -37.0% )</t>
  </si>
  <si>
    <t>-80452 ( -29.6% )</t>
  </si>
  <si>
    <t>348175350 ( 22.1% )</t>
  </si>
  <si>
    <t>18106 ( 9.5% )</t>
  </si>
  <si>
    <t>-1592170400 ( -82.7% )</t>
  </si>
  <si>
    <t>-157249 ( -75.2% )</t>
  </si>
  <si>
    <t>-76084600 ( -22.9% )</t>
  </si>
  <si>
    <t>-20155 ( -38.8% )</t>
  </si>
  <si>
    <t>-10737000 ( -4.2% )</t>
  </si>
  <si>
    <t>-4269 ( -13.4% )</t>
  </si>
  <si>
    <t>56341650 ( 23.0% )</t>
  </si>
  <si>
    <t>5337 ( 19.4% )</t>
  </si>
  <si>
    <t>-53700 ( 0.0% )</t>
  </si>
  <si>
    <t>70 ( 0.2% )</t>
  </si>
  <si>
    <t>-92312800 ( -30.6% )</t>
  </si>
  <si>
    <t>-7205 ( -21.9% )</t>
  </si>
  <si>
    <t>-35881950 ( -17.1% )</t>
  </si>
  <si>
    <t>-6521 ( -25.3% )</t>
  </si>
  <si>
    <t>-119276150 ( -68.7% )</t>
  </si>
  <si>
    <t>-12454 ( -64.7% )</t>
  </si>
  <si>
    <t>-21596700 ( -39.8% )</t>
  </si>
  <si>
    <t>-2685 ( -39.5% )</t>
  </si>
  <si>
    <t>2017300 ( 6.2% )</t>
  </si>
  <si>
    <t>-205 ( -5.0% )</t>
  </si>
  <si>
    <t>16419600 ( 47.4% )</t>
  </si>
  <si>
    <t>1750 ( 44.8% )</t>
  </si>
  <si>
    <t>-13053150 ( -25.6% )</t>
  </si>
  <si>
    <t>-1401 ( -24.8% )</t>
  </si>
  <si>
    <t>-18846900 ( -49.6% )</t>
  </si>
  <si>
    <t>-1880 ( -44.2% )</t>
  </si>
  <si>
    <t>-808900 ( -4.2% )</t>
  </si>
  <si>
    <t>-119 ( -5.0% )</t>
  </si>
  <si>
    <t>-17058550 ( -92.8% )</t>
  </si>
  <si>
    <t>-2094 ( -92.9% )</t>
  </si>
  <si>
    <t>-4600 ( -0.3% )</t>
  </si>
  <si>
    <t>8 ( 5.0% )</t>
  </si>
  <si>
    <t>-210900 ( -16.0% )</t>
  </si>
  <si>
    <t>-45 ( -26.8% )</t>
  </si>
  <si>
    <t>2879580 ( 260.5% )</t>
  </si>
  <si>
    <t>320 ( 260.2% )</t>
  </si>
  <si>
    <t>-2170500 ( -54.5% )</t>
  </si>
  <si>
    <t>-237 ( -53.5% )</t>
  </si>
  <si>
    <t>-1215780 ( -67.0% )</t>
  </si>
  <si>
    <t>-126 ( -61.2% )</t>
  </si>
  <si>
    <t>179130 ( 29.9% )</t>
  </si>
  <si>
    <t>28 ( 35.0% )</t>
  </si>
  <si>
    <t>-478630 ( -61.5% )</t>
  </si>
  <si>
    <t>-67 ( -62.0% )</t>
  </si>
  <si>
    <t>-84000 ( -28.1% )</t>
  </si>
  <si>
    <t>-12 ( -29.3% )</t>
  </si>
  <si>
    <t>-51000 ( -23.7% )</t>
  </si>
  <si>
    <t>-9 ( -31.0% )</t>
  </si>
  <si>
    <t>115000 ( 70.1% )</t>
  </si>
  <si>
    <t>14 ( 70.0% )</t>
  </si>
  <si>
    <t>264000 ( 94.6% )</t>
  </si>
  <si>
    <t>22 ( 64.7% )</t>
  </si>
  <si>
    <t>-442000 ( -81.4% )</t>
  </si>
  <si>
    <t>-41 ( -73.2% )</t>
  </si>
  <si>
    <t>89000 ( 88.1% )</t>
  </si>
  <si>
    <t>-119000 ( -62.6% )</t>
  </si>
  <si>
    <t>-16 ( -64.0% )</t>
  </si>
  <si>
    <t>-15000 ( -21.1% )</t>
  </si>
  <si>
    <t>-1 ( -11.1% )</t>
  </si>
  <si>
    <t>-50000 ( -89.3% )</t>
  </si>
  <si>
    <t>-7 ( -87.5% )</t>
  </si>
  <si>
    <t>5000 ( 71.4% )</t>
  </si>
  <si>
    <t>-1000 ( -8.3% )</t>
  </si>
  <si>
    <t>6000 ( 54.5% )</t>
  </si>
  <si>
    <t>3051500 ( 100.0% )</t>
  </si>
  <si>
    <t>359 ( 100.0% )</t>
  </si>
  <si>
    <t>■ '알리타: 배틀 엔젤' 일자별 통계정보</t>
  </si>
  <si>
    <t>2662761200 ( 100.0% )</t>
  </si>
  <si>
    <t>264263 ( 100.0% )</t>
  </si>
  <si>
    <t>90438540 ( 3.4% )</t>
  </si>
  <si>
    <t>18167 ( 6.9% )</t>
  </si>
  <si>
    <t>-1684607160 ( -61.2% )</t>
  </si>
  <si>
    <t>-162955 ( -57.7% )</t>
  </si>
  <si>
    <t>47890094 ( 4.5% )</t>
  </si>
  <si>
    <t>-4803 ( -4.0% )</t>
  </si>
  <si>
    <t>1250340941 ( 112.0% )</t>
  </si>
  <si>
    <t>132445 ( 115.5% )</t>
  </si>
  <si>
    <t>-320339345 ( -13.5% )</t>
  </si>
  <si>
    <t>-30903 ( -12.5% )</t>
  </si>
  <si>
    <t>-1460807410 ( -71.4% )</t>
  </si>
  <si>
    <t>-150203 ( -69.5% )</t>
  </si>
  <si>
    <t>-39253650 ( -6.7% )</t>
  </si>
  <si>
    <t>-2538 ( -3.8% )</t>
  </si>
  <si>
    <t>-112898320 ( -20.7% )</t>
  </si>
  <si>
    <t>-15243 ( -24.0% )</t>
  </si>
  <si>
    <t>-61433240 ( -14.2% )</t>
  </si>
  <si>
    <t>-8142 ( -16.9% )</t>
  </si>
  <si>
    <t>84557389 ( 22.7% )</t>
  </si>
  <si>
    <t>5788 ( 14.4% )</t>
  </si>
  <si>
    <t>578673707 ( 126.7% )</t>
  </si>
  <si>
    <t>58161 ( 126.8% )</t>
  </si>
  <si>
    <t>-122210766 ( -11.8% )</t>
  </si>
  <si>
    <t>-10605 ( -10.2% )</t>
  </si>
  <si>
    <t>-642428340 ( -70.4% )</t>
  </si>
  <si>
    <t>-63814 ( -68.3% )</t>
  </si>
  <si>
    <t>9193100 ( 3.4% )</t>
  </si>
  <si>
    <t>608 ( 2.1% )</t>
  </si>
  <si>
    <t>-161171960 ( -57.6% )</t>
  </si>
  <si>
    <t>-15170 ( -50.2% )</t>
  </si>
  <si>
    <t>-11528000 ( -9.7% )</t>
  </si>
  <si>
    <t>-1548 ( -10.3% )</t>
  </si>
  <si>
    <t>34549998 ( 32.2% )</t>
  </si>
  <si>
    <t>2952 ( 21.9% )</t>
  </si>
  <si>
    <t>167157397 ( 117.9% )</t>
  </si>
  <si>
    <t>16538 ( 100.5% )</t>
  </si>
  <si>
    <t>-41460425 ( -13.4% )</t>
  </si>
  <si>
    <t>-3536 ( -10.7% )</t>
  </si>
  <si>
    <t>-186898960 ( -69.9% )</t>
  </si>
  <si>
    <t>-19379 ( -65.8% )</t>
  </si>
  <si>
    <t>10567090 ( 13.1% )</t>
  </si>
  <si>
    <t>1748 ( 17.3% )</t>
  </si>
  <si>
    <t>-43906690 ( -48.2% )</t>
  </si>
  <si>
    <t>-4110 ( -34.7% )</t>
  </si>
  <si>
    <t>4060280 ( 8.6% )</t>
  </si>
  <si>
    <t>-1045 ( -13.5% )</t>
  </si>
  <si>
    <t>32067650 ( 62.6% )</t>
  </si>
  <si>
    <t>2919 ( 43.7% )</t>
  </si>
  <si>
    <t>-5175790 ( -6.2% )</t>
  </si>
  <si>
    <t>-748 ( -7.8% )</t>
  </si>
  <si>
    <t>-23782000 ( -30.4% )</t>
  </si>
  <si>
    <t>-2740 ( -31.0% )</t>
  </si>
  <si>
    <t>-40041350 ( -73.7% )</t>
  </si>
  <si>
    <t>-4374 ( -71.6% )</t>
  </si>
  <si>
    <t>-778680 ( -5.4% )</t>
  </si>
  <si>
    <t>-78 ( -4.5% )</t>
  </si>
  <si>
    <t>-11830750 ( -87.4% )</t>
  </si>
  <si>
    <t>-1451 ( -87.7% )</t>
  </si>
  <si>
    <t>38950 ( 2.3% )</t>
  </si>
  <si>
    <t>-3 ( -1.5% )</t>
  </si>
  <si>
    <t>629930 ( 36.1% )</t>
  </si>
  <si>
    <t>53 ( 26.4% )</t>
  </si>
  <si>
    <t>2063620 ( 86.9% )</t>
  </si>
  <si>
    <t>223 ( 87.8% )</t>
  </si>
  <si>
    <t>-530950 ( -12.0% )</t>
  </si>
  <si>
    <t>-52 ( -10.9% )</t>
  </si>
  <si>
    <t>-2341800 ( -60.0% )</t>
  </si>
  <si>
    <t>-238 ( -56.0% )</t>
  </si>
  <si>
    <t>-130050 ( -8.3% )</t>
  </si>
  <si>
    <t>-15 ( -8.0% )</t>
  </si>
  <si>
    <t>499750 ( 34.8% )</t>
  </si>
  <si>
    <t>59 ( 34.3% )</t>
  </si>
  <si>
    <t>207000 ( 100.0% )</t>
  </si>
  <si>
    <t>23 ( 100.0% )</t>
  </si>
  <si>
    <t>299000 ( 144.4% )</t>
  </si>
  <si>
    <t>975000 ( 100.0% )</t>
  </si>
  <si>
    <t>900000 ( 100.0% )</t>
  </si>
  <si>
    <t>792000 ( 100.0% )</t>
  </si>
  <si>
    <t>99 ( 100.0% )</t>
  </si>
  <si>
    <t>■ '증인' 일자별 통계정보</t>
  </si>
  <si>
    <t>615791050 ( 3500.7% )</t>
  </si>
  <si>
    <t>79162 ( 3499.6% )</t>
  </si>
  <si>
    <t>36185360 ( 5.7% )</t>
  </si>
  <si>
    <t>4476 ( 5.5% )</t>
  </si>
  <si>
    <t>163932438 ( 24.5% )</t>
  </si>
  <si>
    <t>12709 ( 14.8% )</t>
  </si>
  <si>
    <t>945293445 ( 113.4% )</t>
  </si>
  <si>
    <t>111266 ( 112.8% )</t>
  </si>
  <si>
    <t>138118747 ( 7.8% )</t>
  </si>
  <si>
    <t>15430 ( 7.4% )</t>
  </si>
  <si>
    <t>-1176252070 ( -61.4% )</t>
  </si>
  <si>
    <t>-131054 ( -58.2% )</t>
  </si>
  <si>
    <t>67506770 ( 9.1% )</t>
  </si>
  <si>
    <t>22181 ( 23.5% )</t>
  </si>
  <si>
    <t>-184783890 ( -22.9% )</t>
  </si>
  <si>
    <t>-35634 ( -30.6% )</t>
  </si>
  <si>
    <t>-23921140 ( -3.8% )</t>
  </si>
  <si>
    <t>-3192 ( -4.0% )</t>
  </si>
  <si>
    <t>154786340 ( 25.8% )</t>
  </si>
  <si>
    <t>12873 ( 16.6% )</t>
  </si>
  <si>
    <t>824555900 ( 109.3% )</t>
  </si>
  <si>
    <t>97241 ( 107.5% )</t>
  </si>
  <si>
    <t>-94922010 ( -6.0% )</t>
  </si>
  <si>
    <t>-11888 ( -6.3% )</t>
  </si>
  <si>
    <t>-960807590 ( -64.7% )</t>
  </si>
  <si>
    <t>-108469 ( -61.7% )</t>
  </si>
  <si>
    <t>-1656550 ( -0.3% )</t>
  </si>
  <si>
    <t>571 ( 0.8% )</t>
  </si>
  <si>
    <t>276346950 ( 53.0% )</t>
  </si>
  <si>
    <t>70979 ( 104.5% )</t>
  </si>
  <si>
    <t>-176472500 ( -22.1% )</t>
  </si>
  <si>
    <t>-57634 ( -41.5% )</t>
  </si>
  <si>
    <t>650807750 ( 104.8% )</t>
  </si>
  <si>
    <t>66907 ( 82.3% )</t>
  </si>
  <si>
    <t>-163631310 ( -12.9% )</t>
  </si>
  <si>
    <t>-20769 ( -14.0% )</t>
  </si>
  <si>
    <t>-263957210 ( -23.8% )</t>
  </si>
  <si>
    <t>-30375 ( -23.8% )</t>
  </si>
  <si>
    <t>-624528620 ( -74.0% )</t>
  </si>
  <si>
    <t>-69447 ( -71.6% )</t>
  </si>
  <si>
    <t>-25786530 ( -11.7% )</t>
  </si>
  <si>
    <t>-3184 ( -11.5% )</t>
  </si>
  <si>
    <t>-74025600 ( -38.1% )</t>
  </si>
  <si>
    <t>-9296 ( -38.1% )</t>
  </si>
  <si>
    <t>-7522890 ( -6.3% )</t>
  </si>
  <si>
    <t>-942 ( -6.2% )</t>
  </si>
  <si>
    <t>29576270 ( 26.3% )</t>
  </si>
  <si>
    <t>1903 ( 13.4% )</t>
  </si>
  <si>
    <t>174694250 ( 122.8% )</t>
  </si>
  <si>
    <t>19822 ( 123.3% )</t>
  </si>
  <si>
    <t>-3870620 ( -1.2% )</t>
  </si>
  <si>
    <t>-265 ( -0.7% )</t>
  </si>
  <si>
    <t>-228196170 ( -72.9% )</t>
  </si>
  <si>
    <t>-24898 ( -69.9% )</t>
  </si>
  <si>
    <t>-2055360 ( -2.4% )</t>
  </si>
  <si>
    <t>-135 ( -1.3% )</t>
  </si>
  <si>
    <t>-14279990 ( -17.2% )</t>
  </si>
  <si>
    <t>-1895 ( -17.9% )</t>
  </si>
  <si>
    <t>-28204830 ( -41.2% )</t>
  </si>
  <si>
    <t>-3411 ( -39.2% )</t>
  </si>
  <si>
    <t>10949700 ( 27.2% )</t>
  </si>
  <si>
    <t>632 ( 11.9% )</t>
  </si>
  <si>
    <t>46361530 ( 90.4% )</t>
  </si>
  <si>
    <t>5303 ( 89.5% )</t>
  </si>
  <si>
    <t>-16568200 ( -17.0% )</t>
  </si>
  <si>
    <t>-1859 ( -16.6% )</t>
  </si>
  <si>
    <t>-50243920 ( -62.0% )</t>
  </si>
  <si>
    <t>-5374 ( -57.4% )</t>
  </si>
  <si>
    <t>-441050 ( -1.4% )</t>
  </si>
  <si>
    <t>125 ( 3.1% )</t>
  </si>
  <si>
    <t>-23569750 ( -77.6% )</t>
  </si>
  <si>
    <t>-3311 ( -80.3% )</t>
  </si>
  <si>
    <t>-2087800 ( -30.7% )</t>
  </si>
  <si>
    <t>-88 ( -10.9% )</t>
  </si>
  <si>
    <t>421950 ( 9.0% )</t>
  </si>
  <si>
    <t>-5 ( -0.7% )</t>
  </si>
  <si>
    <t>1078930 ( 21.0% )</t>
  </si>
  <si>
    <t>62 ( 8.6% )</t>
  </si>
  <si>
    <t>410650 ( 6.6% )</t>
  </si>
  <si>
    <t>-19 ( -2.4% )</t>
  </si>
  <si>
    <t>-3872930 ( -58.5% )</t>
  </si>
  <si>
    <t>-343 ( -45.1% )</t>
  </si>
  <si>
    <t>609700 ( 22.2% )</t>
  </si>
  <si>
    <t>58 ( 13.9% )</t>
  </si>
  <si>
    <t>-2601800 ( -77.4% )</t>
  </si>
  <si>
    <t>-377 ( -79.4% )</t>
  </si>
  <si>
    <t>1899200 ( 250.6% )</t>
  </si>
  <si>
    <t>240 ( 244.9% )</t>
  </si>
  <si>
    <t>-1442700 ( -54.3% )</t>
  </si>
  <si>
    <t>-179 ( -53.0% )</t>
  </si>
  <si>
    <t>-162700 ( -13.4% )</t>
  </si>
  <si>
    <t>-42 ( -26.4% )</t>
  </si>
  <si>
    <t>827300 ( 78.7% )</t>
  </si>
  <si>
    <t>98 ( 83.8% )</t>
  </si>
  <si>
    <t>-1224100 ( -65.1% )</t>
  </si>
  <si>
    <t>-137 ( -63.7% )</t>
  </si>
  <si>
    <t>-582000 ( -88.9% )</t>
  </si>
  <si>
    <t>-69 ( -88.5% )</t>
  </si>
  <si>
    <t>1860000 ( 100.0% )</t>
  </si>
  <si>
    <t>372 ( 100.0% )</t>
  </si>
  <si>
    <t>546000 ( 100.0% )</t>
  </si>
  <si>
    <t>91 ( 100.0% )</t>
  </si>
  <si>
    <t>600000 ( 100.0% )</t>
  </si>
  <si>
    <t>192000 ( 100.0% )</t>
  </si>
  <si>
    <t>454300 ( 100.0% )</t>
  </si>
  <si>
    <t>71 ( 100.0% )</t>
  </si>
  <si>
    <t>-20500 ( -4.5% )</t>
  </si>
  <si>
    <t>50500 ( 11.6% )</t>
  </si>
  <si>
    <t>3 ( 4.2% )</t>
  </si>
  <si>
    <t>-152400 ( -31.5% )</t>
  </si>
  <si>
    <t>-24 ( -32.4% )</t>
  </si>
  <si>
    <t>523000 ( 157.6% )</t>
  </si>
  <si>
    <t>82 ( 164.0% )</t>
  </si>
  <si>
    <t>-392100 ( -45.9% )</t>
  </si>
  <si>
    <t>-60 ( -45.5% )</t>
  </si>
  <si>
    <t>-153500 ( -33.2% )</t>
  </si>
  <si>
    <t>-24 ( -33.3% )</t>
  </si>
  <si>
    <t>■ '사바하' 일자별 통계정보</t>
  </si>
  <si>
    <t>1403303910 ( 4038.9% )</t>
  </si>
  <si>
    <t>181319 ( 5669.8% )</t>
  </si>
  <si>
    <t>-272636180 ( -19.0% )</t>
  </si>
  <si>
    <t>-39531 ( -21.4% )</t>
  </si>
  <si>
    <t>374785297 ( 32.2% )</t>
  </si>
  <si>
    <t>32343 ( 22.3% )</t>
  </si>
  <si>
    <t>1505095099 ( 97.7% )</t>
  </si>
  <si>
    <t>171505 ( 96.7% )</t>
  </si>
  <si>
    <t>-307578906 ( -10.1% )</t>
  </si>
  <si>
    <t>-35498 ( -10.2% )</t>
  </si>
  <si>
    <t>-1771752500 ( -64.7% )</t>
  </si>
  <si>
    <t>-193558 ( -61.8% )</t>
  </si>
  <si>
    <t>-111213540 ( -11.5% )</t>
  </si>
  <si>
    <t>-12978 ( -10.8% )</t>
  </si>
  <si>
    <t>139427320 ( 16.3% )</t>
  </si>
  <si>
    <t>60991 ( 57.1% )</t>
  </si>
  <si>
    <t>-145469420 ( -14.6% )</t>
  </si>
  <si>
    <t>-60952 ( -36.3% )</t>
  </si>
  <si>
    <t>806000651 ( 95.0% )</t>
  </si>
  <si>
    <t>79912 ( 74.8% )</t>
  </si>
  <si>
    <t>-206681471 ( -12.5% )</t>
  </si>
  <si>
    <t>-24713 ( -13.2% )</t>
  </si>
  <si>
    <t>-354309910 ( -24.5% )</t>
  </si>
  <si>
    <t>-39709 ( -24.5% )</t>
  </si>
  <si>
    <t>-787713880 ( -72.0% )</t>
  </si>
  <si>
    <t>-85150 ( -69.6% )</t>
  </si>
  <si>
    <t>-30997560 ( -10.1% )</t>
  </si>
  <si>
    <t>-3529 ( -9.5% )</t>
  </si>
  <si>
    <t>-142747330 ( -51.9% )</t>
  </si>
  <si>
    <t>-17739 ( -52.7% )</t>
  </si>
  <si>
    <t>-11579870 ( -8.8% )</t>
  </si>
  <si>
    <t>-1373 ( -8.6% )</t>
  </si>
  <si>
    <t>53027130 ( 43.9% )</t>
  </si>
  <si>
    <t>4354 ( 29.9% )</t>
  </si>
  <si>
    <t>177870400 ( 102.4% )</t>
  </si>
  <si>
    <t>19554 ( 103.5% )</t>
  </si>
  <si>
    <t>-46484760 ( -13.2% )</t>
  </si>
  <si>
    <t>-5038 ( -13.1% )</t>
  </si>
  <si>
    <t>-215424770 ( -70.6% )</t>
  </si>
  <si>
    <t>-22702 ( -68.0% )</t>
  </si>
  <si>
    <t>-6630790 ( -7.4% )</t>
  </si>
  <si>
    <t>-730 ( -6.8% )</t>
  </si>
  <si>
    <t>-16286920 ( -19.6% )</t>
  </si>
  <si>
    <t>-1900 ( -19.0% )</t>
  </si>
  <si>
    <t>-37794460 ( -56.6% )</t>
  </si>
  <si>
    <t>-4573 ( -56.6% )</t>
  </si>
  <si>
    <t>7510500 ( 25.9% )</t>
  </si>
  <si>
    <t>494 ( 14.1% )</t>
  </si>
  <si>
    <t>33270340 ( 91.2% )</t>
  </si>
  <si>
    <t>3733 ( 93.4% )</t>
  </si>
  <si>
    <t>-22616700 ( -32.4% )</t>
  </si>
  <si>
    <t>-2483 ( -32.1% )</t>
  </si>
  <si>
    <t>-27536670 ( -58.4% )</t>
  </si>
  <si>
    <t>-2871 ( -54.7% )</t>
  </si>
  <si>
    <t>-2224840 ( -11.4% )</t>
  </si>
  <si>
    <t>-227 ( -9.6% )</t>
  </si>
  <si>
    <t>-15608470 ( -89.9% )</t>
  </si>
  <si>
    <t>-1882 ( -87.6% )</t>
  </si>
  <si>
    <t>4313150 ( 246.9% )</t>
  </si>
  <si>
    <t>474 ( 177.5% )</t>
  </si>
  <si>
    <t>-4346100 ( -71.7% )</t>
  </si>
  <si>
    <t>-480 ( -64.8% )</t>
  </si>
  <si>
    <t>679150 ( 39.6% )</t>
  </si>
  <si>
    <t>70 ( 26.8% )</t>
  </si>
  <si>
    <t>-485520 ( -20.3% )</t>
  </si>
  <si>
    <t>-57 ( -17.2% )</t>
  </si>
  <si>
    <t>-588180 ( -30.8% )</t>
  </si>
  <si>
    <t>-77 ( -28.1% )</t>
  </si>
  <si>
    <t>70500 ( 5.3% )</t>
  </si>
  <si>
    <t>5 ( 2.5% )</t>
  </si>
  <si>
    <t>936600 ( 67.4% )</t>
  </si>
  <si>
    <t>161 ( 79.7% )</t>
  </si>
  <si>
    <t>-1275900 ( -54.8% )</t>
  </si>
  <si>
    <t>-199 ( -54.8% )</t>
  </si>
  <si>
    <t>-5 ( -3.0% )</t>
  </si>
  <si>
    <t>365800 ( 34.8% )</t>
  </si>
  <si>
    <t>35 ( 22.0% )</t>
  </si>
  <si>
    <t>-311700 ( -22.0% )</t>
  </si>
  <si>
    <t>-31 ( -16.0% )</t>
  </si>
  <si>
    <t>-150600 ( -13.6% )</t>
  </si>
  <si>
    <t>-14 ( -8.6% )</t>
  </si>
  <si>
    <t>78300 ( 8.2% )</t>
  </si>
  <si>
    <t>9 ( 6.0% )</t>
  </si>
  <si>
    <t>-582300 ( -56.4% )</t>
  </si>
  <si>
    <t>-68 ( -43.0% )</t>
  </si>
  <si>
    <t>45000 ( 10.0% )</t>
  </si>
  <si>
    <t>5 ( 5.6% )</t>
  </si>
  <si>
    <t>-70000 ( -14.1% )</t>
  </si>
  <si>
    <t>-10 ( -10.5% )</t>
  </si>
  <si>
    <t>■ '해피 데스데이 2 유' 일자별 통계정보</t>
  </si>
  <si>
    <t>571225490 ( 33457.8% )</t>
  </si>
  <si>
    <t>72226 ( 33750.5% )</t>
  </si>
  <si>
    <t>-77064740 ( -13.5% )</t>
  </si>
  <si>
    <t>-14724 ( -20.3% )</t>
  </si>
  <si>
    <t>245908700 ( 49.6% )</t>
  </si>
  <si>
    <t>28772 ( 49.9% )</t>
  </si>
  <si>
    <t>-127055350 ( -17.1% )</t>
  </si>
  <si>
    <t>-15204 ( -17.6% )</t>
  </si>
  <si>
    <t>-377597340 ( -61.4% )</t>
  </si>
  <si>
    <t>-41755 ( -58.6% )</t>
  </si>
  <si>
    <t>-32146220 ( -13.6% )</t>
  </si>
  <si>
    <t>-3862 ( -13.1% )</t>
  </si>
  <si>
    <t>-115712850 ( -56.5% )</t>
  </si>
  <si>
    <t>-14388 ( -56.1% )</t>
  </si>
  <si>
    <t>-20396870 ( -22.8% )</t>
  </si>
  <si>
    <t>-2650 ( -23.5% )</t>
  </si>
  <si>
    <t>4154889 ( 6.0% )</t>
  </si>
  <si>
    <t>-176 ( -2.0% )</t>
  </si>
  <si>
    <t>21693302 ( 29.7% )</t>
  </si>
  <si>
    <t>2647 ( 31.3% )</t>
  </si>
  <si>
    <t>-12290061 ( -13.0% )</t>
  </si>
  <si>
    <t>-1502 ( -13.5% )</t>
  </si>
  <si>
    <t>-36717430 ( -44.5% )</t>
  </si>
  <si>
    <t>-3852 ( -40.1% )</t>
  </si>
  <si>
    <t>-2533350 ( -5.5% )</t>
  </si>
  <si>
    <t>-321 ( -5.6% )</t>
  </si>
  <si>
    <t>-32672960 ( -75.7% )</t>
  </si>
  <si>
    <t>-3751 ( -69.1% )</t>
  </si>
  <si>
    <t>155210 ( 1.5% )</t>
  </si>
  <si>
    <t>-305 ( -18.2% )</t>
  </si>
  <si>
    <t>4387200 ( 41.2% )</t>
  </si>
  <si>
    <t>368 ( 26.9% )</t>
  </si>
  <si>
    <t>-2045150 ( -13.6% )</t>
  </si>
  <si>
    <t>-246 ( -14.2% )</t>
  </si>
  <si>
    <t>-2775040 ( -21.3% )</t>
  </si>
  <si>
    <t>-331 ( -22.2% )</t>
  </si>
  <si>
    <t>-6937380 ( -67.8% )</t>
  </si>
  <si>
    <t>-759 ( -65.4% )</t>
  </si>
  <si>
    <t>248690 ( 7.6% )</t>
  </si>
  <si>
    <t>19 ( 4.7% )</t>
  </si>
  <si>
    <t>-3513040 ( -99.3% )</t>
  </si>
  <si>
    <t>-417 ( -99.3% )</t>
  </si>
  <si>
    <t>32000 ( 139.1% )</t>
  </si>
  <si>
    <t>5 ( 166.7% )</t>
  </si>
  <si>
    <t>-8000 ( -14.5% )</t>
  </si>
  <si>
    <t>-1 ( -12.5% )</t>
  </si>
  <si>
    <t>116000 ( 246.8% )</t>
  </si>
  <si>
    <t>18 ( 257.1% )</t>
  </si>
  <si>
    <t>-40000 ( -24.5% )</t>
  </si>
  <si>
    <t>-4 ( -16.0% )</t>
  </si>
  <si>
    <t>54000 ( 100.0% )</t>
  </si>
  <si>
    <t>300 ( 100.0% )</t>
  </si>
  <si>
    <t>-1200000 ( -80.0% )</t>
  </si>
  <si>
    <t>-240 ( -80.0% )</t>
  </si>
  <si>
    <t>■ '기묘한 가족' 일자별 통계정보</t>
  </si>
  <si>
    <t>328465900 ( 6008.7% )</t>
  </si>
  <si>
    <t>41996 ( 5675.1% )</t>
  </si>
  <si>
    <t>-49572400 ( -14.8% )</t>
  </si>
  <si>
    <t>-6165 ( -14.4% )</t>
  </si>
  <si>
    <t>-33259859 ( -11.7% )</t>
  </si>
  <si>
    <t>-6615 ( -18.1% )</t>
  </si>
  <si>
    <t>167179813 ( 66.6% )</t>
  </si>
  <si>
    <t>19640 ( 65.6% )</t>
  </si>
  <si>
    <t>-56860154 ( -13.6% )</t>
  </si>
  <si>
    <t>-6823 ( -13.8% )</t>
  </si>
  <si>
    <t>-252104730 ( -69.8% )</t>
  </si>
  <si>
    <t>-28707 ( -67.1% )</t>
  </si>
  <si>
    <t>12287530 ( 11.2% )</t>
  </si>
  <si>
    <t>1519 ( 10.8% )</t>
  </si>
  <si>
    <t>-95024970 ( -78.1% )</t>
  </si>
  <si>
    <t>-12101 ( -77.6% )</t>
  </si>
  <si>
    <t>-10279040 ( -38.7% )</t>
  </si>
  <si>
    <t>-1154 ( -33.1% )</t>
  </si>
  <si>
    <t>-1153430 ( -7.1% )</t>
  </si>
  <si>
    <t>-397 ( -17.0% )</t>
  </si>
  <si>
    <t>5987900 ( 39.5% )</t>
  </si>
  <si>
    <t>954 ( 49.4% )</t>
  </si>
  <si>
    <t>-2754970 ( -13.0% )</t>
  </si>
  <si>
    <t>-432 ( -15.0% )</t>
  </si>
  <si>
    <t>-10261290 ( -55.8% )</t>
  </si>
  <si>
    <t>-1323 ( -53.9% )</t>
  </si>
  <si>
    <t>3879780 ( 47.8% )</t>
  </si>
  <si>
    <t>547 ( 48.3% )</t>
  </si>
  <si>
    <t>-7050120 ( -58.8% )</t>
  </si>
  <si>
    <t>-966 ( -57.5% )</t>
  </si>
  <si>
    <t>-4407160 ( -89.1% )</t>
  </si>
  <si>
    <t>-630 ( -88.4% )</t>
  </si>
  <si>
    <t>559200 ( 103.7% )</t>
  </si>
  <si>
    <t>43 ( 51.8% )</t>
  </si>
  <si>
    <t>-376460 ( -34.3% )</t>
  </si>
  <si>
    <t>-28 ( -22.2% )</t>
  </si>
  <si>
    <t>119560 ( 16.6% )</t>
  </si>
  <si>
    <t>-3 ( -3.1% )</t>
  </si>
  <si>
    <t>-601100 ( -71.4% )</t>
  </si>
  <si>
    <t>-67 ( -70.5% )</t>
  </si>
  <si>
    <t>171000 ( 71.1% )</t>
  </si>
  <si>
    <t>19 ( 67.9% )</t>
  </si>
  <si>
    <t>2943000 ( 100.0% )</t>
  </si>
  <si>
    <t>327 ( 100.0% )</t>
  </si>
  <si>
    <t>■ '메리 포핀스 리턴즈' 일자별 통계정보</t>
  </si>
  <si>
    <t>213851590 ( 464894.8% )</t>
  </si>
  <si>
    <t>27112 ( 542240.0% )</t>
  </si>
  <si>
    <t>-29953600 ( -14.0% )</t>
  </si>
  <si>
    <t>-5045 ( -18.6% )</t>
  </si>
  <si>
    <t>179558990 ( 97.6% )</t>
  </si>
  <si>
    <t>21058 ( 95.4% )</t>
  </si>
  <si>
    <t>-54357800 ( -15.0% )</t>
  </si>
  <si>
    <t>-6150 ( -14.3% )</t>
  </si>
  <si>
    <t>-204491060 ( -66.1% )</t>
  </si>
  <si>
    <t>-23323 ( -63.1% )</t>
  </si>
  <si>
    <t>2930510 ( 2.8% )</t>
  </si>
  <si>
    <t>546 ( 4.0% )</t>
  </si>
  <si>
    <t>-49265230 ( -45.8% )</t>
  </si>
  <si>
    <t>-6557 ( -46.2% )</t>
  </si>
  <si>
    <t>-6625450 ( -11.4% )</t>
  </si>
  <si>
    <t>-848 ( -11.1% )</t>
  </si>
  <si>
    <t>-1249620 ( -2.4% )</t>
  </si>
  <si>
    <t>-603 ( -8.9% )</t>
  </si>
  <si>
    <t>43028440 ( 85.3% )</t>
  </si>
  <si>
    <t>4805 ( 77.6% )</t>
  </si>
  <si>
    <t>-13853480 ( -14.8% )</t>
  </si>
  <si>
    <t>-1471 ( -13.4% )</t>
  </si>
  <si>
    <t>-42010060 ( -52.8% )</t>
  </si>
  <si>
    <t>-4720 ( -49.5% )</t>
  </si>
  <si>
    <t>5792970 ( 15.4% )</t>
  </si>
  <si>
    <t>1077 ( 22.4% )</t>
  </si>
  <si>
    <t>-27041000 ( -62.3% )</t>
  </si>
  <si>
    <t>-3424 ( -58.2% )</t>
  </si>
  <si>
    <t>-1090250 ( -6.7% )</t>
  </si>
  <si>
    <t>-470 ( -19.1% )</t>
  </si>
  <si>
    <t>8239580 ( 54.0% )</t>
  </si>
  <si>
    <t>747 ( 37.5% )</t>
  </si>
  <si>
    <t>-5627980 ( -23.9% )</t>
  </si>
  <si>
    <t>-731 ( -26.7% )</t>
  </si>
  <si>
    <t>-4395870 ( -24.6% )</t>
  </si>
  <si>
    <t>-458 ( -22.8% )</t>
  </si>
  <si>
    <t>-10135780 ( -75.2% )</t>
  </si>
  <si>
    <t>-1147 ( -74.0% )</t>
  </si>
  <si>
    <t>-80300 ( -2.4% )</t>
  </si>
  <si>
    <t>-2 ( -0.5% )</t>
  </si>
  <si>
    <t>-2222600 ( -68.0% )</t>
  </si>
  <si>
    <t>-256 ( -63.8% )</t>
  </si>
  <si>
    <t>47650 ( 4.5% )</t>
  </si>
  <si>
    <t>9 ( 6.2% )</t>
  </si>
  <si>
    <t>-454650 ( -41.5% )</t>
  </si>
  <si>
    <t>-57 ( -37.0% )</t>
  </si>
  <si>
    <t>268000 ( 41.8% )</t>
  </si>
  <si>
    <t>39 ( 40.2% )</t>
  </si>
  <si>
    <t>1151150 ( 126.6% )</t>
  </si>
  <si>
    <t>150 ( 110.3% )</t>
  </si>
  <si>
    <t>-1626540 ( -79.0% )</t>
  </si>
  <si>
    <t>-209 ( -73.1% )</t>
  </si>
  <si>
    <t>17390 ( 4.0% )</t>
  </si>
  <si>
    <t>6 ( 7.8% )</t>
  </si>
  <si>
    <t>119500 ( 26.5% )</t>
  </si>
  <si>
    <t>16 ( 19.3% )</t>
  </si>
  <si>
    <t>-192500 ( -33.7% )</t>
  </si>
  <si>
    <t>-25 ( -25.3% )</t>
  </si>
  <si>
    <t>21000 ( 5.6% )</t>
  </si>
  <si>
    <t>-5 ( -6.8% )</t>
  </si>
  <si>
    <t>670500 ( 168.0% )</t>
  </si>
  <si>
    <t>87 ( 126.1% )</t>
  </si>
  <si>
    <t>-617500 ( -57.7% )</t>
  </si>
  <si>
    <t>-75 ( -48.1% )</t>
  </si>
  <si>
    <t>-20000 ( -4.4% )</t>
  </si>
  <si>
    <t>2 ( 2.5% )</t>
  </si>
  <si>
    <t>55480 ( 12.8% )</t>
  </si>
  <si>
    <t>6 ( 7.2% )</t>
  </si>
  <si>
    <t>-173480 ( -35.6% )</t>
  </si>
  <si>
    <t>-27 ( -30.3% )</t>
  </si>
  <si>
    <t>-64000 ( -20.4% )</t>
  </si>
  <si>
    <t>-12 ( -19.4% )</t>
  </si>
  <si>
    <t>■ '신데렐라:마법 반지의 비밀' 일자별 통계정보</t>
  </si>
  <si>
    <t>86481860 ( 703.1% )</t>
  </si>
  <si>
    <t>12948 ( 902.9% )</t>
  </si>
  <si>
    <t>5427910 ( 5.5% )</t>
  </si>
  <si>
    <t>960 ( 6.7% )</t>
  </si>
  <si>
    <t>33411520 ( 32.1% )</t>
  </si>
  <si>
    <t>3139 ( 20.5% )</t>
  </si>
  <si>
    <t>175128910 ( 127.3% )</t>
  </si>
  <si>
    <t>22249 ( 120.4% )</t>
  </si>
  <si>
    <t>-3665430 ( -1.2% )</t>
  </si>
  <si>
    <t>-900 ( -2.2% )</t>
  </si>
  <si>
    <t>-177390850 ( -57.4% )</t>
  </si>
  <si>
    <t>-20762 ( -52.1% )</t>
  </si>
  <si>
    <t>18035720 ( 13.7% )</t>
  </si>
  <si>
    <t>2825 ( 14.8% )</t>
  </si>
  <si>
    <t>-39658560 ( -26.5% )</t>
  </si>
  <si>
    <t>-5758 ( -26.3% )</t>
  </si>
  <si>
    <t>3426900 ( 3.1% )</t>
  </si>
  <si>
    <t>299 ( 1.9% )</t>
  </si>
  <si>
    <t>95498830 ( 84.1% )</t>
  </si>
  <si>
    <t>10400 ( 63.3% )</t>
  </si>
  <si>
    <t>-62679820 ( -30.0% )</t>
  </si>
  <si>
    <t>-8095 ( -30.2% )</t>
  </si>
  <si>
    <t>-27501160 ( -18.8% )</t>
  </si>
  <si>
    <t>-3674 ( -19.6% )</t>
  </si>
  <si>
    <t>-97793230 ( -82.3% )</t>
  </si>
  <si>
    <t>-12170 ( -80.8% )</t>
  </si>
  <si>
    <t>-12266620 ( -58.3% )</t>
  </si>
  <si>
    <t>-1676 ( -57.9% )</t>
  </si>
  <si>
    <t>-6316980 ( -72.1% )</t>
  </si>
  <si>
    <t>-889 ( -72.9% )</t>
  </si>
  <si>
    <t>-990000 ( -40.6% )</t>
  </si>
  <si>
    <t>-131 ( -39.7% )</t>
  </si>
  <si>
    <t>318800 ( 22.0% )</t>
  </si>
  <si>
    <t>16 ( 8.0% )</t>
  </si>
  <si>
    <t>31593500 ( 1787.2% )</t>
  </si>
  <si>
    <t>4060 ( 1888.4% )</t>
  </si>
  <si>
    <t>8936510 ( 26.8% )</t>
  </si>
  <si>
    <t>978 ( 22.9% )</t>
  </si>
  <si>
    <t>-40997210 ( -96.9% )</t>
  </si>
  <si>
    <t>-5078 ( -96.7% )</t>
  </si>
  <si>
    <t>-127600 ( -9.8% )</t>
  </si>
  <si>
    <t>-11 ( -6.3% )</t>
  </si>
  <si>
    <t>-177200 ( -15.1% )</t>
  </si>
  <si>
    <t>-32 ( -19.5% )</t>
  </si>
  <si>
    <t>-797800 ( -80.1% )</t>
  </si>
  <si>
    <t>-105 ( -79.5% )</t>
  </si>
  <si>
    <t>220000 ( 111.1% )</t>
  </si>
  <si>
    <t>35 ( 129.6% )</t>
  </si>
  <si>
    <t>6670850 ( 1595.9% )</t>
  </si>
  <si>
    <t>851 ( 1372.6% )</t>
  </si>
  <si>
    <t>-1391770 ( -19.6% )</t>
  </si>
  <si>
    <t>-196 ( -21.5% )</t>
  </si>
  <si>
    <t>-5507580 ( -96.7% )</t>
  </si>
  <si>
    <t>-691 ( -96.4% )</t>
  </si>
  <si>
    <t>-66500 ( -35.1% )</t>
  </si>
  <si>
    <t>-9 ( -34.6% )</t>
  </si>
  <si>
    <t>-66500 ( -54.1% )</t>
  </si>
  <si>
    <t>-8 ( -47.1% )</t>
  </si>
  <si>
    <t>-10500 ( -18.6% )</t>
  </si>
  <si>
    <t>241000 ( 523.9% )</t>
  </si>
  <si>
    <t>31 ( 344.4% )</t>
  </si>
  <si>
    <t>1013300 ( 353.1% )</t>
  </si>
  <si>
    <t>127 ( 317.5% )</t>
  </si>
  <si>
    <t>111400 ( 8.6% )</t>
  </si>
  <si>
    <t>14 ( 8.4% )</t>
  </si>
  <si>
    <t>-1336700 ( -94.7% )</t>
  </si>
  <si>
    <t>-170 ( -93.9% )</t>
  </si>
  <si>
    <t>-27000 ( -36.0% )</t>
  </si>
  <si>
    <t>-4 ( -36.4% )</t>
  </si>
  <si>
    <t>31480 ( 65.6% )</t>
  </si>
  <si>
    <t>5 ( 71.4% )</t>
  </si>
  <si>
    <t>-46980 ( -59.1% )</t>
  </si>
  <si>
    <t>44500 ( 136.9% )</t>
  </si>
  <si>
    <t>464000 ( 602.6% )</t>
  </si>
  <si>
    <t>64 ( 581.8% )</t>
  </si>
  <si>
    <t>-98700 ( -18.2% )</t>
  </si>
  <si>
    <t>-15 ( -20.0% )</t>
  </si>
  <si>
    <t>-308300 ( -69.7% )</t>
  </si>
  <si>
    <t>-40 ( -66.7% )</t>
  </si>
  <si>
    <t>-116000 ( -86.6% )</t>
  </si>
  <si>
    <t>-17 ( -85.0% )</t>
  </si>
  <si>
    <t>50000 ( 100.0% )</t>
  </si>
  <si>
    <t>-14000 ( -28.0% )</t>
  </si>
  <si>
    <t>-2 ( -28.6% )</t>
  </si>
  <si>
    <t>153000 ( 425.0% )</t>
  </si>
  <si>
    <t>25 ( 500.0% )</t>
  </si>
  <si>
    <t>-39000 ( -20.6% )</t>
  </si>
  <si>
    <t>-7 ( -23.3% )</t>
  </si>
  <si>
    <t>-123000 ( -82.0% )</t>
  </si>
  <si>
    <t>-18 ( -78.3% )</t>
  </si>
  <si>
    <t>59000 ( 100.0% )</t>
  </si>
  <si>
    <t>19000 ( 79.2% )</t>
  </si>
  <si>
    <t>4 ( 133.3% )</t>
  </si>
  <si>
    <t>163000 ( 379.1% )</t>
  </si>
  <si>
    <t>21 ( 300.0% )</t>
  </si>
  <si>
    <t>-192000 ( -93.2% )</t>
  </si>
  <si>
    <t>-26 ( -92.9% )</t>
  </si>
  <si>
    <t>222000 ( 1585.7% )</t>
  </si>
  <si>
    <t>36 ( 1800.0% )</t>
  </si>
  <si>
    <t>-221000 ( -93.6% )</t>
  </si>
  <si>
    <t>-35 ( -92.1% )</t>
  </si>
  <si>
    <t>-1000 ( -6.7% )</t>
  </si>
  <si>
    <t>10000 ( 71.4% )</t>
  </si>
  <si>
    <t>122000 ( 508.3% )</t>
  </si>
  <si>
    <t>17 ( 425.0% )</t>
  </si>
  <si>
    <t>-101000 ( -69.2% )</t>
  </si>
  <si>
    <t>-14 ( -66.7% )</t>
  </si>
  <si>
    <t>4000 ( 8.9% )</t>
  </si>
  <si>
    <t>■ '항거:유관순 이야기' 일자별 통계정보</t>
  </si>
  <si>
    <t>581266750 ( 100.0% )</t>
  </si>
  <si>
    <t>99754 ( 100.0% )</t>
  </si>
  <si>
    <t>37122530 ( 6.4% )</t>
  </si>
  <si>
    <t>-17522 ( -17.6% )</t>
  </si>
  <si>
    <t>1576707391 ( 255.0% )</t>
  </si>
  <si>
    <t>180259 ( 219.2% )</t>
  </si>
  <si>
    <t>-593320781 ( -27.0% )</t>
  </si>
  <si>
    <t>-73453 ( -28.0% )</t>
  </si>
  <si>
    <t>-292991360 ( -18.3% )</t>
  </si>
  <si>
    <t>-34505 ( -18.3% )</t>
  </si>
  <si>
    <t>-959152560 ( -73.3% )</t>
  </si>
  <si>
    <t>-110416 ( -71.5% )</t>
  </si>
  <si>
    <t>-71470070 ( -20.4% )</t>
  </si>
  <si>
    <t>-8953 ( -20.3% )</t>
  </si>
  <si>
    <t>-114879850 ( -41.3% )</t>
  </si>
  <si>
    <t>-14449 ( -41.1% )</t>
  </si>
  <si>
    <t>-7177100 ( -4.4% )</t>
  </si>
  <si>
    <t>-630 ( -3.0% )</t>
  </si>
  <si>
    <t>45161649 ( 28.9% )</t>
  </si>
  <si>
    <t>3127 ( 15.6% )</t>
  </si>
  <si>
    <t>267350102 ( 132.8% )</t>
  </si>
  <si>
    <t>31568 ( 136.0% )</t>
  </si>
  <si>
    <t>-14260531 ( -3.0% )</t>
  </si>
  <si>
    <t>-1842 ( -3.4% )</t>
  </si>
  <si>
    <t>-347058860 ( -76.4% )</t>
  </si>
  <si>
    <t>-39544 ( -74.7% )</t>
  </si>
  <si>
    <t>-7012070 ( -6.5% )</t>
  </si>
  <si>
    <t>-379 ( -2.8% )</t>
  </si>
  <si>
    <t>-11691740 ( -11.7% )</t>
  </si>
  <si>
    <t>-1350 ( -10.4% )</t>
  </si>
  <si>
    <t>-35501490 ( -40.1% )</t>
  </si>
  <si>
    <t>-4637 ( -39.8% )</t>
  </si>
  <si>
    <t>13873080 ( 26.1% )</t>
  </si>
  <si>
    <t>1185 ( 16.9% )</t>
  </si>
  <si>
    <t>73733830 ( 110.1% )</t>
  </si>
  <si>
    <t>8759 ( 106.6% )</t>
  </si>
  <si>
    <t>-4271900 ( -3.0% )</t>
  </si>
  <si>
    <t>-413 ( -2.4% )</t>
  </si>
  <si>
    <t>-102783050 ( -75.3% )</t>
  </si>
  <si>
    <t>-12070 ( -72.9% )</t>
  </si>
  <si>
    <t>-1071290 ( -3.2% )</t>
  </si>
  <si>
    <t>-54 ( -1.2% )</t>
  </si>
  <si>
    <t>-24706200 ( -75.8% )</t>
  </si>
  <si>
    <t>-3192 ( -72.0% )</t>
  </si>
  <si>
    <t>5706850 ( 72.5% )</t>
  </si>
  <si>
    <t>778 ( 62.6% )</t>
  </si>
  <si>
    <t>-8595600 ( -63.3% )</t>
  </si>
  <si>
    <t>-1311 ( -64.9% )</t>
  </si>
  <si>
    <t>4421450 ( 88.8% )</t>
  </si>
  <si>
    <t>508 ( 71.5% )</t>
  </si>
  <si>
    <t>-1542250 ( -16.4% )</t>
  </si>
  <si>
    <t>-252 ( -20.7% )</t>
  </si>
  <si>
    <t>-2934880 ( -37.4% )</t>
  </si>
  <si>
    <t>-197 ( -20.4% )</t>
  </si>
  <si>
    <t>-1853650 ( -37.7% )</t>
  </si>
  <si>
    <t>-324 ( -42.1% )</t>
  </si>
  <si>
    <t>5010100 ( 163.3% )</t>
  </si>
  <si>
    <t>963 ( 216.4% )</t>
  </si>
  <si>
    <t>-3439900 ( -42.6% )</t>
  </si>
  <si>
    <t>-631 ( -44.8% )</t>
  </si>
  <si>
    <t>711600 ( 15.3% )</t>
  </si>
  <si>
    <t>96 ( 12.4% )</t>
  </si>
  <si>
    <t>-3564200 ( -66.6% )</t>
  </si>
  <si>
    <t>-589 ( -67.5% )</t>
  </si>
  <si>
    <t>-1007000 ( -56.4% )</t>
  </si>
  <si>
    <t>-163 ( -57.4% )</t>
  </si>
  <si>
    <t>-125000 ( -16.0% )</t>
  </si>
  <si>
    <t>3 ( 2.5% )</t>
  </si>
  <si>
    <t>447300 ( 68.4% )</t>
  </si>
  <si>
    <t>52 ( 41.9% )</t>
  </si>
  <si>
    <t>-499300 ( -45.3% )</t>
  </si>
  <si>
    <t>-59 ( -33.5% )</t>
  </si>
  <si>
    <t>3494000 ( 580.4% )</t>
  </si>
  <si>
    <t>468 ( 400.0% )</t>
  </si>
  <si>
    <t>-332500 ( -8.1% )</t>
  </si>
  <si>
    <t>-22 ( -3.8% )</t>
  </si>
  <si>
    <t>-2994500 ( -79.6% )</t>
  </si>
  <si>
    <t>-427 ( -75.8% )</t>
  </si>
  <si>
    <t>-22500 ( -2.9% )</t>
  </si>
  <si>
    <t>4 ( 2.9% )</t>
  </si>
  <si>
    <t>-151500 ( -20.3% )</t>
  </si>
  <si>
    <t>-25 ( -17.9% )</t>
  </si>
  <si>
    <t>1016000 ( 170.8% )</t>
  </si>
  <si>
    <t>203 ( 176.5% )</t>
  </si>
  <si>
    <t>-312400 ( -19.4% )</t>
  </si>
  <si>
    <t>-82 ( -25.8% )</t>
  </si>
  <si>
    <t>5761700 ( 443.7% )</t>
  </si>
  <si>
    <t>952 ( 403.4% )</t>
  </si>
  <si>
    <t>-6420800 ( -90.9% )</t>
  </si>
  <si>
    <t>-1068 ( -89.9% )</t>
  </si>
  <si>
    <t>100500 ( 15.7% )</t>
  </si>
  <si>
    <t>22 ( 18.3% )</t>
  </si>
  <si>
    <t>-68200 ( -9.2% )</t>
  </si>
  <si>
    <t>-16 ( -11.3% )</t>
  </si>
  <si>
    <t>2059200 ( 306.5% )</t>
  </si>
  <si>
    <t>275 ( 218.3% )</t>
  </si>
  <si>
    <t>-2242000 ( -82.1% )</t>
  </si>
  <si>
    <t>-308 ( -76.8% )</t>
  </si>
  <si>
    <t>405000 ( 82.8% )</t>
  </si>
  <si>
    <t>69 ( 74.2% )</t>
  </si>
  <si>
    <t>171000 ( 19.1% )</t>
  </si>
  <si>
    <t>18 ( 11.1% )</t>
  </si>
  <si>
    <t>-303000 ( -28.5% )</t>
  </si>
  <si>
    <t>-48 ( -26.7% )</t>
  </si>
  <si>
    <t>1408000 ( 100.0% )</t>
  </si>
  <si>
    <t>128 ( 100.0% )</t>
  </si>
  <si>
    <t>-162000 ( -11.5% )</t>
  </si>
  <si>
    <t>110 ( 85.9% )</t>
  </si>
  <si>
    <t>324000 ( 26.0% )</t>
  </si>
  <si>
    <t>73 ( 30.7% )</t>
  </si>
  <si>
    <t>-1370000 ( -87.3% )</t>
  </si>
  <si>
    <t>-271 ( -87.1% )</t>
  </si>
  <si>
    <t>1512000 ( 756.0% )</t>
  </si>
  <si>
    <t>285 ( 712.5% )</t>
  </si>
  <si>
    <t>-1374000 ( -80.3% )</t>
  </si>
  <si>
    <t>-264 ( -81.2% )</t>
  </si>
  <si>
    <t>465000 ( 100.0% )</t>
  </si>
  <si>
    <t>93 ( 100.0% )</t>
  </si>
  <si>
    <t>875000 ( 188.2% )</t>
  </si>
  <si>
    <t>165 ( 177.4% )</t>
  </si>
  <si>
    <t>896000 ( 100.0% )</t>
  </si>
  <si>
    <t>1308000 ( 266.9% )</t>
  </si>
  <si>
    <t>218 ( 222.4% )</t>
  </si>
  <si>
    <t>367000 ( 100.0% )</t>
  </si>
  <si>
    <t>69 ( 100.0% )</t>
  </si>
  <si>
    <t>980000 ( 100.0% )</t>
  </si>
  <si>
    <t>195 ( 100.0% )</t>
  </si>
  <si>
    <t>2300000 ( 100.0% )</t>
  </si>
  <si>
    <t>395 ( 100.0% )</t>
  </si>
  <si>
    <t>425000 ( 100.0% )</t>
  </si>
  <si>
    <t>85 ( 100.0% )</t>
  </si>
  <si>
    <t>1040000 ( 100.0% )</t>
  </si>
  <si>
    <t>208 ( 100.0% )</t>
  </si>
  <si>
    <t>1610000 ( 154.8% )</t>
  </si>
  <si>
    <t>146 ( 70.2% )</t>
  </si>
  <si>
    <t>-1852000 ( -69.9% )</t>
  </si>
  <si>
    <t>-254 ( -71.8% )</t>
  </si>
  <si>
    <t>-205000 ( -41.8% )</t>
  </si>
  <si>
    <t>-41 ( -41.8% )</t>
  </si>
  <si>
    <t>410000 ( 100.0% )</t>
  </si>
  <si>
    <t>82 ( 100.0% )</t>
  </si>
  <si>
    <t>280000 ( 68.3% )</t>
  </si>
  <si>
    <t>56 ( 68.3% )</t>
  </si>
  <si>
    <t>822000 ( 100.0% )</t>
  </si>
  <si>
    <t>124 ( 100.0% )</t>
  </si>
  <si>
    <t>■ '명탐정 코난:전율의 악보' 일자별 통계정보</t>
  </si>
  <si>
    <t>195022600 ( 3983.3% )</t>
  </si>
  <si>
    <t>26922 ( 4399.0% )</t>
  </si>
  <si>
    <t>-101720000 ( -50.9% )</t>
  </si>
  <si>
    <t>-15255 ( -55.4% )</t>
  </si>
  <si>
    <t>81076900 ( 82.6% )</t>
  </si>
  <si>
    <t>10404 ( 84.7% )</t>
  </si>
  <si>
    <t>-18200200 ( -10.2% )</t>
  </si>
  <si>
    <t>-2415 ( -10.6% )</t>
  </si>
  <si>
    <t>-121472900 ( -75.4% )</t>
  </si>
  <si>
    <t>-14891 ( -73.5% )</t>
  </si>
  <si>
    <t>-4618000 ( -11.7% )</t>
  </si>
  <si>
    <t>-654 ( -12.2% )</t>
  </si>
  <si>
    <t>-12546200 ( -35.9% )</t>
  </si>
  <si>
    <t>-1642 ( -34.8% )</t>
  </si>
  <si>
    <t>-1680100 ( -7.5% )</t>
  </si>
  <si>
    <t>-259 ( -8.4% )</t>
  </si>
  <si>
    <t>-1692600 ( -8.2% )</t>
  </si>
  <si>
    <t>-452 ( -16.0% )</t>
  </si>
  <si>
    <t>17754400 ( 93.1% )</t>
  </si>
  <si>
    <t>2252 ( 95.0% )</t>
  </si>
  <si>
    <t>4231600 ( 11.5% )</t>
  </si>
  <si>
    <t>478 ( 10.3% )</t>
  </si>
  <si>
    <t>-27726700 ( -67.5% )</t>
  </si>
  <si>
    <t>-3277 ( -64.3% )</t>
  </si>
  <si>
    <t>3112300 ( 23.4% )</t>
  </si>
  <si>
    <t>445 ( 24.4% )</t>
  </si>
  <si>
    <t>-16304100 ( -99.2% )</t>
  </si>
  <si>
    <t>-2249 ( -99.2% )</t>
  </si>
  <si>
    <t>2129000 ( 100.0% )</t>
  </si>
  <si>
    <t>416 ( 100.0% )</t>
  </si>
  <si>
    <t>-1544500 ( -72.5% )</t>
  </si>
  <si>
    <t>-354 ( -85.1% )</t>
  </si>
  <si>
    <t>■ '해리포터와 비밀의 방' 일자별 통계정보</t>
  </si>
  <si>
    <t>112 ( 100.0% )</t>
  </si>
  <si>
    <t>37312000 ( 4164.3% )</t>
  </si>
  <si>
    <t>3780 ( 3375.0% )</t>
  </si>
  <si>
    <t>82650500 ( 216.3% )</t>
  </si>
  <si>
    <t>11541 ( 296.5% )</t>
  </si>
  <si>
    <t>-14417500 ( -11.9% )</t>
  </si>
  <si>
    <t>-1896 ( -12.3% )</t>
  </si>
  <si>
    <t>21078000 ( 19.8% )</t>
  </si>
  <si>
    <t>178 ( 1.3% )</t>
  </si>
  <si>
    <t>32639500 ( 25.6% )</t>
  </si>
  <si>
    <t>3433 ( 25.0% )</t>
  </si>
  <si>
    <t>-18244500 ( -11.4% )</t>
  </si>
  <si>
    <t>-1684 ( -9.8% )</t>
  </si>
  <si>
    <t>-81481000 ( -57.4% )</t>
  </si>
  <si>
    <t>-7864 ( -50.9% )</t>
  </si>
  <si>
    <t>-4494500 ( -7.4% )</t>
  </si>
  <si>
    <t>-566 ( -7.4% )</t>
  </si>
  <si>
    <t>8251000 ( 14.8% )</t>
  </si>
  <si>
    <t>1627 ( 23.1% )</t>
  </si>
  <si>
    <t>-15793000 ( -24.6% )</t>
  </si>
  <si>
    <t>-2677 ( -30.9% )</t>
  </si>
  <si>
    <t>47704500 ( 98.6% )</t>
  </si>
  <si>
    <t>4241 ( 70.9% )</t>
  </si>
  <si>
    <t>-20319000 ( -21.1% )</t>
  </si>
  <si>
    <t>-2272 ( -22.2% )</t>
  </si>
  <si>
    <t>-17936000 ( -23.7% )</t>
  </si>
  <si>
    <t>-1881 ( -23.7% )</t>
  </si>
  <si>
    <t>-42514000 ( -73.5% )</t>
  </si>
  <si>
    <t>-4293 ( -70.7% )</t>
  </si>
  <si>
    <t>212500 ( 1.4% )</t>
  </si>
  <si>
    <t>8 ( 0.4% )</t>
  </si>
  <si>
    <t>-14388500 ( -92.6% )</t>
  </si>
  <si>
    <t>-1642 ( -91.9% )</t>
  </si>
  <si>
    <t>420000 ( 36.3% )</t>
  </si>
  <si>
    <t>49 ( 33.8% )</t>
  </si>
  <si>
    <t>1460000 ( 92.6% )</t>
  </si>
  <si>
    <t>130 ( 67.0% )</t>
  </si>
  <si>
    <t>-740000 ( -24.4% )</t>
  </si>
  <si>
    <t>-87 ( -26.9% )</t>
  </si>
  <si>
    <t>123000 ( 5.4% )</t>
  </si>
  <si>
    <t>15 ( 6.3% )</t>
  </si>
  <si>
    <t>-1696000 ( -70.1% )</t>
  </si>
  <si>
    <t>-170 ( -67.5% )</t>
  </si>
  <si>
    <t>-212000 ( -29.3% )</t>
  </si>
  <si>
    <t>-24 ( -29.3% )</t>
  </si>
  <si>
    <t>365000 ( 71.4% )</t>
  </si>
  <si>
    <t>42 ( 72.4% )</t>
  </si>
  <si>
    <t>■ '콜드 체이싱' 일자별 통계정보</t>
  </si>
  <si>
    <t>153887290 ( 100.0% )</t>
  </si>
  <si>
    <t>19775 ( 100.0% )</t>
  </si>
  <si>
    <t>-52364670 ( -34.0% )</t>
  </si>
  <si>
    <t>-6614 ( -33.4% )</t>
  </si>
  <si>
    <t>106082 ( 0.1% )</t>
  </si>
  <si>
    <t>-1294 ( -9.8% )</t>
  </si>
  <si>
    <t>50012493 ( 49.2% )</t>
  </si>
  <si>
    <t>5748 ( 48.4% )</t>
  </si>
  <si>
    <t>-17473015 ( -11.5% )</t>
  </si>
  <si>
    <t>-2017 ( -11.5% )</t>
  </si>
  <si>
    <t>-85333920 ( -63.6% )</t>
  </si>
  <si>
    <t>-9317 ( -59.7% )</t>
  </si>
  <si>
    <t>-5093840 ( -10.4% )</t>
  </si>
  <si>
    <t>-560 ( -8.9% )</t>
  </si>
  <si>
    <t>-38892620 ( -88.9% )</t>
  </si>
  <si>
    <t>-4973 ( -86.9% )</t>
  </si>
  <si>
    <t>-1521000 ( -31.4% )</t>
  </si>
  <si>
    <t>-319 ( -42.6% )</t>
  </si>
  <si>
    <t>3091200 ( 92.9% )</t>
  </si>
  <si>
    <t>335 ( 78.1% )</t>
  </si>
  <si>
    <t>-1882420 ( -29.3% )</t>
  </si>
  <si>
    <t>-238 ( -31.2% )</t>
  </si>
  <si>
    <t>-174720 ( -3.9% )</t>
  </si>
  <si>
    <t>2 ( 0.4% )</t>
  </si>
  <si>
    <t>-3095960 ( -71.0% )</t>
  </si>
  <si>
    <t>-348 ( -65.9% )</t>
  </si>
  <si>
    <t>104100 ( 8.2% )</t>
  </si>
  <si>
    <t>16 ( 8.9% )</t>
  </si>
  <si>
    <t>-1035000 ( -75.6% )</t>
  </si>
  <si>
    <t>-139 ( -70.9% )</t>
  </si>
  <si>
    <t>-110000 ( -32.9% )</t>
  </si>
  <si>
    <t>-21 ( -36.8% )</t>
  </si>
  <si>
    <t>257000 ( 114.7% )</t>
  </si>
  <si>
    <t>35 ( 97.2% )</t>
  </si>
  <si>
    <t>-178000 ( -37.0% )</t>
  </si>
  <si>
    <t>-31 ( -43.7% )</t>
  </si>
  <si>
    <t>153000 ( 50.5% )</t>
  </si>
  <si>
    <t>24 ( 60.0% )</t>
  </si>
  <si>
    <t>-363000 ( -79.6% )</t>
  </si>
  <si>
    <t>-51 ( -79.7% )</t>
  </si>
  <si>
    <t>10000 ( 10.8% )</t>
  </si>
  <si>
    <t>2 ( 15.4% )</t>
  </si>
  <si>
    <t>18000 ( 17.5% )</t>
  </si>
  <si>
    <t>2 ( 13.3% )</t>
  </si>
  <si>
    <t>-15000 ( -12.4% )</t>
  </si>
  <si>
    <t>-3 ( -17.6% )</t>
  </si>
  <si>
    <t>-38000 ( -35.8% )</t>
  </si>
  <si>
    <t>-6 ( -42.9% )</t>
  </si>
  <si>
    <t>127000 ( 186.8% )</t>
  </si>
  <si>
    <t>15 ( 187.5% )</t>
  </si>
  <si>
    <t>93000 ( 47.7% )</t>
  </si>
  <si>
    <t>102 ( 443.5% )</t>
  </si>
  <si>
    <t>-49000 ( -17.0% )</t>
  </si>
  <si>
    <t>81 ( 64.8% )</t>
  </si>
  <si>
    <t>-128000 ( -53.6% )</t>
  </si>
  <si>
    <t>-104 ( -50.5% )</t>
  </si>
  <si>
    <t>210000 ( 189.2% )</t>
  </si>
  <si>
    <t>202 ( 198.0% )</t>
  </si>
  <si>
    <t>-19000 ( -5.9% )</t>
  </si>
  <si>
    <t>-7 ( -2.3% )</t>
  </si>
  <si>
    <t>4000 ( 1.3% )</t>
  </si>
  <si>
    <t>4 ( 1.3% )</t>
  </si>
  <si>
    <t>-30000 ( -9.8% )</t>
  </si>
  <si>
    <t>-48 ( -15.9% )</t>
  </si>
  <si>
    <t>-20000 ( -7.2% )</t>
  </si>
  <si>
    <t>-2 ( -0.8% )</t>
  </si>
  <si>
    <t>50000 ( 19.5% )</t>
  </si>
  <si>
    <t>50 ( 19.9% )</t>
  </si>
  <si>
    <t>450000 ( 147.1% )</t>
  </si>
  <si>
    <t>-50 ( -16.6% )</t>
  </si>
  <si>
    <t>-600000 ( -79.4% )</t>
  </si>
  <si>
    <t>-100 ( -39.8% )</t>
  </si>
  <si>
    <t>114000 ( 73.1% )</t>
  </si>
  <si>
    <t>101 ( 66.9% )</t>
  </si>
  <si>
    <t>505000 ( 187.0% )</t>
  </si>
  <si>
    <t>488 ( 193.7% )</t>
  </si>
  <si>
    <t>-153000 ( -19.7% )</t>
  </si>
  <si>
    <t>-123 ( -16.6% )</t>
  </si>
  <si>
    <t>67000 ( 10.8% )</t>
  </si>
  <si>
    <t>63 ( 10.2% )</t>
  </si>
  <si>
    <t>-288000 ( -41.8% )</t>
  </si>
  <si>
    <t>-284 ( -41.8% )</t>
  </si>
  <si>
    <t>-345000 ( -86.0% )</t>
  </si>
  <si>
    <t>-345 ( -87.1% )</t>
  </si>
  <si>
    <t>100000 ( 178.6% )</t>
  </si>
  <si>
    <t>100 ( 196.1% )</t>
  </si>
  <si>
    <t>-150000 ( -96.2% )</t>
  </si>
  <si>
    <t>-150 ( -99.3% )</t>
  </si>
  <si>
    <t>100000 ( 1666.7% )</t>
  </si>
  <si>
    <t>100 ( 10000.0% )</t>
  </si>
  <si>
    <t>-6000 ( -5.7% )</t>
  </si>
  <si>
    <t>-94000 ( -94.0% )</t>
  </si>
  <si>
    <t>-99 ( -99.0% )</t>
  </si>
  <si>
    <t>-100000 ( -94.3% )</t>
  </si>
  <si>
    <t>-100 ( -99.0% )</t>
  </si>
  <si>
    <t>105000 ( 1750.0% )</t>
  </si>
  <si>
    <t>101 ( 10100.0% )</t>
  </si>
  <si>
    <t>-100000 ( -90.1% )</t>
  </si>
  <si>
    <t>-100 ( -98.0% )</t>
  </si>
  <si>
    <t>102000 ( 927.3% )</t>
  </si>
  <si>
    <t>100 ( 5000.0% )</t>
  </si>
  <si>
    <t>-7000 ( -6.2% )</t>
  </si>
  <si>
    <t>9000 ( 8.5% )</t>
  </si>
  <si>
    <t>6 ( 5.9% )</t>
  </si>
  <si>
    <t>-2000 ( -1.7% )</t>
  </si>
  <si>
    <t>1 ( 0.9% )</t>
  </si>
  <si>
    <t>2894000 ( 2561.1% )</t>
  </si>
  <si>
    <t>399 ( 369.4% )</t>
  </si>
  <si>
    <t>-2999000 ( -99.7% )</t>
  </si>
  <si>
    <t>-504 ( -99.4% )</t>
  </si>
  <si>
    <t>-6000 ( -75.0% )</t>
  </si>
  <si>
    <t>6000 ( 300.0% )</t>
  </si>
  <si>
    <t>■ '가버나움' 일자별 통계정보</t>
  </si>
  <si>
    <t>33522600 ( 100.0% )</t>
  </si>
  <si>
    <t>4442 ( 100.0% )</t>
  </si>
  <si>
    <t>-3188114 ( -9.5% )</t>
  </si>
  <si>
    <t>-882 ( -19.9% )</t>
  </si>
  <si>
    <t>23301754 ( 76.8% )</t>
  </si>
  <si>
    <t>2415 ( 67.8% )</t>
  </si>
  <si>
    <t>-5657610 ( -10.5% )</t>
  </si>
  <si>
    <t>-472 ( -7.9% )</t>
  </si>
  <si>
    <t>-16228450 ( -33.8% )</t>
  </si>
  <si>
    <t>-1436 ( -26.1% )</t>
  </si>
  <si>
    <t>2483450 ( 7.8% )</t>
  </si>
  <si>
    <t>403 ( 9.9% )</t>
  </si>
  <si>
    <t>-1599930 ( -4.7% )</t>
  </si>
  <si>
    <t>698 ( 15.6% )</t>
  </si>
  <si>
    <t>-5321400 ( -16.3% )</t>
  </si>
  <si>
    <t>-1839 ( -35.6% )</t>
  </si>
  <si>
    <t>2563960 ( 9.4% )</t>
  </si>
  <si>
    <t>62 ( 1.9% )</t>
  </si>
  <si>
    <t>20083270 ( 67.2% )</t>
  </si>
  <si>
    <t>2237 ( 66.0% )</t>
  </si>
  <si>
    <t>4151950 ( 8.3% )</t>
  </si>
  <si>
    <t>451 ( 8.0% )</t>
  </si>
  <si>
    <t>921180 ( 1.7% )</t>
  </si>
  <si>
    <t>23 ( 0.4% )</t>
  </si>
  <si>
    <t>-10712900 ( -19.5% )</t>
  </si>
  <si>
    <t>-1275 ( -20.9% )</t>
  </si>
  <si>
    <t>10098710 ( 22.8% )</t>
  </si>
  <si>
    <t>1341 ( 27.8% )</t>
  </si>
  <si>
    <t>-29869820 ( -54.9% )</t>
  </si>
  <si>
    <t>-3058 ( -49.6% )</t>
  </si>
  <si>
    <t>1720680 ( 7.0% )</t>
  </si>
  <si>
    <t>-68 ( -2.2% )</t>
  </si>
  <si>
    <t>20511000 ( 78.1% )</t>
  </si>
  <si>
    <t>2260 ( 74.3% )</t>
  </si>
  <si>
    <t>-1623980 ( -3.5% )</t>
  </si>
  <si>
    <t>-67 ( -1.3% )</t>
  </si>
  <si>
    <t>-27035620 ( -59.9% )</t>
  </si>
  <si>
    <t>-2943 ( -56.2% )</t>
  </si>
  <si>
    <t>15292400 ( 84.4% )</t>
  </si>
  <si>
    <t>2154 ( 94.0% )</t>
  </si>
  <si>
    <t>-16622580 ( -49.7% )</t>
  </si>
  <si>
    <t>-2279 ( -51.3% )</t>
  </si>
  <si>
    <t>-1162270 ( -6.9% )</t>
  </si>
  <si>
    <t>-177 ( -8.2% )</t>
  </si>
  <si>
    <t>6170680 ( 39.5% )</t>
  </si>
  <si>
    <t>533 ( 26.8% )</t>
  </si>
  <si>
    <t>13411470 ( 61.5% )</t>
  </si>
  <si>
    <t>1400 ( 55.5% )</t>
  </si>
  <si>
    <t>1052560 ( 3.0% )</t>
  </si>
  <si>
    <t>146 ( 3.7% )</t>
  </si>
  <si>
    <t>-22200590 ( -61.2% )</t>
  </si>
  <si>
    <t>-2345 ( -57.6% )</t>
  </si>
  <si>
    <t>4068870 ( 28.9% )</t>
  </si>
  <si>
    <t>529 ( 30.7% )</t>
  </si>
  <si>
    <t>-1919740 ( -10.6% )</t>
  </si>
  <si>
    <t>-223 ( -9.9% )</t>
  </si>
  <si>
    <t>-4603580 ( -28.4% )</t>
  </si>
  <si>
    <t>-378 ( -18.6% )</t>
  </si>
  <si>
    <t>-710240 ( -6.1% )</t>
  </si>
  <si>
    <t>-404 ( -24.5% )</t>
  </si>
  <si>
    <t>8053570 ( 73.9% )</t>
  </si>
  <si>
    <t>927 ( 74.3% )</t>
  </si>
  <si>
    <t>-1385380 ( -7.3% )</t>
  </si>
  <si>
    <t>-92 ( -4.2% )</t>
  </si>
  <si>
    <t>-9547500 ( -54.4% )</t>
  </si>
  <si>
    <t>-1061 ( -50.9% )</t>
  </si>
  <si>
    <t>508640 ( 6.3% )</t>
  </si>
  <si>
    <t>113 ( 11.1% )</t>
  </si>
  <si>
    <t>-301740 ( -3.5% )</t>
  </si>
  <si>
    <t>95 ( 8.4% )</t>
  </si>
  <si>
    <t>-3624450 ( -44.1% )</t>
  </si>
  <si>
    <t>-601 ( -48.9% )</t>
  </si>
  <si>
    <t>9576917 ( 208.2% )</t>
  </si>
  <si>
    <t>1032 ( 164.1% )</t>
  </si>
  <si>
    <t>-1987741 ( -14.0% )</t>
  </si>
  <si>
    <t>-159 ( -9.6% )</t>
  </si>
  <si>
    <t>-2475536 ( -20.3% )</t>
  </si>
  <si>
    <t>-344 ( -22.9% )</t>
  </si>
  <si>
    <t>-5826590 ( -60.0% )</t>
  </si>
  <si>
    <t>-656 ( -56.6% )</t>
  </si>
  <si>
    <t>485300 ( 12.5% )</t>
  </si>
  <si>
    <t>87 ( 17.3% )</t>
  </si>
  <si>
    <t>-618100 ( -14.1% )</t>
  </si>
  <si>
    <t>-56 ( -9.5% )</t>
  </si>
  <si>
    <t>-976700 ( -26.0% )</t>
  </si>
  <si>
    <t>-156 ( -29.3% )</t>
  </si>
  <si>
    <t>289740 ( 10.4% )</t>
  </si>
  <si>
    <t>-21 ( -5.6% )</t>
  </si>
  <si>
    <t>3400160 ( 110.8% )</t>
  </si>
  <si>
    <t>453 ( 127.2% )</t>
  </si>
  <si>
    <t>2350700 ( 36.3% )</t>
  </si>
  <si>
    <t>282 ( 34.9% )</t>
  </si>
  <si>
    <t>-6593700 ( -74.8% )</t>
  </si>
  <si>
    <t>-787 ( -72.1% )</t>
  </si>
  <si>
    <t>695600 ( 31.3% )</t>
  </si>
  <si>
    <t>97 ( 31.9% )</t>
  </si>
  <si>
    <t>-3720 ( -0.1% )</t>
  </si>
  <si>
    <t>-5 ( -1.2% )</t>
  </si>
  <si>
    <t>-903630 ( -31.0% )</t>
  </si>
  <si>
    <t>-124 ( -31.3% )</t>
  </si>
  <si>
    <t>533680 ( 26.5% )</t>
  </si>
  <si>
    <t>45 ( 16.5% )</t>
  </si>
  <si>
    <t>1375870 ( 54.0% )</t>
  </si>
  <si>
    <t>129 ( 40.7% )</t>
  </si>
  <si>
    <t>-212550 ( -5.4% )</t>
  </si>
  <si>
    <t>26 ( 5.8% )</t>
  </si>
  <si>
    <t>-2097600 ( -56.5% )</t>
  </si>
  <si>
    <t>-252 ( -53.4% )</t>
  </si>
  <si>
    <t>-312350 ( -19.4% )</t>
  </si>
  <si>
    <t>-63 ( -28.6% )</t>
  </si>
  <si>
    <t>-358600 ( -27.6% )</t>
  </si>
  <si>
    <t>-21 ( -13.4% )</t>
  </si>
  <si>
    <t>660000 ( 70.1% )</t>
  </si>
  <si>
    <t>91 ( 66.9% )</t>
  </si>
  <si>
    <t>1260150 ( 78.7% )</t>
  </si>
  <si>
    <t>114 ( 50.2% )</t>
  </si>
  <si>
    <t>276100 ( 9.6% )</t>
  </si>
  <si>
    <t>24 ( 7.0% )</t>
  </si>
  <si>
    <t>-243150 ( -7.7% )</t>
  </si>
  <si>
    <t>-3 ( -0.8% )</t>
  </si>
  <si>
    <t>-1587050 ( -54.8% )</t>
  </si>
  <si>
    <t>-198 ( -54.7% )</t>
  </si>
  <si>
    <t>-39850 ( -3.0% )</t>
  </si>
  <si>
    <t>12 ( 7.3% )</t>
  </si>
  <si>
    <t>-665200 ( -52.5% )</t>
  </si>
  <si>
    <t>-58 ( -33.0% )</t>
  </si>
  <si>
    <t>-298000 ( -49.4% )</t>
  </si>
  <si>
    <t>-78 ( -66.1% )</t>
  </si>
  <si>
    <t>1440000 ( 472.1% )</t>
  </si>
  <si>
    <t>175 ( 437.5% )</t>
  </si>
  <si>
    <t>-163000 ( -9.3% )</t>
  </si>
  <si>
    <t>-9 ( -4.2% )</t>
  </si>
  <si>
    <t>-307000 ( -19.4% )</t>
  </si>
  <si>
    <t>-67 ( -32.5% )</t>
  </si>
  <si>
    <t>-1066000 ( -83.6% )</t>
  </si>
  <si>
    <t>-109 ( -78.4% )</t>
  </si>
  <si>
    <t>57400 ( 27.5% )</t>
  </si>
  <si>
    <t>5 ( 16.7% )</t>
  </si>
  <si>
    <t>232600 ( 87.3% )</t>
  </si>
  <si>
    <t>44 ( 125.7% )</t>
  </si>
  <si>
    <t>-257000 ( -51.5% )</t>
  </si>
  <si>
    <t>-45 ( -57.0% )</t>
  </si>
  <si>
    <t>-58000 ( -24.0% )</t>
  </si>
  <si>
    <t>-11 ( -32.4% )</t>
  </si>
  <si>
    <t>276000 ( 150.0% )</t>
  </si>
  <si>
    <t>29 ( 126.1% )</t>
  </si>
  <si>
    <t>-106000 ( -23.0% )</t>
  </si>
  <si>
    <t>-10 ( -19.2% )</t>
  </si>
  <si>
    <t>-134000 ( -37.9% )</t>
  </si>
  <si>
    <t>-14 ( -33.3% )</t>
  </si>
  <si>
    <t>-116000 ( -52.7% )</t>
  </si>
  <si>
    <t>-14 ( -50.0% )</t>
  </si>
  <si>
    <t>412000 ( 396.2% )</t>
  </si>
  <si>
    <t>60 ( 428.6% )</t>
  </si>
  <si>
    <t>-384000 ( -74.4% )</t>
  </si>
  <si>
    <t>-56 ( -75.7% )</t>
  </si>
  <si>
    <t>-46000 ( -34.8% )</t>
  </si>
  <si>
    <t>-5 ( -27.8% )</t>
  </si>
  <si>
    <t>168000 ( 195.3% )</t>
  </si>
  <si>
    <t>22 ( 169.2% )</t>
  </si>
  <si>
    <t>201000 ( 79.1% )</t>
  </si>
  <si>
    <t>18 ( 51.4% )</t>
  </si>
  <si>
    <t>-227000 ( -49.9% )</t>
  </si>
  <si>
    <t>-25 ( -47.2% )</t>
  </si>
  <si>
    <t>-113000 ( -49.6% )</t>
  </si>
  <si>
    <t>5000 ( 4.3% )</t>
  </si>
  <si>
    <t>2 ( 14.3% )</t>
  </si>
  <si>
    <t>2000 ( 1.7% )</t>
  </si>
  <si>
    <t>1 ( 6.3% )</t>
  </si>
  <si>
    <t>14000 ( 11.5% )</t>
  </si>
  <si>
    <t>67000 ( 49.3% )</t>
  </si>
  <si>
    <t>7 ( 43.8% )</t>
  </si>
  <si>
    <t>148000 ( 72.9% )</t>
  </si>
  <si>
    <t>18 ( 78.3% )</t>
  </si>
  <si>
    <t>-305000 ( -86.9% )</t>
  </si>
  <si>
    <t>-35 ( -85.4% )</t>
  </si>
  <si>
    <t>170000 ( 369.6% )</t>
  </si>
  <si>
    <t>22 ( 366.7% )</t>
  </si>
  <si>
    <t>-168000 ( -77.8% )</t>
  </si>
  <si>
    <t>-20 ( -71.4% )</t>
  </si>
  <si>
    <t>1930000 ( 4020.8% )</t>
  </si>
  <si>
    <t>318 ( 3975.0% )</t>
  </si>
  <si>
    <t>-1918000 ( -97.0% )</t>
  </si>
  <si>
    <t>-319 ( -97.9% )</t>
  </si>
  <si>
    <t>292000 ( 486.7% )</t>
  </si>
  <si>
    <t>35 ( 500.0% )</t>
  </si>
  <si>
    <t>-235000 ( -66.8% )</t>
  </si>
  <si>
    <t>-29 ( -69.0% )</t>
  </si>
  <si>
    <t>30000 ( 100.0% )</t>
  </si>
  <si>
    <t>78000 ( 260.0% )</t>
  </si>
  <si>
    <t>7 ( 140.0% )</t>
  </si>
  <si>
    <t>-54000 ( -50.0% )</t>
  </si>
  <si>
    <t>124000 ( 114.8% )</t>
  </si>
  <si>
    <t>14 ( 116.7% )</t>
  </si>
  <si>
    <t>161000 ( 69.4% )</t>
  </si>
  <si>
    <t>20 ( 76.9% )</t>
  </si>
  <si>
    <t>665000 ( 100.0% )</t>
  </si>
  <si>
    <t>133 ( 100.0% )</t>
  </si>
  <si>
    <t>621000 ( 100.0% )</t>
  </si>
  <si>
    <t>87 ( 100.0% )</t>
  </si>
  <si>
    <t>-423000 ( -68.1% )</t>
  </si>
  <si>
    <t>-54 ( -62.1% )</t>
  </si>
  <si>
    <t>-102000 ( -51.5% )</t>
  </si>
  <si>
    <t>-22 ( -66.7% )</t>
  </si>
  <si>
    <t>280000 ( 100.0% )</t>
  </si>
  <si>
    <t>-154000 ( -55.0% )</t>
  </si>
  <si>
    <t>-26 ( -65.0% )</t>
  </si>
  <si>
    <t>-108000 ( -85.7% )</t>
  </si>
  <si>
    <t>-12 ( -85.7% )</t>
  </si>
  <si>
    <t>48000 ( 266.7% )</t>
  </si>
  <si>
    <t>-30000 ( -45.5% )</t>
  </si>
  <si>
    <t>-12000 ( -33.3% )</t>
  </si>
  <si>
    <t>197000 ( 100.0% )</t>
  </si>
  <si>
    <t>22 ( 100.0% )</t>
  </si>
  <si>
    <t>159000 ( 100.0% )</t>
  </si>
  <si>
    <t>-141000 ( -88.7% )</t>
  </si>
  <si>
    <t>-16 ( -88.9% )</t>
  </si>
  <si>
    <t>819000 ( 4550.0% )</t>
  </si>
  <si>
    <t>91 ( 4550.0% )</t>
  </si>
  <si>
    <t>-831000 ( -99.3% )</t>
  </si>
  <si>
    <t>-92 ( -98.9% )</t>
  </si>
  <si>
    <t>12000 ( 200.0% )</t>
  </si>
  <si>
    <t>42000 ( 100.0% )</t>
  </si>
  <si>
    <t>78000 ( 100.0% )</t>
  </si>
  <si>
    <t>13 ( 100.0% )</t>
  </si>
  <si>
    <t>2070000 ( 100.0% )</t>
  </si>
  <si>
    <t>230 ( 100.0% )</t>
  </si>
  <si>
    <t>798000 ( 100.0% )</t>
  </si>
  <si>
    <t>120000 ( 15.0% )</t>
  </si>
  <si>
    <t>20 ( 15.0% )</t>
  </si>
  <si>
    <t>27000 ( 100.0% )</t>
  </si>
  <si>
    <t>3000 ( 100.0% )</t>
  </si>
  <si>
    <t>■ '레고 무비2' 일자별 통계정보</t>
  </si>
  <si>
    <t>184113420 ( 100.0% )</t>
  </si>
  <si>
    <t>23045 ( 100.0% )</t>
  </si>
  <si>
    <t>-144216860 ( -78.3% )</t>
  </si>
  <si>
    <t>-17406 ( -75.5% )</t>
  </si>
  <si>
    <t>2880030 ( 7.2% )</t>
  </si>
  <si>
    <t>-29 ( -0.5% )</t>
  </si>
  <si>
    <t>90134340 ( 210.7% )</t>
  </si>
  <si>
    <t>11384 ( 202.9% )</t>
  </si>
  <si>
    <t>1975530 ( 1.5% )</t>
  </si>
  <si>
    <t>219 ( 1.3% )</t>
  </si>
  <si>
    <t>-115767200 ( -85.8% )</t>
  </si>
  <si>
    <t>-14449 ( -83.9% )</t>
  </si>
  <si>
    <t>8693790 ( 45.5% )</t>
  </si>
  <si>
    <t>1352 ( 48.9% )</t>
  </si>
  <si>
    <t>-18128340 ( -65.2% )</t>
  </si>
  <si>
    <t>-2659 ( -64.6% )</t>
  </si>
  <si>
    <t>-3125710 ( -32.3% )</t>
  </si>
  <si>
    <t>-405 ( -27.8% )</t>
  </si>
  <si>
    <t>460300 ( 7.0% )</t>
  </si>
  <si>
    <t>-65 ( -6.2% )</t>
  </si>
  <si>
    <t>7506200 ( 106.9% )</t>
  </si>
  <si>
    <t>874 ( 88.6% )</t>
  </si>
  <si>
    <t>1548700 ( 10.7% )</t>
  </si>
  <si>
    <t>172 ( 9.2% )</t>
  </si>
  <si>
    <t>-12312400 ( -76.6% )</t>
  </si>
  <si>
    <t>-1490 ( -73.3% )</t>
  </si>
  <si>
    <t>237100 ( 6.3% )</t>
  </si>
  <si>
    <t>81 ( 14.9% )</t>
  </si>
  <si>
    <t>-3000900 ( -75.0% )</t>
  </si>
  <si>
    <t>-467 ( -74.8% )</t>
  </si>
  <si>
    <t>-429600 ( -43.0% )</t>
  </si>
  <si>
    <t>-70 ( -44.6% )</t>
  </si>
  <si>
    <t>679600 ( 119.6% )</t>
  </si>
  <si>
    <t>100 ( 114.9% )</t>
  </si>
  <si>
    <t>699800 ( 56.1% )</t>
  </si>
  <si>
    <t>39 ( 20.9% )</t>
  </si>
  <si>
    <t>387160 ( 19.9% )</t>
  </si>
  <si>
    <t>57 ( 25.2% )</t>
  </si>
  <si>
    <t>-1807960 ( -77.4% )</t>
  </si>
  <si>
    <t>-211 ( -74.6% )</t>
  </si>
  <si>
    <t>204000 ( 38.7% )</t>
  </si>
  <si>
    <t>34 ( 47.2% )</t>
  </si>
  <si>
    <t>-707000 ( -96.7% )</t>
  </si>
  <si>
    <t>-100 ( -94.3% )</t>
  </si>
  <si>
    <t>877000 ( 100.0% )</t>
  </si>
  <si>
    <t>-107400 ( -12.2% )</t>
  </si>
  <si>
    <t>-18 ( -17.1% )</t>
  </si>
  <si>
    <t>-100000 ( -13.0% )</t>
  </si>
  <si>
    <t>-13 ( -14.9% )</t>
  </si>
  <si>
    <t>-8000 ( -40.0% )</t>
  </si>
  <si>
    <t>4473000 ( 100.0% )</t>
  </si>
  <si>
    <t>497 ( 100.0% )</t>
  </si>
  <si>
    <t>24000 ( 171.4% )</t>
  </si>
  <si>
    <t>4 ( 200.0% )</t>
  </si>
  <si>
    <t>19000 ( 59.4% )</t>
  </si>
  <si>
    <t>3 ( 60.0% )</t>
  </si>
  <si>
    <t>■ '자전차왕 엄복동' 일자별 통계정보</t>
  </si>
  <si>
    <t>239788050 ( 1225.0% )</t>
  </si>
  <si>
    <t>40756 ( 1536.8% )</t>
  </si>
  <si>
    <t>-92409150 ( -35.6% )</t>
  </si>
  <si>
    <t>-21282 ( -49.0% )</t>
  </si>
  <si>
    <t>129034210 ( 77.3% )</t>
  </si>
  <si>
    <t>13225 ( 59.8% )</t>
  </si>
  <si>
    <t>-86025680 ( -29.1% )</t>
  </si>
  <si>
    <t>-10370 ( -29.3% )</t>
  </si>
  <si>
    <t>-36777470 ( -17.5% )</t>
  </si>
  <si>
    <t>-4233 ( -16.9% )</t>
  </si>
  <si>
    <t>-129173670 ( -74.6% )</t>
  </si>
  <si>
    <t>-14789 ( -71.3% )</t>
  </si>
  <si>
    <t>-2935240 ( -6.7% )</t>
  </si>
  <si>
    <t>-716 ( -12.0% )</t>
  </si>
  <si>
    <t>-34732670 ( -84.6% )</t>
  </si>
  <si>
    <t>-4429 ( -84.5% )</t>
  </si>
  <si>
    <t>-2001380 ( -31.6% )</t>
  </si>
  <si>
    <t>-213 ( -26.2% )</t>
  </si>
  <si>
    <t>71800 ( 1.7% )</t>
  </si>
  <si>
    <t>-70 ( -11.6% )</t>
  </si>
  <si>
    <t>1507100 ( 34.2% )</t>
  </si>
  <si>
    <t>201 ( 37.9% )</t>
  </si>
  <si>
    <t>-1268300 ( -21.4% )</t>
  </si>
  <si>
    <t>-58 ( -7.9% )</t>
  </si>
  <si>
    <t>-983400 ( -21.1% )</t>
  </si>
  <si>
    <t>-79 ( -11.7% )</t>
  </si>
  <si>
    <t>-2188700 ( -59.7% )</t>
  </si>
  <si>
    <t>-390 ( -65.5% )</t>
  </si>
  <si>
    <t>633000 ( 42.8% )</t>
  </si>
  <si>
    <t>77 ( 37.6% )</t>
  </si>
  <si>
    <t>-1441500 ( -68.2% )</t>
  </si>
  <si>
    <t>-163 ( -57.8% )</t>
  </si>
  <si>
    <t>-243000 ( -36.2% )</t>
  </si>
  <si>
    <t>-44 ( -37.0% )</t>
  </si>
  <si>
    <t>10000 ( 2.3% )</t>
  </si>
  <si>
    <t>-7 ( -9.3% )</t>
  </si>
  <si>
    <t>-33000 ( -7.5% )</t>
  </si>
  <si>
    <t>-11 ( -16.2% )</t>
  </si>
  <si>
    <t>-201000 ( -49.6% )</t>
  </si>
  <si>
    <t>-25 ( -43.9% )</t>
  </si>
  <si>
    <t>260000 ( 127.5% )</t>
  </si>
  <si>
    <t>43 ( 134.4% )</t>
  </si>
  <si>
    <t>-412000 ( -88.8% )</t>
  </si>
  <si>
    <t>-66 ( -88.0% )</t>
  </si>
  <si>
    <t>16139000 ( 31036.5% )</t>
  </si>
  <si>
    <t>1792 ( 19911.1% )</t>
  </si>
  <si>
    <t>-16179000 ( -99.9% )</t>
  </si>
  <si>
    <t>-1799 ( -99.9% )</t>
  </si>
  <si>
    <t>-6000 ( -50.0% )</t>
  </si>
  <si>
    <t>■ '캡틴 마블' 일자별 통계정보</t>
  </si>
  <si>
    <r>
      <t xml:space="preserve">- </t>
    </r>
    <r>
      <rPr>
        <b/>
        <sz val="9"/>
        <color rgb="FF000000"/>
        <rFont val="맑은 고딕"/>
        <family val="3"/>
        <charset val="129"/>
        <scheme val="minor"/>
      </rPr>
      <t>조회일</t>
    </r>
    <r>
      <rPr>
        <sz val="9"/>
        <color rgb="FF000000"/>
        <rFont val="맑은 고딕"/>
        <family val="3"/>
        <charset val="129"/>
        <scheme val="minor"/>
      </rPr>
      <t>: 2019-07-17</t>
    </r>
  </si>
  <si>
    <t>3948570530 ( 42185.6% )</t>
  </si>
  <si>
    <t>460510 ( 73799.7% )</t>
  </si>
  <si>
    <t>-1268625320 ( -32.1% )</t>
  </si>
  <si>
    <t>-148440 ( -32.2% )</t>
  </si>
  <si>
    <t>1187002931 ( 44.1% )</t>
  </si>
  <si>
    <t>100374 ( 32.1% )</t>
  </si>
  <si>
    <t>5204093608 ( 134.3% )</t>
  </si>
  <si>
    <t>588644 ( 142.5% )</t>
  </si>
  <si>
    <t>-1484824169 ( -16.4% )</t>
  </si>
  <si>
    <t>-154318 ( -15.4% )</t>
  </si>
  <si>
    <t>-6129029060 ( -80.7% )</t>
  </si>
  <si>
    <t>-676865 ( -79.9% )</t>
  </si>
  <si>
    <t>-283490500 ( -19.3% )</t>
  </si>
  <si>
    <t>-32552 ( -19.1% )</t>
  </si>
  <si>
    <t>-96977740 ( -8.2% )</t>
  </si>
  <si>
    <t>-11338 ( -8.2% )</t>
  </si>
  <si>
    <t>-85096260 ( -7.8% )</t>
  </si>
  <si>
    <t>-10310 ( -8.1% )</t>
  </si>
  <si>
    <t>628721186 ( 62.8% )</t>
  </si>
  <si>
    <t>57601 ( 49.5% )</t>
  </si>
  <si>
    <t>2669257957 ( 163.8% )</t>
  </si>
  <si>
    <t>298365 ( 171.5% )</t>
  </si>
  <si>
    <t>-1016769373 ( -23.7% )</t>
  </si>
  <si>
    <t>-106498 ( -22.5% )</t>
  </si>
  <si>
    <t>-2582936020 ( -78.7% )</t>
  </si>
  <si>
    <t>-282853 ( -77.3% )</t>
  </si>
  <si>
    <t>-89898440 ( -12.9% )</t>
  </si>
  <si>
    <t>-10720 ( -12.9% )</t>
  </si>
  <si>
    <t>-213687390 ( -35.1% )</t>
  </si>
  <si>
    <t>-26205 ( -36.3% )</t>
  </si>
  <si>
    <t>-7343780 ( -1.9% )</t>
  </si>
  <si>
    <t>-763 ( -1.7% )</t>
  </si>
  <si>
    <t>221598376 ( 57.1% )</t>
  </si>
  <si>
    <t>20117 ( 44.5% )</t>
  </si>
  <si>
    <t>1011734965 ( 165.9% )</t>
  </si>
  <si>
    <t>113114 ( 173.0% )</t>
  </si>
  <si>
    <t>-345896281 ( -21.3% )</t>
  </si>
  <si>
    <t>-36107 ( -20.2% )</t>
  </si>
  <si>
    <t>-998541290 ( -78.3% )</t>
  </si>
  <si>
    <t>-109481 ( -76.9% )</t>
  </si>
  <si>
    <t>-27770170 ( -10.0% )</t>
  </si>
  <si>
    <t>-3130 ( -9.5% )</t>
  </si>
  <si>
    <t>26000650 ( 10.4% )</t>
  </si>
  <si>
    <t>16735 ( 56.2% )</t>
  </si>
  <si>
    <t>-80938200 ( -29.4% )</t>
  </si>
  <si>
    <t>-22994 ( -49.4% )</t>
  </si>
  <si>
    <t>77137507 ( 39.7% )</t>
  </si>
  <si>
    <t>7238 ( 30.8% )</t>
  </si>
  <si>
    <t>404199393 ( 148.8% )</t>
  </si>
  <si>
    <t>46782 ( 152.1% )</t>
  </si>
  <si>
    <t>-101655670 ( -15.0% )</t>
  </si>
  <si>
    <t>-10343 ( -13.3% )</t>
  </si>
  <si>
    <t>-423350630 ( -73.7% )</t>
  </si>
  <si>
    <t>-48118 ( -71.6% )</t>
  </si>
  <si>
    <t>-28872320 ( -19.1% )</t>
  </si>
  <si>
    <t>-3872 ( -20.3% )</t>
  </si>
  <si>
    <t>-60295880 ( -49.4% )</t>
  </si>
  <si>
    <t>-7516 ( -49.5% )</t>
  </si>
  <si>
    <t>234530 ( 0.4% )</t>
  </si>
  <si>
    <t>-11 ( -0.1% )</t>
  </si>
  <si>
    <t>37817110 ( 61.1% )</t>
  </si>
  <si>
    <t>3368 ( 43.9% )</t>
  </si>
  <si>
    <t>138904750 ( 139.3% )</t>
  </si>
  <si>
    <t>15611 ( 141.4% )</t>
  </si>
  <si>
    <t>-45565560 ( -19.1% )</t>
  </si>
  <si>
    <t>-4962 ( -18.6% )</t>
  </si>
  <si>
    <t>-137285970 ( -71.1% )</t>
  </si>
  <si>
    <t>-14845 ( -68.5% )</t>
  </si>
  <si>
    <t>-2456360 ( -4.4% )</t>
  </si>
  <si>
    <t>-320 ( -4.7% )</t>
  </si>
  <si>
    <t>-17319530 ( -32.5% )</t>
  </si>
  <si>
    <t>-2144 ( -32.9% )</t>
  </si>
  <si>
    <t>-12449800 ( -34.6% )</t>
  </si>
  <si>
    <t>-1497 ( -34.2% )</t>
  </si>
  <si>
    <t>18875100 ( 80.1% )</t>
  </si>
  <si>
    <t>1912 ( 66.4% )</t>
  </si>
  <si>
    <t>45780290 ( 107.9% )</t>
  </si>
  <si>
    <t>5166 ( 107.8% )</t>
  </si>
  <si>
    <t>8658490 ( 9.8% )</t>
  </si>
  <si>
    <t>1062 ( 10.7% )</t>
  </si>
  <si>
    <t>-69979820 ( -72.2% )</t>
  </si>
  <si>
    <t>-7712 ( -70.0% )</t>
  </si>
  <si>
    <t>7027400 ( 26.1% )</t>
  </si>
  <si>
    <t>893 ( 27.0% )</t>
  </si>
  <si>
    <t>-2772850 ( -8.2% )</t>
  </si>
  <si>
    <t>-322 ( -7.7% )</t>
  </si>
  <si>
    <t>-2810 ( 0.0% )</t>
  </si>
  <si>
    <t>-58 ( -1.5% )</t>
  </si>
  <si>
    <t>30212860 ( 97.0% )</t>
  </si>
  <si>
    <t>3102 ( 81.2% )</t>
  </si>
  <si>
    <t>106201090 ( 173.1% )</t>
  </si>
  <si>
    <t>11683 ( 168.7% )</t>
  </si>
  <si>
    <t>-3387200 ( -2.0% )</t>
  </si>
  <si>
    <t>-254 ( -1.4% )</t>
  </si>
  <si>
    <t>-105614490 ( -64.3% )</t>
  </si>
  <si>
    <t>-11277 ( -61.4% )</t>
  </si>
  <si>
    <t>12115740 ( 20.7% )</t>
  </si>
  <si>
    <t>1544 ( 21.8% )</t>
  </si>
  <si>
    <t>-60593790 ( -85.7% )</t>
  </si>
  <si>
    <t>-7123 ( -82.6% )</t>
  </si>
  <si>
    <t>4489530 ( 44.5% )</t>
  </si>
  <si>
    <t>293 ( 19.6% )</t>
  </si>
  <si>
    <t>7856440 ( 53.9% )</t>
  </si>
  <si>
    <t>740 ( 41.3% )</t>
  </si>
  <si>
    <t>5391080 ( 24.0% )</t>
  </si>
  <si>
    <t>791 ( 31.3% )</t>
  </si>
  <si>
    <t>-3315350 ( -11.9% )</t>
  </si>
  <si>
    <t>-373 ( -11.2% )</t>
  </si>
  <si>
    <t>-13464670 ( -55.0% )</t>
  </si>
  <si>
    <t>-1529 ( -51.9% )</t>
  </si>
  <si>
    <t>7507500 ( 68.0% )</t>
  </si>
  <si>
    <t>977 ( 68.9% )</t>
  </si>
  <si>
    <t>914560 ( 4.9% )</t>
  </si>
  <si>
    <t>141 ( 5.9% )</t>
  </si>
  <si>
    <t>-8229510 ( -42.3% )</t>
  </si>
  <si>
    <t>-1128 ( -44.5% )</t>
  </si>
  <si>
    <t>2382050 ( 21.2% )</t>
  </si>
  <si>
    <t>135 ( 9.6% )</t>
  </si>
  <si>
    <t>4072030 ( 29.9% )</t>
  </si>
  <si>
    <t>431 ( 27.9% )</t>
  </si>
  <si>
    <t>-4160500 ( -23.5% )</t>
  </si>
  <si>
    <t>-416 ( -21.1% )</t>
  </si>
  <si>
    <t>-2533330 ( -18.7% )</t>
  </si>
  <si>
    <t>-294 ( -18.9% )</t>
  </si>
  <si>
    <t>-5344700 ( -48.6% )</t>
  </si>
  <si>
    <t>-575 ( -45.5% )</t>
  </si>
  <si>
    <t>-1992180 ( -35.3% )</t>
  </si>
  <si>
    <t>-242 ( -35.1% )</t>
  </si>
  <si>
    <t>-1639800 ( -44.9% )</t>
  </si>
  <si>
    <t>-202 ( -45.1% )</t>
  </si>
  <si>
    <t>925920 ( 46.0% )</t>
  </si>
  <si>
    <t>84 ( 34.1% )</t>
  </si>
  <si>
    <t>2015200 ( 68.6% )</t>
  </si>
  <si>
    <t>226 ( 68.5% )</t>
  </si>
  <si>
    <t>-1467300 ( -29.6% )</t>
  </si>
  <si>
    <t>-160 ( -28.8% )</t>
  </si>
  <si>
    <t>-1491680 ( -42.8% )</t>
  </si>
  <si>
    <t>-155 ( -39.1% )</t>
  </si>
  <si>
    <t>-158280 ( -7.9% )</t>
  </si>
  <si>
    <t>-15 ( -6.2% )</t>
  </si>
  <si>
    <t>-1361300 ( -74.2% )</t>
  </si>
  <si>
    <t>-169 ( -74.8% )</t>
  </si>
  <si>
    <t>167500 ( 35.4% )</t>
  </si>
  <si>
    <t>23 ( 40.4% )</t>
  </si>
  <si>
    <t>568000 ( 88.6% )</t>
  </si>
  <si>
    <t>55 ( 68.8% )</t>
  </si>
  <si>
    <t>34000 ( 2.8% )</t>
  </si>
  <si>
    <t>12 ( 8.9% )</t>
  </si>
  <si>
    <t>-767500 ( -61.7% )</t>
  </si>
  <si>
    <t>-91 ( -61.9% )</t>
  </si>
  <si>
    <t>67000 ( 14.1% )</t>
  </si>
  <si>
    <t>13 ( 23.2% )</t>
  </si>
  <si>
    <t>8630 ( 1.6% )</t>
  </si>
  <si>
    <t>2 ( 2.9% )</t>
  </si>
  <si>
    <t>■ '덤보' 일자별 통계정보</t>
  </si>
  <si>
    <t>141780030 ( 8204.9% )</t>
  </si>
  <si>
    <t>24643 ( 12834.9% )</t>
  </si>
  <si>
    <t>-46926900 ( -32.7% )</t>
  </si>
  <si>
    <t>-12845 ( -51.7% )</t>
  </si>
  <si>
    <t>49656163 ( 51.4% )</t>
  </si>
  <si>
    <t>4547 ( 37.9% )</t>
  </si>
  <si>
    <t>514616266 ( 351.9% )</t>
  </si>
  <si>
    <t>62158 ( 375.9% )</t>
  </si>
  <si>
    <t>7206681 ( 1.1% )</t>
  </si>
  <si>
    <t>1892 ( 2.4% )</t>
  </si>
  <si>
    <t>-576289690 ( -86.3% )</t>
  </si>
  <si>
    <t>-68889 ( -85.5% )</t>
  </si>
  <si>
    <t>-19020810 ( -20.7% )</t>
  </si>
  <si>
    <t>-2738 ( -23.4% )</t>
  </si>
  <si>
    <t>-50053660 ( -68.8% )</t>
  </si>
  <si>
    <t>-6097 ( -68.0% )</t>
  </si>
  <si>
    <t>-148360 ( -0.7% )</t>
  </si>
  <si>
    <t>173 ( 6.0% )</t>
  </si>
  <si>
    <t>5273610 ( 23.4% )</t>
  </si>
  <si>
    <t>344 ( 11.3% )</t>
  </si>
  <si>
    <t>191207200 ( 687.3% )</t>
  </si>
  <si>
    <t>23663 ( 700.1% )</t>
  </si>
  <si>
    <t>-5375510 ( -2.5% )</t>
  </si>
  <si>
    <t>-606 ( -2.2% )</t>
  </si>
  <si>
    <t>-199404540 ( -93.3% )</t>
  </si>
  <si>
    <t>-24595 ( -93.0% )</t>
  </si>
  <si>
    <t>735920 ( 5.2% )</t>
  </si>
  <si>
    <t>158 ( 8.6% )</t>
  </si>
  <si>
    <t>-4295420 ( -28.7% )</t>
  </si>
  <si>
    <t>-615 ( -30.8% )</t>
  </si>
  <si>
    <t>-3738680 ( -35.0% )</t>
  </si>
  <si>
    <t>-447 ( -32.3% )</t>
  </si>
  <si>
    <t>4152250 ( 59.7% )</t>
  </si>
  <si>
    <t>451 ( 48.1% )</t>
  </si>
  <si>
    <t>72911880 ( 656.7% )</t>
  </si>
  <si>
    <t>9090 ( 654.4% )</t>
  </si>
  <si>
    <t>41414770 ( 49.3% )</t>
  </si>
  <si>
    <t>4926 ( 47.0% )</t>
  </si>
  <si>
    <t>-120650500 ( -96.2% )</t>
  </si>
  <si>
    <t>-14766 ( -95.9% )</t>
  </si>
  <si>
    <t>417330 ( 8.7% )</t>
  </si>
  <si>
    <t>110 ( 17.2% )</t>
  </si>
  <si>
    <t>-1902980 ( -36.6% )</t>
  </si>
  <si>
    <t>-253 ( -33.8% )</t>
  </si>
  <si>
    <t>-91450 ( -2.8% )</t>
  </si>
  <si>
    <t>-17 ( -3.4% )</t>
  </si>
  <si>
    <t>-61500 ( -1.9% )</t>
  </si>
  <si>
    <t>-93 ( -19.4% )</t>
  </si>
  <si>
    <t>39030520 ( 1243.0% )</t>
  </si>
  <si>
    <t>4876 ( 1263.2% )</t>
  </si>
  <si>
    <t>1168530 ( 2.8% )</t>
  </si>
  <si>
    <t>144 ( 2.7% )</t>
  </si>
  <si>
    <t>-41234450 ( -95.1% )</t>
  </si>
  <si>
    <t>-5125 ( -94.8% )</t>
  </si>
  <si>
    <t>1579000 ( 75.0% )</t>
  </si>
  <si>
    <t>250 ( 89.0% )</t>
  </si>
  <si>
    <t>-3226700 ( -87.6% )</t>
  </si>
  <si>
    <t>-452 ( -85.1% )</t>
  </si>
  <si>
    <t>-209700 ( -45.9% )</t>
  </si>
  <si>
    <t>-37 ( -46.8% )</t>
  </si>
  <si>
    <t>1528700 ( 618.2% )</t>
  </si>
  <si>
    <t>203 ( 483.3% )</t>
  </si>
  <si>
    <t>-1456000 ( -82.0% )</t>
  </si>
  <si>
    <t>-203 ( -82.9% )</t>
  </si>
  <si>
    <t>-175000 ( -54.7% )</t>
  </si>
  <si>
    <t>-131000 ( -90.3% )</t>
  </si>
  <si>
    <t>-20 ( -90.9% )</t>
  </si>
  <si>
    <t>2048000 ( 14628.6% )</t>
  </si>
  <si>
    <t>371 ( 18550.0% )</t>
  </si>
  <si>
    <t>2642000 ( 568.2% )</t>
  </si>
  <si>
    <t>453 ( 487.1% )</t>
  </si>
  <si>
    <t>942000 ( 100.0% )</t>
  </si>
  <si>
    <t>157 ( 100.0% )</t>
  </si>
  <si>
    <t>■ '악질경찰' 일자별 통계정보</t>
  </si>
  <si>
    <t>270162120 ( 100.0% )</t>
  </si>
  <si>
    <t>33072 ( 100.0% )</t>
  </si>
  <si>
    <t>-32988870 ( -12.2% )</t>
  </si>
  <si>
    <t>-3797 ( -11.5% )</t>
  </si>
  <si>
    <t>10256303 ( 4.3% )</t>
  </si>
  <si>
    <t>-1797 ( -6.1% )</t>
  </si>
  <si>
    <t>212343622 ( 85.8% )</t>
  </si>
  <si>
    <t>22629 ( 82.4% )</t>
  </si>
  <si>
    <t>-31831585 ( -6.9% )</t>
  </si>
  <si>
    <t>-3518 ( -7.0% )</t>
  </si>
  <si>
    <t>-274750680 ( -64.2% )</t>
  </si>
  <si>
    <t>-27897 ( -59.9% )</t>
  </si>
  <si>
    <t>-17817690 ( -11.6% )</t>
  </si>
  <si>
    <t>-2127 ( -11.4% )</t>
  </si>
  <si>
    <t>-83700000 ( -61.8% )</t>
  </si>
  <si>
    <t>-8389 ( -50.6% )</t>
  </si>
  <si>
    <t>-18950230 ( -36.7% )</t>
  </si>
  <si>
    <t>-4056 ( -49.6% )</t>
  </si>
  <si>
    <t>2498060 ( 7.6% )</t>
  </si>
  <si>
    <t>-57 ( -1.4% )</t>
  </si>
  <si>
    <t>25382560 ( 72.1% )</t>
  </si>
  <si>
    <t>2789 ( 68.6% )</t>
  </si>
  <si>
    <t>-4367500 ( -7.2% )</t>
  </si>
  <si>
    <t>-473 ( -6.9% )</t>
  </si>
  <si>
    <t>-32240330 ( -57.3% )</t>
  </si>
  <si>
    <t>-3288 ( -51.5% )</t>
  </si>
  <si>
    <t>-4086880 ( -17.0% )</t>
  </si>
  <si>
    <t>-495 ( -16.0% )</t>
  </si>
  <si>
    <t>-18148600 ( -91.2% )</t>
  </si>
  <si>
    <t>-2347 ( -90.4% )</t>
  </si>
  <si>
    <t>-441300 ( -25.1% )</t>
  </si>
  <si>
    <t>-76 ( -30.5% )</t>
  </si>
  <si>
    <t>-200200 ( -15.2% )</t>
  </si>
  <si>
    <t>-47 ( -27.2% )</t>
  </si>
  <si>
    <t>253500 ( 22.7% )</t>
  </si>
  <si>
    <t>32 ( 25.4% )</t>
  </si>
  <si>
    <t>-166300 ( -12.1% )</t>
  </si>
  <si>
    <t>-11 ( -7.0% )</t>
  </si>
  <si>
    <t>-344900 ( -28.6% )</t>
  </si>
  <si>
    <t>-31 ( -21.1% )</t>
  </si>
  <si>
    <t>-252600 ( -29.3% )</t>
  </si>
  <si>
    <t>-31 ( -26.7% )</t>
  </si>
  <si>
    <t>-161500 ( -26.5% )</t>
  </si>
  <si>
    <t>-29 ( -34.1% )</t>
  </si>
  <si>
    <t>8190000 ( 100.0% )</t>
  </si>
  <si>
    <t>910 ( 100.0% )</t>
  </si>
  <si>
    <t>-7825200 ( -95.5% )</t>
  </si>
  <si>
    <t>-861 ( -94.6% )</t>
  </si>
  <si>
    <t>217000 ( 100.0% )</t>
  </si>
  <si>
    <t>28 ( 100.0% )</t>
  </si>
  <si>
    <t>■ '이스케이프 룸' 일자별 통계정보</t>
  </si>
  <si>
    <t>128250730 ( 400.6% )</t>
  </si>
  <si>
    <t>15199 ( 424.6% )</t>
  </si>
  <si>
    <t>284716050 ( 177.6% )</t>
  </si>
  <si>
    <t>34038 ( 181.3% )</t>
  </si>
  <si>
    <t>140357514 ( 31.5% )</t>
  </si>
  <si>
    <t>10727 ( 20.3% )</t>
  </si>
  <si>
    <t>625439713 ( 106.9% )</t>
  </si>
  <si>
    <t>69590 ( 109.5% )</t>
  </si>
  <si>
    <t>-147481387 ( -12.2% )</t>
  </si>
  <si>
    <t>-16247 ( -12.2% )</t>
  </si>
  <si>
    <t>-752527900 ( -70.8% )</t>
  </si>
  <si>
    <t>-79996 ( -68.4% )</t>
  </si>
  <si>
    <t>-39577220 ( -12.7% )</t>
  </si>
  <si>
    <t>-4599 ( -12.5% )</t>
  </si>
  <si>
    <t>-170188650 ( -62.8% )</t>
  </si>
  <si>
    <t>-20267 ( -62.8% )</t>
  </si>
  <si>
    <t>-18639870 ( -18.5% )</t>
  </si>
  <si>
    <t>-2241 ( -18.6% )</t>
  </si>
  <si>
    <t>33664924 ( 40.9% )</t>
  </si>
  <si>
    <t>2780 ( 28.4% )</t>
  </si>
  <si>
    <t>137295765 ( 118.3% )</t>
  </si>
  <si>
    <t>15278 ( 121.6% )</t>
  </si>
  <si>
    <t>-38963739 ( -15.4% )</t>
  </si>
  <si>
    <t>-4348 ( -15.6% )</t>
  </si>
  <si>
    <t>-153849460 ( -71.8% )</t>
  </si>
  <si>
    <t>-16341 ( -69.6% )</t>
  </si>
  <si>
    <t>-7789930 ( -12.9% )</t>
  </si>
  <si>
    <t>-892 ( -12.5% )</t>
  </si>
  <si>
    <t>-45960190 ( -87.2% )</t>
  </si>
  <si>
    <t>-5218 ( -83.3% )</t>
  </si>
  <si>
    <t>-3302620 ( -48.8% )</t>
  </si>
  <si>
    <t>-617 ( -59.2% )</t>
  </si>
  <si>
    <t>2165220 ( 62.5% )</t>
  </si>
  <si>
    <t>192 ( 45.1% )</t>
  </si>
  <si>
    <t>3614710 ( 64.2% )</t>
  </si>
  <si>
    <t>422 ( 68.3% )</t>
  </si>
  <si>
    <t>-2140060 ( -23.2% )</t>
  </si>
  <si>
    <t>-231 ( -22.2% )</t>
  </si>
  <si>
    <t>-4177000 ( -58.8% )</t>
  </si>
  <si>
    <t>-429 ( -53.0% )</t>
  </si>
  <si>
    <t>-115820 ( -4.0% )</t>
  </si>
  <si>
    <t>-26 ( -6.8% )</t>
  </si>
  <si>
    <t>-2632780 ( -93.7% )</t>
  </si>
  <si>
    <t>-331 ( -93.5% )</t>
  </si>
  <si>
    <t>-88000 ( -50.0% )</t>
  </si>
  <si>
    <t>-14 ( -60.9% )</t>
  </si>
  <si>
    <t>50000 ( 56.8% )</t>
  </si>
  <si>
    <t>38000 ( 27.5% )</t>
  </si>
  <si>
    <t>6 ( 50.0% )</t>
  </si>
  <si>
    <t>-89000 ( -50.6% )</t>
  </si>
  <si>
    <t>-33000 ( -37.9% )</t>
  </si>
  <si>
    <t>-47000 ( -87.0% )</t>
  </si>
  <si>
    <t>-6 ( -85.7% )</t>
  </si>
  <si>
    <t>78000 ( 1114.3% )</t>
  </si>
  <si>
    <t>8 ( 800.0% )</t>
  </si>
  <si>
    <t>215000 ( 252.9% )</t>
  </si>
  <si>
    <t>51 ( 566.7% )</t>
  </si>
  <si>
    <t>■ '어스' 일자별 통계정보</t>
  </si>
  <si>
    <t>1319500490 ( 100.0% )</t>
  </si>
  <si>
    <t>213624 ( 100.0% )</t>
  </si>
  <si>
    <t>-515043520 ( -39.0% )</t>
  </si>
  <si>
    <t>-119851 ( -56.1% )</t>
  </si>
  <si>
    <t>447552894 ( 55.6% )</t>
  </si>
  <si>
    <t>40803 ( 43.5% )</t>
  </si>
  <si>
    <t>1276499867 ( 102.0% )</t>
  </si>
  <si>
    <t>140873 ( 104.7% )</t>
  </si>
  <si>
    <t>-536916881 ( -21.2% )</t>
  </si>
  <si>
    <t>-56830 ( -20.6% )</t>
  </si>
  <si>
    <t>-1392242130 ( -69.9% )</t>
  </si>
  <si>
    <t>-145371 ( -66.5% )</t>
  </si>
  <si>
    <t>-145935220 ( -24.3% )</t>
  </si>
  <si>
    <t>-18855 ( -25.7% )</t>
  </si>
  <si>
    <t>-140103250 ( -30.9% )</t>
  </si>
  <si>
    <t>-16642 ( -30.6% )</t>
  </si>
  <si>
    <t>-44293090 ( -14.1% )</t>
  </si>
  <si>
    <t>-5658 ( -15.0% )</t>
  </si>
  <si>
    <t>165036968 ( 61.3% )</t>
  </si>
  <si>
    <t>15499 ( 48.3% )</t>
  </si>
  <si>
    <t>432178643 ( 99.6% )</t>
  </si>
  <si>
    <t>47805 ( 100.4% )</t>
  </si>
  <si>
    <t>-250046121 ( -28.9% )</t>
  </si>
  <si>
    <t>-27736 ( -29.1% )</t>
  </si>
  <si>
    <t>-455396770 ( -73.9% )</t>
  </si>
  <si>
    <t>-48541 ( -71.7% )</t>
  </si>
  <si>
    <t>-22519060 ( -14.0% )</t>
  </si>
  <si>
    <t>-2919 ( -15.3% )</t>
  </si>
  <si>
    <t>-22464470 ( -16.2% )</t>
  </si>
  <si>
    <t>-2433 ( -15.0% )</t>
  </si>
  <si>
    <t>-44079100 ( -38.1% )</t>
  </si>
  <si>
    <t>-5297 ( -38.5% )</t>
  </si>
  <si>
    <t>37843970 ( 52.8% )</t>
  </si>
  <si>
    <t>3681 ( 43.5% )</t>
  </si>
  <si>
    <t>73413320 ( 67.0% )</t>
  </si>
  <si>
    <t>7916 ( 65.1% )</t>
  </si>
  <si>
    <t>-31109600 ( -17.0% )</t>
  </si>
  <si>
    <t>-3508 ( -17.5% )</t>
  </si>
  <si>
    <t>-112819050 ( -74.3% )</t>
  </si>
  <si>
    <t>-11922 ( -72.0% )</t>
  </si>
  <si>
    <t>-4144340 ( -10.6% )</t>
  </si>
  <si>
    <t>-497 ( -10.7% )</t>
  </si>
  <si>
    <t>-18977190 ( -54.4% )</t>
  </si>
  <si>
    <t>-2257 ( -54.5% )</t>
  </si>
  <si>
    <t>-4122230 ( -25.9% )</t>
  </si>
  <si>
    <t>-457 ( -24.3% )</t>
  </si>
  <si>
    <t>8987120 ( 76.1% )</t>
  </si>
  <si>
    <t>921 ( 64.5% )</t>
  </si>
  <si>
    <t>13429690 ( 64.6% )</t>
  </si>
  <si>
    <t>1392 ( 59.3% )</t>
  </si>
  <si>
    <t>-8615980 ( -25.2% )</t>
  </si>
  <si>
    <t>-948 ( -25.3% )</t>
  </si>
  <si>
    <t>-18467530 ( -72.1% )</t>
  </si>
  <si>
    <t>-1917 ( -68.7% )</t>
  </si>
  <si>
    <t>-304920 ( -4.3% )</t>
  </si>
  <si>
    <t>-72 ( -8.2% )</t>
  </si>
  <si>
    <t>-5752510 ( -84.1% )</t>
  </si>
  <si>
    <t>-588 ( -73.2% )</t>
  </si>
  <si>
    <t>-718000 ( -65.9% )</t>
  </si>
  <si>
    <t>-147 ( -68.4% )</t>
  </si>
  <si>
    <t>114000 ( 30.6% )</t>
  </si>
  <si>
    <t>14 ( 20.6% )</t>
  </si>
  <si>
    <t>6000 ( 1.2% )</t>
  </si>
  <si>
    <t>10 ( 12.2% )</t>
  </si>
  <si>
    <t>251000 ( 51.0% )</t>
  </si>
  <si>
    <t>15 ( 16.3% )</t>
  </si>
  <si>
    <t>-260000 ( -35.0% )</t>
  </si>
  <si>
    <t>-25 ( -23.4% )</t>
  </si>
  <si>
    <t>11000 ( 2.3% )</t>
  </si>
  <si>
    <t>5 ( 6.1% )</t>
  </si>
  <si>
    <t>-194000 ( -39.3% )</t>
  </si>
  <si>
    <t>-27 ( -31.0% )</t>
  </si>
  <si>
    <t>192000 ( 64.0% )</t>
  </si>
  <si>
    <t>24 ( 40.0% )</t>
  </si>
  <si>
    <t>-192000 ( -39.0% )</t>
  </si>
  <si>
    <t>-24 ( -28.6% )</t>
  </si>
  <si>
    <t>■ '돈' 일자별 통계정보</t>
  </si>
  <si>
    <t>1314273080 ( 2395.4% )</t>
  </si>
  <si>
    <t>159643 ( 2579.0% )</t>
  </si>
  <si>
    <t>38674610 ( 2.8% )</t>
  </si>
  <si>
    <t>4992 ( 3.0% )</t>
  </si>
  <si>
    <t>533203093 ( 37.9% )</t>
  </si>
  <si>
    <t>43685 ( 25.6% )</t>
  </si>
  <si>
    <t>2406807903 ( 124.0% )</t>
  </si>
  <si>
    <t>266199 ( 124.1% )</t>
  </si>
  <si>
    <t>-594351126 ( -13.7% )</t>
  </si>
  <si>
    <t>-64536 ( -13.4% )</t>
  </si>
  <si>
    <t>-2711021480 ( -72.2% )</t>
  </si>
  <si>
    <t>-289174 ( -69.5% )</t>
  </si>
  <si>
    <t>-151620400 ( -14.5% )</t>
  </si>
  <si>
    <t>-16937 ( -13.3% )</t>
  </si>
  <si>
    <t>314200910 ( 35.3% )</t>
  </si>
  <si>
    <t>94558 ( 85.9% )</t>
  </si>
  <si>
    <t>-482090780 ( -40.0% )</t>
  </si>
  <si>
    <t>-114963 ( -56.2% )</t>
  </si>
  <si>
    <t>316894613 ( 43.8% )</t>
  </si>
  <si>
    <t>27919 ( 31.1% )</t>
  </si>
  <si>
    <t>1255871547 ( 120.8% )</t>
  </si>
  <si>
    <t>138459 ( 117.8% )</t>
  </si>
  <si>
    <t>-277099510 ( -12.1% )</t>
  </si>
  <si>
    <t>-27744 ( -10.8% )</t>
  </si>
  <si>
    <t>-1403378550 ( -69.5% )</t>
  </si>
  <si>
    <t>-149409 ( -65.4% )</t>
  </si>
  <si>
    <t>-125426880 ( -20.4% )</t>
  </si>
  <si>
    <t>-17261 ( -21.9% )</t>
  </si>
  <si>
    <t>-160576310 ( -32.8% )</t>
  </si>
  <si>
    <t>-20356 ( -33.0% )</t>
  </si>
  <si>
    <t>-38114770 ( -11.6% )</t>
  </si>
  <si>
    <t>-5363 ( -13.0% )</t>
  </si>
  <si>
    <t>132722884 ( 45.6% )</t>
  </si>
  <si>
    <t>11756 ( 32.7% )</t>
  </si>
  <si>
    <t>473982022 ( 111.8% )</t>
  </si>
  <si>
    <t>52005 ( 109.1% )</t>
  </si>
  <si>
    <t>-154479566 ( -17.2% )</t>
  </si>
  <si>
    <t>-16941 ( -17.0% )</t>
  </si>
  <si>
    <t>-522194700 ( -70.3% )</t>
  </si>
  <si>
    <t>-55551 ( -67.2% )</t>
  </si>
  <si>
    <t>-18600390 ( -8.4% )</t>
  </si>
  <si>
    <t>-2269 ( -8.4% )</t>
  </si>
  <si>
    <t>-2105960 ( -1.0% )</t>
  </si>
  <si>
    <t>-39 ( -0.2% )</t>
  </si>
  <si>
    <t>-78844290 ( -39.3% )</t>
  </si>
  <si>
    <t>-9834 ( -39.6% )</t>
  </si>
  <si>
    <t>51852220 ( 42.6% )</t>
  </si>
  <si>
    <t>4960 ( 33.0% )</t>
  </si>
  <si>
    <t>142072210 ( 81.9% )</t>
  </si>
  <si>
    <t>15509 ( 77.6% )</t>
  </si>
  <si>
    <t>22481320 ( 7.1% )</t>
  </si>
  <si>
    <t>2481 ( 7.0% )</t>
  </si>
  <si>
    <t>-241917500 ( -71.6% )</t>
  </si>
  <si>
    <t>-25904 ( -68.2% )</t>
  </si>
  <si>
    <t>-15043150 ( -15.7% )</t>
  </si>
  <si>
    <t>-1629 ( -13.5% )</t>
  </si>
  <si>
    <t>-15210510 ( -18.8% )</t>
  </si>
  <si>
    <t>-2269 ( -21.7% )</t>
  </si>
  <si>
    <t>-13768150 ( -20.9% )</t>
  </si>
  <si>
    <t>-1510 ( -18.5% )</t>
  </si>
  <si>
    <t>20427970 ( 39.2% )</t>
  </si>
  <si>
    <t>1946 ( 29.2% )</t>
  </si>
  <si>
    <t>67015350 ( 92.5% )</t>
  </si>
  <si>
    <t>7229 ( 83.9% )</t>
  </si>
  <si>
    <t>-20231950 ( -14.5% )</t>
  </si>
  <si>
    <t>-2365 ( -14.9% )</t>
  </si>
  <si>
    <t>-80447300 ( -67.5% )</t>
  </si>
  <si>
    <t>-8618 ( -63.9% )</t>
  </si>
  <si>
    <t>-2786250 ( -7.2% )</t>
  </si>
  <si>
    <t>-256 ( -5.3% )</t>
  </si>
  <si>
    <t>-33478560 ( -92.9% )</t>
  </si>
  <si>
    <t>-4200 ( -91.2% )</t>
  </si>
  <si>
    <t>-1084750 ( -42.4% )</t>
  </si>
  <si>
    <t>-210 ( -52.1% )</t>
  </si>
  <si>
    <t>792550 ( 53.8% )</t>
  </si>
  <si>
    <t>113 ( 58.5% )</t>
  </si>
  <si>
    <t>-867100 ( -38.3% )</t>
  </si>
  <si>
    <t>-140 ( -45.8% )</t>
  </si>
  <si>
    <t>-114000 ( -8.2% )</t>
  </si>
  <si>
    <t>-18 ( -10.8% )</t>
  </si>
  <si>
    <t>-695650 ( -54.2% )</t>
  </si>
  <si>
    <t>-75 ( -50.7% )</t>
  </si>
  <si>
    <t>929800 ( 158.0% )</t>
  </si>
  <si>
    <t>112 ( 153.4% )</t>
  </si>
  <si>
    <t>-1364100 ( -89.9% )</t>
  </si>
  <si>
    <t>-167 ( -90.3% )</t>
  </si>
  <si>
    <t>20600 ( 100.0% )</t>
  </si>
  <si>
    <t>■ '우상' 일자별 통계정보</t>
  </si>
  <si>
    <t>190528450 ( 589.0% )</t>
  </si>
  <si>
    <t>23743 ( 691.8% )</t>
  </si>
  <si>
    <t>-57273050 ( -25.7% )</t>
  </si>
  <si>
    <t>-6626 ( -24.4% )</t>
  </si>
  <si>
    <t>10616137 ( 6.4% )</t>
  </si>
  <si>
    <t>-723 ( -3.5% )</t>
  </si>
  <si>
    <t>118684088 ( 67.4% )</t>
  </si>
  <si>
    <t>12872 ( 64.9% )</t>
  </si>
  <si>
    <t>-40542935 ( -13.7% )</t>
  </si>
  <si>
    <t>-4572 ( -14.0% )</t>
  </si>
  <si>
    <t>-172518210 ( -67.8% )</t>
  </si>
  <si>
    <t>-18208 ( -64.7% )</t>
  </si>
  <si>
    <t>918020 ( 1.1% )</t>
  </si>
  <si>
    <t>113 ( 1.1% )</t>
  </si>
  <si>
    <t>-54485690 ( -65.8% )</t>
  </si>
  <si>
    <t>-5566 ( -55.5% )</t>
  </si>
  <si>
    <t>-8003330 ( -28.3% )</t>
  </si>
  <si>
    <t>-1983 ( -44.4% )</t>
  </si>
  <si>
    <t>3941646 ( 19.4% )</t>
  </si>
  <si>
    <t>344 ( 13.9% )</t>
  </si>
  <si>
    <t>11337524 ( 46.8% )</t>
  </si>
  <si>
    <t>1195 ( 42.3% )</t>
  </si>
  <si>
    <t>-1149550 ( -3.2% )</t>
  </si>
  <si>
    <t>-163 ( -4.1% )</t>
  </si>
  <si>
    <t>-21878850 ( -63.6% )</t>
  </si>
  <si>
    <t>-2337 ( -60.6% )</t>
  </si>
  <si>
    <t>507780 ( 4.1% )</t>
  </si>
  <si>
    <t>16 ( 1.1% )</t>
  </si>
  <si>
    <t>-9190930 ( -70.6% )</t>
  </si>
  <si>
    <t>-1102 ( -71.7% )</t>
  </si>
  <si>
    <t>-282000 ( -7.4% )</t>
  </si>
  <si>
    <t>-13 ( -3.0% )</t>
  </si>
  <si>
    <t>283500 ( 8.0% )</t>
  </si>
  <si>
    <t>-28 ( -6.6% )</t>
  </si>
  <si>
    <t>5379000 ( 140.2% )</t>
  </si>
  <si>
    <t>556 ( 141.1% )</t>
  </si>
  <si>
    <t>2620000 ( 28.4% )</t>
  </si>
  <si>
    <t>259 ( 27.3% )</t>
  </si>
  <si>
    <t>-11215900 ( -94.8% )</t>
  </si>
  <si>
    <t>-1127 ( -93.2% )</t>
  </si>
  <si>
    <t>128900 ( 20.8% )</t>
  </si>
  <si>
    <t>12 ( 14.6% )</t>
  </si>
  <si>
    <t>-428000 ( -57.1% )</t>
  </si>
  <si>
    <t>-59 ( -62.8% )</t>
  </si>
  <si>
    <t>65000 ( 20.2% )</t>
  </si>
  <si>
    <t>10 ( 28.6% )</t>
  </si>
  <si>
    <t>160000 ( 41.3% )</t>
  </si>
  <si>
    <t>13 ( 28.9% )</t>
  </si>
  <si>
    <t>-244500 ( -44.7% )</t>
  </si>
  <si>
    <t>-26 ( -44.8% )</t>
  </si>
  <si>
    <t>170500 ( 56.4% )</t>
  </si>
  <si>
    <t>20 ( 62.5% )</t>
  </si>
  <si>
    <t>-438000 ( -92.6% )</t>
  </si>
  <si>
    <t>-47 ( -90.4% )</t>
  </si>
  <si>
    <t>8559000 ( 24454.3% )</t>
  </si>
  <si>
    <t>951 ( 19020.0% )</t>
  </si>
  <si>
    <t>-8474000 ( -98.6% )</t>
  </si>
  <si>
    <t>-933 ( -97.6% )</t>
  </si>
  <si>
    <t>25000 ( 20.8% )</t>
  </si>
  <si>
    <t>2 ( 8.7% )</t>
  </si>
  <si>
    <t>-39000 ( -26.9% )</t>
  </si>
  <si>
    <t>-9 ( -36.0% )</t>
  </si>
  <si>
    <t>1000 ( 0.9% )</t>
  </si>
  <si>
    <t>71000 ( 66.4% )</t>
  </si>
  <si>
    <t>12 ( 70.6% )</t>
  </si>
  <si>
    <t>468000 ( 262.9% )</t>
  </si>
  <si>
    <t>100 ( 344.8% )</t>
  </si>
  <si>
    <t>-167000 ( -25.9% )</t>
  </si>
  <si>
    <t>-35 ( -27.1% )</t>
  </si>
  <si>
    <t>-379000 ( -79.1% )</t>
  </si>
  <si>
    <t>-74 ( -78.7% )</t>
  </si>
  <si>
    <t>24000 ( 24.0% )</t>
  </si>
  <si>
    <t>3 ( 15.0% )</t>
  </si>
  <si>
    <t>-24000 ( -19.4% )</t>
  </si>
  <si>
    <t>-3 ( -13.0% )</t>
  </si>
  <si>
    <t>100000 ( 100.0% )</t>
  </si>
  <si>
    <t>20 ( 100.0% )</t>
  </si>
  <si>
    <t>■ '장난스런 키스' 일자별 통계정보</t>
  </si>
  <si>
    <t>172083530 ( 2549.4% )</t>
  </si>
  <si>
    <t>29942 ( 3992.3% )</t>
  </si>
  <si>
    <t>-58532540 ( -32.7% )</t>
  </si>
  <si>
    <t>-15884 ( -51.8% )</t>
  </si>
  <si>
    <t>63047727 ( 52.4% )</t>
  </si>
  <si>
    <t>6256 ( 42.2% )</t>
  </si>
  <si>
    <t>199635524 ( 108.9% )</t>
  </si>
  <si>
    <t>24966 ( 118.5% )</t>
  </si>
  <si>
    <t>35433799 ( 9.3% )</t>
  </si>
  <si>
    <t>4977 ( 10.8% )</t>
  </si>
  <si>
    <t>-257657790 ( -61.6% )</t>
  </si>
  <si>
    <t>-30241 ( -59.3% )</t>
  </si>
  <si>
    <t>-30196260 ( -18.8% )</t>
  </si>
  <si>
    <t>-4602 ( -22.2% )</t>
  </si>
  <si>
    <t>-47431030 ( -36.3% )</t>
  </si>
  <si>
    <t>-5669 ( -35.1% )</t>
  </si>
  <si>
    <t>-4714360 ( -5.7% )</t>
  </si>
  <si>
    <t>-769 ( -7.3% )</t>
  </si>
  <si>
    <t>64367990 ( 82.1% )</t>
  </si>
  <si>
    <t>6739 ( 69.3% )</t>
  </si>
  <si>
    <t>172724380 ( 121.0% )</t>
  </si>
  <si>
    <t>20798 ( 126.3% )</t>
  </si>
  <si>
    <t>-20463020 ( -6.5% )</t>
  </si>
  <si>
    <t>-2297 ( -6.2% )</t>
  </si>
  <si>
    <t>-218968170 ( -74.2% )</t>
  </si>
  <si>
    <t>-25712 ( -73.5% )</t>
  </si>
  <si>
    <t>-12090600 ( -15.9% )</t>
  </si>
  <si>
    <t>-1522 ( -16.4% )</t>
  </si>
  <si>
    <t>11393550 ( 17.8% )</t>
  </si>
  <si>
    <t>1481 ( 19.2% )</t>
  </si>
  <si>
    <t>-28569670 ( -37.9% )</t>
  </si>
  <si>
    <t>-3463 ( -37.6% )</t>
  </si>
  <si>
    <t>29573320 ( 63.2% )</t>
  </si>
  <si>
    <t>3065 ( 53.3% )</t>
  </si>
  <si>
    <t>57753580 ( 75.6% )</t>
  </si>
  <si>
    <t>6851 ( 77.7% )</t>
  </si>
  <si>
    <t>-1649800 ( -1.2% )</t>
  </si>
  <si>
    <t>-332 ( -2.1% )</t>
  </si>
  <si>
    <t>-100831810 ( -76.1% )</t>
  </si>
  <si>
    <t>-11503 ( -75.0% )</t>
  </si>
  <si>
    <t>-4199880 ( -13.3% )</t>
  </si>
  <si>
    <t>-455 ( -11.9% )</t>
  </si>
  <si>
    <t>4890030 ( 17.8% )</t>
  </si>
  <si>
    <t>579 ( 17.2% )</t>
  </si>
  <si>
    <t>-14099290 ( -43.6% )</t>
  </si>
  <si>
    <t>-1657 ( -41.9% )</t>
  </si>
  <si>
    <t>9518420 ( 52.2% )</t>
  </si>
  <si>
    <t>1048 ( 45.6% )</t>
  </si>
  <si>
    <t>26659550 ( 96.0% )</t>
  </si>
  <si>
    <t>2963 ( 88.6% )</t>
  </si>
  <si>
    <t>-7660620 ( -14.1% )</t>
  </si>
  <si>
    <t>-888 ( -14.1% )</t>
  </si>
  <si>
    <t>-34152280 ( -73.0% )</t>
  </si>
  <si>
    <t>-3866 ( -71.3% )</t>
  </si>
  <si>
    <t>1187160 ( 9.4% )</t>
  </si>
  <si>
    <t>148 ( 9.5% )</t>
  </si>
  <si>
    <t>-12501660 ( -90.6% )</t>
  </si>
  <si>
    <t>-1503 ( -88.3% )</t>
  </si>
  <si>
    <t>665220 ( 51.2% )</t>
  </si>
  <si>
    <t>49 ( 24.5% )</t>
  </si>
  <si>
    <t>1696442 ( 86.3% )</t>
  </si>
  <si>
    <t>183 ( 73.5% )</t>
  </si>
  <si>
    <t>7308898 ( 199.6% )</t>
  </si>
  <si>
    <t>824 ( 190.7% )</t>
  </si>
  <si>
    <t>-9189190 ( -83.8% )</t>
  </si>
  <si>
    <t>-1039 ( -82.7% )</t>
  </si>
  <si>
    <t>-152600 ( -8.6% )</t>
  </si>
  <si>
    <t>-9 ( -4.1% )</t>
  </si>
  <si>
    <t>1662300 ( 102.1% )</t>
  </si>
  <si>
    <t>248 ( 119.2% )</t>
  </si>
  <si>
    <t>-1683120 ( -51.1% )</t>
  </si>
  <si>
    <t>-249 ( -54.6% )</t>
  </si>
  <si>
    <t>-419490 ( -26.1% )</t>
  </si>
  <si>
    <t>-49 ( -23.7% )</t>
  </si>
  <si>
    <t>4240830 ( 356.9% )</t>
  </si>
  <si>
    <t>293 ( 185.4% )</t>
  </si>
  <si>
    <t>-1121070 ( -20.6% )</t>
  </si>
  <si>
    <t>-135 ( -29.9% )</t>
  </si>
  <si>
    <t>-1944400 ( -45.1% )</t>
  </si>
  <si>
    <t>-113 ( -35.8% )</t>
  </si>
  <si>
    <t>-1787250 ( -75.6% )</t>
  </si>
  <si>
    <t>-132 ( -65.0% )</t>
  </si>
  <si>
    <t>-3550 ( -0.6% )</t>
  </si>
  <si>
    <t>2 ( 2.8% )</t>
  </si>
  <si>
    <t>181000 ( 31.6% )</t>
  </si>
  <si>
    <t>16 ( 21.9% )</t>
  </si>
  <si>
    <t>-444700 ( -59.0% )</t>
  </si>
  <si>
    <t>-53 ( -59.6% )</t>
  </si>
  <si>
    <t>199200 ( 64.4% )</t>
  </si>
  <si>
    <t>17 ( 47.2% )</t>
  </si>
  <si>
    <t>219700 ( 43.2% )</t>
  </si>
  <si>
    <t>24 ( 45.3% )</t>
  </si>
  <si>
    <t>-215200 ( -29.6% )</t>
  </si>
  <si>
    <t>-19 ( -24.7% )</t>
  </si>
  <si>
    <t>-366500 ( -71.5% )</t>
  </si>
  <si>
    <t>-40 ( -69.0% )</t>
  </si>
  <si>
    <t>364700 ( 249.3% )</t>
  </si>
  <si>
    <t>67 ( 372.2% )</t>
  </si>
  <si>
    <t>-509000 ( -99.6% )</t>
  </si>
  <si>
    <t>-84 ( -98.8% )</t>
  </si>
  <si>
    <t>6741000 ( 100.0% )</t>
  </si>
  <si>
    <t>749 ( 100.0% )</t>
  </si>
  <si>
    <t>■ '라스트 미션' 일자별 통계정보</t>
  </si>
  <si>
    <t>172 ( 100.0% )</t>
  </si>
  <si>
    <t>89953480 ( 100.0% )</t>
  </si>
  <si>
    <t>11599 ( 100.0% )</t>
  </si>
  <si>
    <t>9355306 ( 10.4% )</t>
  </si>
  <si>
    <t>-27 ( -0.2% )</t>
  </si>
  <si>
    <t>90203167 ( 90.8% )</t>
  </si>
  <si>
    <t>9960 ( 86.1% )</t>
  </si>
  <si>
    <t>-30737563 ( -16.2% )</t>
  </si>
  <si>
    <t>-3240 ( -15.0% )</t>
  </si>
  <si>
    <t>-95547070 ( -60.2% )</t>
  </si>
  <si>
    <t>-10049 ( -54.9% )</t>
  </si>
  <si>
    <t>-2938410 ( -4.6% )</t>
  </si>
  <si>
    <t>-414 ( -5.0% )</t>
  </si>
  <si>
    <t>-45245620 ( -75.0% )</t>
  </si>
  <si>
    <t>-5819 ( -74.3% )</t>
  </si>
  <si>
    <t>-722190 ( -4.8% )</t>
  </si>
  <si>
    <t>-96 ( -4.8% )</t>
  </si>
  <si>
    <t>2480360 ( 17.3% )</t>
  </si>
  <si>
    <t>118 ( 6.2% )</t>
  </si>
  <si>
    <t>15547700 ( 92.5% )</t>
  </si>
  <si>
    <t>1769 ( 87.1% )</t>
  </si>
  <si>
    <t>-4543950 ( -14.0% )</t>
  </si>
  <si>
    <t>-456 ( -12.0% )</t>
  </si>
  <si>
    <t>-15553160 ( -55.9% )</t>
  </si>
  <si>
    <t>-1689 ( -50.5% )</t>
  </si>
  <si>
    <t>-1827500 ( -14.9% )</t>
  </si>
  <si>
    <t>-191 ( -11.5% )</t>
  </si>
  <si>
    <t>-5384150 ( -51.6% )</t>
  </si>
  <si>
    <t>-708 ( -48.3% )</t>
  </si>
  <si>
    <t>-3192250 ( -63.3% )</t>
  </si>
  <si>
    <t>-471 ( -62.2% )</t>
  </si>
  <si>
    <t>1262650 ( 68.3% )</t>
  </si>
  <si>
    <t>121 ( 42.3% )</t>
  </si>
  <si>
    <t>1379400 ( 44.3% )</t>
  </si>
  <si>
    <t>154 ( 37.8% )</t>
  </si>
  <si>
    <t>898480 ( 20.0% )</t>
  </si>
  <si>
    <t>130 ( 23.2% )</t>
  </si>
  <si>
    <t>-3467430 ( -64.3% )</t>
  </si>
  <si>
    <t>-420 ( -60.8% )</t>
  </si>
  <si>
    <t>162550 ( 8.5% )</t>
  </si>
  <si>
    <t>35 ( 12.9% )</t>
  </si>
  <si>
    <t>-1089800 ( -52.3% )</t>
  </si>
  <si>
    <t>-168 ( -54.9% )</t>
  </si>
  <si>
    <t>38900 ( 3.9% )</t>
  </si>
  <si>
    <t>-224800 ( -21.8% )</t>
  </si>
  <si>
    <t>-37 ( -26.1% )</t>
  </si>
  <si>
    <t>671400 ( 83.1% )</t>
  </si>
  <si>
    <t>76 ( 72.4% )</t>
  </si>
  <si>
    <t>-411600 ( -27.8% )</t>
  </si>
  <si>
    <t>-41 ( -22.7% )</t>
  </si>
  <si>
    <t>-405400 ( -38.0% )</t>
  </si>
  <si>
    <t>-47 ( -33.6% )</t>
  </si>
  <si>
    <t>-249700 ( -37.7% )</t>
  </si>
  <si>
    <t>-34 ( -36.6% )</t>
  </si>
  <si>
    <t>439200 ( 106.4% )</t>
  </si>
  <si>
    <t>54 ( 91.5% )</t>
  </si>
  <si>
    <t>-736000 ( -86.4% )</t>
  </si>
  <si>
    <t>-97 ( -85.8% )</t>
  </si>
  <si>
    <t>90000 ( 77.6% )</t>
  </si>
  <si>
    <t>15 ( 93.8% )</t>
  </si>
  <si>
    <t>90000 ( 43.7% )</t>
  </si>
  <si>
    <t>7 ( 22.6% )</t>
  </si>
  <si>
    <t>-37000 ( -12.5% )</t>
  </si>
  <si>
    <t>-26000 ( -10.0% )</t>
  </si>
  <si>
    <t>1 ( 3.0% )</t>
  </si>
  <si>
    <t>-146000 ( -62.7% )</t>
  </si>
  <si>
    <t>-18 ( -52.9% )</t>
  </si>
  <si>
    <t>81000 ( 93.1% )</t>
  </si>
  <si>
    <t>-62000 ( -36.9% )</t>
  </si>
  <si>
    <t>-5 ( -21.7% )</t>
  </si>
  <si>
    <t>26000 ( 24.5% )</t>
  </si>
  <si>
    <t>59000 ( 44.7% )</t>
  </si>
  <si>
    <t>9 ( 50.0% )</t>
  </si>
  <si>
    <t>101000 ( 52.9% )</t>
  </si>
  <si>
    <t>15 ( 55.6% )</t>
  </si>
  <si>
    <t>-172000 ( -58.9% )</t>
  </si>
  <si>
    <t>-24 ( -57.1% )</t>
  </si>
  <si>
    <t>55000 ( 45.8% )</t>
  </si>
  <si>
    <t>10 ( 55.6% )</t>
  </si>
  <si>
    <t>-46000 ( -26.3% )</t>
  </si>
  <si>
    <t>-8 ( -28.6% )</t>
  </si>
  <si>
    <t>18000 ( 14.0% )</t>
  </si>
  <si>
    <t>2 ( 10.0% )</t>
  </si>
  <si>
    <t>530000 ( 360.5% )</t>
  </si>
  <si>
    <t>56 ( 254.5% )</t>
  </si>
  <si>
    <t>-573000 ( -84.6% )</t>
  </si>
  <si>
    <t>-62 ( -79.5% )</t>
  </si>
  <si>
    <t>-27000 ( -26.0% )</t>
  </si>
  <si>
    <t>-5 ( -31.3% )</t>
  </si>
  <si>
    <t>9000 ( 11.7% )</t>
  </si>
  <si>
    <t>3 ( 27.3% )</t>
  </si>
  <si>
    <t>-33000 ( -38.4% )</t>
  </si>
  <si>
    <t>-5 ( -35.7% )</t>
  </si>
  <si>
    <t>196000 ( 369.8% )</t>
  </si>
  <si>
    <t>23 ( 255.6% )</t>
  </si>
  <si>
    <t>-219000 ( -88.0% )</t>
  </si>
  <si>
    <t>-27 ( -84.4% )</t>
  </si>
  <si>
    <t>1000 ( 3.3% )</t>
  </si>
  <si>
    <t>102000 ( 329.0% )</t>
  </si>
  <si>
    <t>16 ( 320.0% )</t>
  </si>
  <si>
    <t>-35000 ( -26.3% )</t>
  </si>
  <si>
    <t>-5 ( -23.8% )</t>
  </si>
  <si>
    <t>-4000 ( -4.1% )</t>
  </si>
  <si>
    <t>-82000 ( -87.2% )</t>
  </si>
  <si>
    <t>-14 ( -87.5% )</t>
  </si>
  <si>
    <t>33000 ( 275.0% )</t>
  </si>
  <si>
    <t>■ '더 페이버릿: 여왕의 여자' 일자별 통계정보</t>
  </si>
  <si>
    <t>7552500 ( 100.0% )</t>
  </si>
  <si>
    <t>773 ( 100.0% )</t>
  </si>
  <si>
    <t>-526500 ( -7.0% )</t>
  </si>
  <si>
    <t>-43 ( -5.6% )</t>
  </si>
  <si>
    <t>5693100 ( 100.0% )</t>
  </si>
  <si>
    <t>603 ( 100.0% )</t>
  </si>
  <si>
    <t>1942600 ( 34.1% )</t>
  </si>
  <si>
    <t>220 ( 36.5% )</t>
  </si>
  <si>
    <t>4946900 ( 100.0% )</t>
  </si>
  <si>
    <t>604 ( 100.0% )</t>
  </si>
  <si>
    <t>13970000 ( 282.4% )</t>
  </si>
  <si>
    <t>1291 ( 213.7% )</t>
  </si>
  <si>
    <t>-8680400 ( -45.9% )</t>
  </si>
  <si>
    <t>-619 ( -32.7% )</t>
  </si>
  <si>
    <t>-7811500 ( -76.3% )</t>
  </si>
  <si>
    <t>-883 ( -69.2% )</t>
  </si>
  <si>
    <t>46609310 ( 100.0% )</t>
  </si>
  <si>
    <t>5902 ( 100.0% )</t>
  </si>
  <si>
    <t>8132450 ( 17.4% )</t>
  </si>
  <si>
    <t>292 ( 4.9% )</t>
  </si>
  <si>
    <t>37091080 ( 67.8% )</t>
  </si>
  <si>
    <t>4089 ( 66.0% )</t>
  </si>
  <si>
    <t>-2809340 ( -3.1% )</t>
  </si>
  <si>
    <t>-254 ( -2.5% )</t>
  </si>
  <si>
    <t>-36929860 ( -41.5% )</t>
  </si>
  <si>
    <t>-3558 ( -35.5% )</t>
  </si>
  <si>
    <t>12029740 ( 23.1% )</t>
  </si>
  <si>
    <t>1651 ( 25.5% )</t>
  </si>
  <si>
    <t>-2527740 ( -3.9% )</t>
  </si>
  <si>
    <t>1676 ( 20.6% )</t>
  </si>
  <si>
    <t>-4811190 ( -7.8% )</t>
  </si>
  <si>
    <t>-2712 ( -27.7% )</t>
  </si>
  <si>
    <t>59442500 ( 104.7% )</t>
  </si>
  <si>
    <t>6025 ( 85.0% )</t>
  </si>
  <si>
    <t>-10798730 ( -9.3% )</t>
  </si>
  <si>
    <t>-1199 ( -9.1% )</t>
  </si>
  <si>
    <t>-26281370 ( -24.9% )</t>
  </si>
  <si>
    <t>-3001 ( -25.2% )</t>
  </si>
  <si>
    <t>-45493330 ( -57.5% )</t>
  </si>
  <si>
    <t>-4643 ( -52.1% )</t>
  </si>
  <si>
    <t>-2212900 ( -6.6% )</t>
  </si>
  <si>
    <t>-213 ( -5.0% )</t>
  </si>
  <si>
    <t>-5200140 ( -16.5% )</t>
  </si>
  <si>
    <t>-782 ( -19.3% )</t>
  </si>
  <si>
    <t>-4143520 ( -15.8% )</t>
  </si>
  <si>
    <t>-500 ( -15.3% )</t>
  </si>
  <si>
    <t>9581499 ( 43.4% )</t>
  </si>
  <si>
    <t>856 ( 30.9% )</t>
  </si>
  <si>
    <t>21950312 ( 69.3% )</t>
  </si>
  <si>
    <t>2303 ( 63.5% )</t>
  </si>
  <si>
    <t>-11123391 ( -20.7% )</t>
  </si>
  <si>
    <t>-1270 ( -21.4% )</t>
  </si>
  <si>
    <t>-23384980 ( -55.0% )</t>
  </si>
  <si>
    <t>-2253 ( -48.3% )</t>
  </si>
  <si>
    <t>-1148860 ( -6.0% )</t>
  </si>
  <si>
    <t>-62 ( -2.6% )</t>
  </si>
  <si>
    <t>1173920 ( 6.5% )</t>
  </si>
  <si>
    <t>64 ( 2.7% )</t>
  </si>
  <si>
    <t>-7781470 ( -40.6% )</t>
  </si>
  <si>
    <t>-942 ( -39.1% )</t>
  </si>
  <si>
    <t>5321759 ( 46.8% )</t>
  </si>
  <si>
    <t>438 ( 29.8% )</t>
  </si>
  <si>
    <t>12125528 ( 72.7% )</t>
  </si>
  <si>
    <t>1331 ( 69.8% )</t>
  </si>
  <si>
    <t>-5765457 ( -20.0% )</t>
  </si>
  <si>
    <t>-640 ( -19.8% )</t>
  </si>
  <si>
    <t>-13311510 ( -57.8% )</t>
  </si>
  <si>
    <t>-1379 ( -53.1% )</t>
  </si>
  <si>
    <t>1611820 ( 16.6% )</t>
  </si>
  <si>
    <t>226 ( 18.5% )</t>
  </si>
  <si>
    <t>-3921530 ( -34.6% )</t>
  </si>
  <si>
    <t>-518 ( -35.8% )</t>
  </si>
  <si>
    <t>-1573070 ( -21.2% )</t>
  </si>
  <si>
    <t>-155 ( -16.7% )</t>
  </si>
  <si>
    <t>1872880 ( 32.0% )</t>
  </si>
  <si>
    <t>108 ( 14.0% )</t>
  </si>
  <si>
    <t>6291180 ( 81.4% )</t>
  </si>
  <si>
    <t>680 ( 77.3% )</t>
  </si>
  <si>
    <t>151940 ( 1.1% )</t>
  </si>
  <si>
    <t>80 ( 5.1% )</t>
  </si>
  <si>
    <t>-8776100 ( -61.9% )</t>
  </si>
  <si>
    <t>-980 ( -59.8% )</t>
  </si>
  <si>
    <t>-330880 ( -6.1% )</t>
  </si>
  <si>
    <t>15 ( 2.3% )</t>
  </si>
  <si>
    <t>-2056350 ( -40.6% )</t>
  </si>
  <si>
    <t>-271 ( -40.1% )</t>
  </si>
  <si>
    <t>-1008200 ( -33.6% )</t>
  </si>
  <si>
    <t>-145 ( -35.9% )</t>
  </si>
  <si>
    <t>1873180 ( 93.8% )</t>
  </si>
  <si>
    <t>155 ( 59.8% )</t>
  </si>
  <si>
    <t>833320 ( 21.5% )</t>
  </si>
  <si>
    <t>83 ( 20.0% )</t>
  </si>
  <si>
    <t>19000 ( 0.4% )</t>
  </si>
  <si>
    <t>17 ( 3.4% )</t>
  </si>
  <si>
    <t>-2533050 ( -53.6% )</t>
  </si>
  <si>
    <t>-226 ( -44.0% )</t>
  </si>
  <si>
    <t>-651650 ( -29.8% )</t>
  </si>
  <si>
    <t>-87 ( -30.2% )</t>
  </si>
  <si>
    <t>468200 ( 30.5% )</t>
  </si>
  <si>
    <t>43 ( 21.4% )</t>
  </si>
  <si>
    <t>-1469700 ( -73.3% )</t>
  </si>
  <si>
    <t>-177 ( -72.5% )</t>
  </si>
  <si>
    <t>829200 ( 154.9% )</t>
  </si>
  <si>
    <t>93 ( 138.8% )</t>
  </si>
  <si>
    <t>990500 ( 72.6% )</t>
  </si>
  <si>
    <t>95 ( 59.4% )</t>
  </si>
  <si>
    <t>-731000 ( -31.0% )</t>
  </si>
  <si>
    <t>-67 ( -26.3% )</t>
  </si>
  <si>
    <t>-734000 ( -45.2% )</t>
  </si>
  <si>
    <t>-80 ( -42.6% )</t>
  </si>
  <si>
    <t>291000 ( 32.7% )</t>
  </si>
  <si>
    <t>28 ( 25.9% )</t>
  </si>
  <si>
    <t>-344800 ( -29.2% )</t>
  </si>
  <si>
    <t>-36 ( -26.5% )</t>
  </si>
  <si>
    <t>-276700 ( -33.1% )</t>
  </si>
  <si>
    <t>-31 ( -31.0% )</t>
  </si>
  <si>
    <t>169000 ( 30.2% )</t>
  </si>
  <si>
    <t>16 ( 23.2% )</t>
  </si>
  <si>
    <t>568500 ( 78.0% )</t>
  </si>
  <si>
    <t>61 ( 71.8% )</t>
  </si>
  <si>
    <t>-623500 ( -48.1% )</t>
  </si>
  <si>
    <t>-68 ( -46.6% )</t>
  </si>
  <si>
    <t>-387500 ( -57.5% )</t>
  </si>
  <si>
    <t>-39 ( -50.0% )</t>
  </si>
  <si>
    <t>286000 ( 100.0% )</t>
  </si>
  <si>
    <t>33 ( 84.6% )</t>
  </si>
  <si>
    <t>-397000 ( -69.4% )</t>
  </si>
  <si>
    <t>-50 ( -69.4% )</t>
  </si>
  <si>
    <t>71000 ( 40.6% )</t>
  </si>
  <si>
    <t>-3000 ( -1.2% )</t>
  </si>
  <si>
    <t>-3 ( -9.7% )</t>
  </si>
  <si>
    <t>104000 ( 42.8% )</t>
  </si>
  <si>
    <t>423000 ( 121.9% )</t>
  </si>
  <si>
    <t>40 ( 97.6% )</t>
  </si>
  <si>
    <t>-509000 ( -66.1% )</t>
  </si>
  <si>
    <t>-48 ( -59.3% )</t>
  </si>
  <si>
    <t>9500 ( 3.6% )</t>
  </si>
  <si>
    <t>3 ( 9.1% )</t>
  </si>
  <si>
    <t>-168500 ( -62.3% )</t>
  </si>
  <si>
    <t>-22 ( -61.1% )</t>
  </si>
  <si>
    <t>24000 ( 23.5% )</t>
  </si>
  <si>
    <t>3 ( 21.4% )</t>
  </si>
  <si>
    <t>-49000 ( -38.9% )</t>
  </si>
  <si>
    <t>-6 ( -35.3% )</t>
  </si>
  <si>
    <t>7000 ( 9.1% )</t>
  </si>
  <si>
    <t>1 ( 9.1% )</t>
  </si>
  <si>
    <t>-34000 ( -40.5% )</t>
  </si>
  <si>
    <t>1000 ( 2.0% )</t>
  </si>
  <si>
    <t>9000 ( 17.6% )</t>
  </si>
  <si>
    <t>3 ( 42.9% )</t>
  </si>
  <si>
    <t>114000 ( 190.0% )</t>
  </si>
  <si>
    <t>13 ( 130.0% )</t>
  </si>
  <si>
    <t>38000 ( 100.0% )</t>
  </si>
  <si>
    <t>47000 ( 100.0% )</t>
  </si>
  <si>
    <t>■ '1919 유관순' 일자별 통계정보</t>
  </si>
  <si>
    <t>18622770 ( 411.4% )</t>
  </si>
  <si>
    <t>2514 ( 499.8% )</t>
  </si>
  <si>
    <t>-1513220 ( -6.5% )</t>
  </si>
  <si>
    <t>-427 ( -14.2% )</t>
  </si>
  <si>
    <t>13392590 ( 61.9% )</t>
  </si>
  <si>
    <t>1503 ( 58.0% )</t>
  </si>
  <si>
    <t>-496580 ( -1.4% )</t>
  </si>
  <si>
    <t>-201 ( -4.9% )</t>
  </si>
  <si>
    <t>-20813350 ( -60.3% )</t>
  </si>
  <si>
    <t>-2060 ( -52.9% )</t>
  </si>
  <si>
    <t>4099370 ( 29.9% )</t>
  </si>
  <si>
    <t>365 ( 19.9% )</t>
  </si>
  <si>
    <t>-782180 ( -4.4% )</t>
  </si>
  <si>
    <t>-50 ( -2.3% )</t>
  </si>
  <si>
    <t>-15186400 ( -89.1% )</t>
  </si>
  <si>
    <t>-1904 ( -88.7% )</t>
  </si>
  <si>
    <t>-122200 ( -6.6% )</t>
  </si>
  <si>
    <t>3086900 ( 178.7% )</t>
  </si>
  <si>
    <t>330 ( 144.7% )</t>
  </si>
  <si>
    <t>2209300 ( 45.9% )</t>
  </si>
  <si>
    <t>268 ( 48.0% )</t>
  </si>
  <si>
    <t>-5830500 ( -83.0% )</t>
  </si>
  <si>
    <t>-670 ( -81.1% )</t>
  </si>
  <si>
    <t>197000 ( 16.5% )</t>
  </si>
  <si>
    <t>22 ( 14.1% )</t>
  </si>
  <si>
    <t>44456200 ( 3197.1% )</t>
  </si>
  <si>
    <t>5602 ( 3147.2% )</t>
  </si>
  <si>
    <t>42783300 ( 93.3% )</t>
  </si>
  <si>
    <t>4726 ( 81.8% )</t>
  </si>
  <si>
    <t>-58930000 ( -66.5% )</t>
  </si>
  <si>
    <t>-7086 ( -67.4% )</t>
  </si>
  <si>
    <t>-19662000 ( -66.2% )</t>
  </si>
  <si>
    <t>-2261 ( -66.1% )</t>
  </si>
  <si>
    <t>-1186000 ( -11.8% )</t>
  </si>
  <si>
    <t>-51 ( -4.4% )</t>
  </si>
  <si>
    <t>-6036000 ( -68.2% )</t>
  </si>
  <si>
    <t>-760 ( -68.6% )</t>
  </si>
  <si>
    <t>6020000 ( 213.8% )</t>
  </si>
  <si>
    <t>756 ( 217.2% )</t>
  </si>
  <si>
    <t>8803000 ( 99.6% )</t>
  </si>
  <si>
    <t>1101 ( 99.7% )</t>
  </si>
  <si>
    <t>-11255000 ( -63.8% )</t>
  </si>
  <si>
    <t>-1407 ( -63.8% )</t>
  </si>
  <si>
    <t>-3988000 ( -62.5% )</t>
  </si>
  <si>
    <t>-458 ( -57.4% )</t>
  </si>
  <si>
    <t>-2066000 ( -86.2% )</t>
  </si>
  <si>
    <t>-298 ( -87.6% )</t>
  </si>
  <si>
    <t>907000 ( 274.8% )</t>
  </si>
  <si>
    <t>151 ( 359.5% )</t>
  </si>
  <si>
    <t>981000 ( 79.3% )</t>
  </si>
  <si>
    <t>84 ( 43.5% )</t>
  </si>
  <si>
    <t>5692000 ( 256.6% )</t>
  </si>
  <si>
    <t>711 ( 256.7% )</t>
  </si>
  <si>
    <t>-5708000 ( -72.2% )</t>
  </si>
  <si>
    <t>-714 ( -72.3% )</t>
  </si>
  <si>
    <t>-2202000 ( -100.0% )</t>
  </si>
  <si>
    <t>-274 ( -100.0% )</t>
  </si>
  <si>
    <t>44500 ( 741.7% )</t>
  </si>
  <si>
    <t>9 ( 450.0% )</t>
  </si>
  <si>
    <t>1554500 ( 3078.2% )</t>
  </si>
  <si>
    <t>190 ( 1727.3% )</t>
  </si>
  <si>
    <t>-1585000 ( -98.8% )</t>
  </si>
  <si>
    <t>-198 ( -98.5% )</t>
  </si>
  <si>
    <t>7860000 ( 39300.0% )</t>
  </si>
  <si>
    <t>932 ( 31066.7% )</t>
  </si>
  <si>
    <t>-2738500 ( -34.8% )</t>
  </si>
  <si>
    <t>-350 ( -37.4% )</t>
  </si>
  <si>
    <t>2328500 ( 45.3% )</t>
  </si>
  <si>
    <t>263 ( 45.0% )</t>
  </si>
  <si>
    <t>-2197000 ( -29.4% )</t>
  </si>
  <si>
    <t>-261 ( -30.8% )</t>
  </si>
  <si>
    <t>-5242000 ( -99.4% )</t>
  </si>
  <si>
    <t>-582 ( -99.1% )</t>
  </si>
  <si>
    <t>-11000 ( -35.5% )</t>
  </si>
  <si>
    <t>-6000 ( -30.0% )</t>
  </si>
  <si>
    <t>850000 ( 6071.4% )</t>
  </si>
  <si>
    <t>106 ( 5300.0% )</t>
  </si>
  <si>
    <t>-853000 ( -98.7% )</t>
  </si>
  <si>
    <t>-106 ( -98.1% )</t>
  </si>
  <si>
    <t>-7000 ( -63.6% )</t>
  </si>
  <si>
    <t>346000 ( 8650.0% )</t>
  </si>
  <si>
    <t>49 ( 4900.0% )</t>
  </si>
  <si>
    <t>540000 ( 100.0% )</t>
  </si>
  <si>
    <t>-536000 ( -99.3% )</t>
  </si>
  <si>
    <t>-89 ( -98.9% )</t>
  </si>
  <si>
    <t>1668000 ( 41700.0% )</t>
  </si>
  <si>
    <t>208 ( 20800.0% )</t>
  </si>
  <si>
    <t>-611000 ( -36.5% )</t>
  </si>
  <si>
    <t>-57 ( -27.3% )</t>
  </si>
  <si>
    <t>-1056000 ( -99.5% )</t>
  </si>
  <si>
    <t>-151 ( -99.3% )</t>
  </si>
  <si>
    <t>-1000 ( -20.0% )</t>
  </si>
  <si>
    <t>21000 ( 525.0% )</t>
  </si>
  <si>
    <t>5 ( 500.0% )</t>
  </si>
  <si>
    <t>9000 ( 36.0% )</t>
  </si>
  <si>
    <t>-14000 ( -41.2% )</t>
  </si>
  <si>
    <t>21000 ( 100.0% )</t>
  </si>
  <si>
    <t>-2500 ( -11.9% )</t>
  </si>
  <si>
    <t>7500 ( 40.5% )</t>
  </si>
  <si>
    <t>-22500 ( -86.5% )</t>
  </si>
  <si>
    <t>-3500 ( -100.0% )</t>
  </si>
  <si>
    <t>-1 ( -100.0% )</t>
  </si>
  <si>
    <t>-38000 ( -84.4% )</t>
  </si>
  <si>
    <t>14000 ( 200.0% )</t>
  </si>
  <si>
    <t>2 ( 200.0% )</t>
  </si>
  <si>
    <t>801000 ( 100.0% )</t>
  </si>
  <si>
    <t>89 ( 100.0% )</t>
  </si>
  <si>
    <t>350000 ( 100.0% )</t>
  </si>
  <si>
    <t>50 ( 100.0% )</t>
  </si>
  <si>
    <t>4024000 ( 100.0% )</t>
  </si>
  <si>
    <t>4000000 ( 99.4% )</t>
  </si>
  <si>
    <t>500 ( 99.4% )</t>
  </si>
  <si>
    <t>-656000 ( -8.2% )</t>
  </si>
  <si>
    <t>-82 ( -8.2% )</t>
  </si>
  <si>
    <t>-3344000 ( -45.4% )</t>
  </si>
  <si>
    <t>-418 ( -45.4% )</t>
  </si>
  <si>
    <t>-3616000 ( -89.9% )</t>
  </si>
  <si>
    <t>-452 ( -89.9% )</t>
  </si>
  <si>
    <t>■ '어쩌다, 결혼' 일자별 통계정보</t>
  </si>
  <si>
    <t>132134770 ( 100.0% )</t>
  </si>
  <si>
    <t>22216 ( 100.0% )</t>
  </si>
  <si>
    <t>-26681110 ( -20.2% )</t>
  </si>
  <si>
    <t>-8614 ( -38.8% )</t>
  </si>
  <si>
    <t>24076759 ( 22.8% )</t>
  </si>
  <si>
    <t>1362 ( 10.0% )</t>
  </si>
  <si>
    <t>-27118859 ( -20.9% )</t>
  </si>
  <si>
    <t>-3284 ( -21.9% )</t>
  </si>
  <si>
    <t>-39979490 ( -39.0% )</t>
  </si>
  <si>
    <t>-4338 ( -37.1% )</t>
  </si>
  <si>
    <t>-43612790 ( -69.9% )</t>
  </si>
  <si>
    <t>-4946 ( -67.4% )</t>
  </si>
  <si>
    <t>-249390 ( -1.3% )</t>
  </si>
  <si>
    <t>-16 ( -0.7% )</t>
  </si>
  <si>
    <t>-17497590 ( -94.2% )</t>
  </si>
  <si>
    <t>-2225 ( -93.5% )</t>
  </si>
  <si>
    <t>-197500 ( -18.4% )</t>
  </si>
  <si>
    <t>-30 ( -19.4% )</t>
  </si>
  <si>
    <t>51700 ( 5.9% )</t>
  </si>
  <si>
    <t>-3 ( -2.4% )</t>
  </si>
  <si>
    <t>501500 ( 54.1% )</t>
  </si>
  <si>
    <t>86 ( 70.5% )</t>
  </si>
  <si>
    <t>-170500 ( -11.9% )</t>
  </si>
  <si>
    <t>-35 ( -16.8% )</t>
  </si>
  <si>
    <t>-318700 ( -25.3% )</t>
  </si>
  <si>
    <t>-48 ( -27.7% )</t>
  </si>
  <si>
    <t>-374100 ( -39.8% )</t>
  </si>
  <si>
    <t>-49 ( -39.2% )</t>
  </si>
  <si>
    <t>-171700 ( -30.4% )</t>
  </si>
  <si>
    <t>-20 ( -26.3% )</t>
  </si>
  <si>
    <t>-369000 ( -93.9% )</t>
  </si>
  <si>
    <t>-52 ( -92.9% )</t>
  </si>
  <si>
    <t>196000 ( 816.7% )</t>
  </si>
  <si>
    <t>36 ( 900.0% )</t>
  </si>
  <si>
    <t>-103000 ( -46.8% )</t>
  </si>
  <si>
    <t>-19 ( -47.5% )</t>
  </si>
  <si>
    <t>-22000 ( -18.8% )</t>
  </si>
  <si>
    <t>-4 ( -19.0% )</t>
  </si>
  <si>
    <t>-89000 ( -93.7% )</t>
  </si>
  <si>
    <t>-16 ( -94.1% )</t>
  </si>
  <si>
    <t>■ '어벤져스: 엔드게임' 일자별 통계정보</t>
  </si>
  <si>
    <t>9669629600 ( 103308.0% )</t>
  </si>
  <si>
    <t>1338105 ( 214439.9% )</t>
  </si>
  <si>
    <t>-2530038050 ( -26.1% )</t>
  </si>
  <si>
    <t>-506549 ( -37.8% )</t>
  </si>
  <si>
    <t>2586875470 ( 36.2% )</t>
  </si>
  <si>
    <t>214511 ( 25.8% )</t>
  </si>
  <si>
    <t>5234180580 ( 53.8% )</t>
  </si>
  <si>
    <t>615778 ( 58.8% )</t>
  </si>
  <si>
    <t>-2157483920 ( -14.4% )</t>
  </si>
  <si>
    <t>-235114 ( -14.1% )</t>
  </si>
  <si>
    <t>-8712988460 ( -68.0% )</t>
  </si>
  <si>
    <t>-955566 ( -66.9% )</t>
  </si>
  <si>
    <t>642798640 ( 15.7% )</t>
  </si>
  <si>
    <t>79532 ( 16.9% )</t>
  </si>
  <si>
    <t>2682722690 ( 56.6% )</t>
  </si>
  <si>
    <t>360053 ( 65.3% )</t>
  </si>
  <si>
    <t>-4212340560 ( -56.7% )</t>
  </si>
  <si>
    <t>-534552 ( -58.7% )</t>
  </si>
  <si>
    <t>1951390920 ( 60.7% )</t>
  </si>
  <si>
    <t>190238 ( 50.5% )</t>
  </si>
  <si>
    <t>2973091330 ( 57.6% )</t>
  </si>
  <si>
    <t>332805 ( 58.7% )</t>
  </si>
  <si>
    <t>-244903310 ( -3.0% )</t>
  </si>
  <si>
    <t>-33829 ( -3.8% )</t>
  </si>
  <si>
    <t>-2169238230 ( -27.5% )</t>
  </si>
  <si>
    <t>-226679 ( -26.2% )</t>
  </si>
  <si>
    <t>-4272998990 ( -74.7% )</t>
  </si>
  <si>
    <t>-475011 ( -74.3% )</t>
  </si>
  <si>
    <t>-364835710 ( -25.2% )</t>
  </si>
  <si>
    <t>-44185 ( -26.9% )</t>
  </si>
  <si>
    <t>-109472940 ( -10.1% )</t>
  </si>
  <si>
    <t>-9614 ( -8.0% )</t>
  </si>
  <si>
    <t>601291890 ( 61.6% )</t>
  </si>
  <si>
    <t>57262 ( 51.8% )</t>
  </si>
  <si>
    <t>1689254500 ( 107.1% )</t>
  </si>
  <si>
    <t>186410 ( 111.1% )</t>
  </si>
  <si>
    <t>-604091740 ( -18.5% )</t>
  </si>
  <si>
    <t>-63441 ( -17.9% )</t>
  </si>
  <si>
    <t>-1923966500 ( -72.3% )</t>
  </si>
  <si>
    <t>-208400 ( -71.7% )</t>
  </si>
  <si>
    <t>-114951980 ( -15.6% )</t>
  </si>
  <si>
    <t>-12478 ( -15.1% )</t>
  </si>
  <si>
    <t>-79026330 ( -12.7% )</t>
  </si>
  <si>
    <t>-7747 ( -11.1% )</t>
  </si>
  <si>
    <t>-84181550 ( -15.5% )</t>
  </si>
  <si>
    <t>-11316 ( -18.2% )</t>
  </si>
  <si>
    <t>249792900 ( 54.3% )</t>
  </si>
  <si>
    <t>22432 ( 44.1% )</t>
  </si>
  <si>
    <t>890891670 ( 125.5% )</t>
  </si>
  <si>
    <t>96305 ( 131.4% )</t>
  </si>
  <si>
    <t>-240723390 ( -15.0% )</t>
  </si>
  <si>
    <t>-23577 ( -13.9% )</t>
  </si>
  <si>
    <t>-985518410 ( -72.5% )</t>
  </si>
  <si>
    <t>-104355 ( -71.5% )</t>
  </si>
  <si>
    <t>-46235520 ( -12.3% )</t>
  </si>
  <si>
    <t>-5595 ( -13.4% )</t>
  </si>
  <si>
    <t>2591980 ( 0.8% )</t>
  </si>
  <si>
    <t>-581 ( -1.6% )</t>
  </si>
  <si>
    <t>-125274240 ( -37.9% )</t>
  </si>
  <si>
    <t>-13041 ( -36.8% )</t>
  </si>
  <si>
    <t>103936840 ( 50.6% )</t>
  </si>
  <si>
    <t>8871 ( 39.6% )</t>
  </si>
  <si>
    <t>341842660 ( 110.4% )</t>
  </si>
  <si>
    <t>38214 ( 122.1% )</t>
  </si>
  <si>
    <t>-108546310 ( -16.7% )</t>
  </si>
  <si>
    <t>-10520 ( -15.1% )</t>
  </si>
  <si>
    <t>-341249750 ( -62.9% )</t>
  </si>
  <si>
    <t>-37047 ( -62.8% )</t>
  </si>
  <si>
    <t>-35993750 ( -17.9% )</t>
  </si>
  <si>
    <t>-3053 ( -13.9% )</t>
  </si>
  <si>
    <t>-67785020 ( -40.9% )</t>
  </si>
  <si>
    <t>-3521 ( -18.6% )</t>
  </si>
  <si>
    <t>-53518560 ( -54.7% )</t>
  </si>
  <si>
    <t>-9917 ( -64.5% )</t>
  </si>
  <si>
    <t>28774830 ( 65.0% )</t>
  </si>
  <si>
    <t>2744 ( 50.3% )</t>
  </si>
  <si>
    <t>41070580 ( 56.2% )</t>
  </si>
  <si>
    <t>4875 ( 59.5% )</t>
  </si>
  <si>
    <t>-10775850 ( -9.4% )</t>
  </si>
  <si>
    <t>-1099 ( -8.4% )</t>
  </si>
  <si>
    <t>-62442210 ( -60.4% )</t>
  </si>
  <si>
    <t>-6905 ( -57.7% )</t>
  </si>
  <si>
    <t>263160 ( 0.6% )</t>
  </si>
  <si>
    <t>25 ( 0.5% )</t>
  </si>
  <si>
    <t>-17661110 ( -42.9% )</t>
  </si>
  <si>
    <t>-2204 ( -43.3% )</t>
  </si>
  <si>
    <t>21793300 ( 92.7% )</t>
  </si>
  <si>
    <t>2359 ( 81.7% )</t>
  </si>
  <si>
    <t>-9570020 ( -21.1% )</t>
  </si>
  <si>
    <t>-1110 ( -21.2% )</t>
  </si>
  <si>
    <t>8023910 ( 22.5% )</t>
  </si>
  <si>
    <t>842 ( 20.4% )</t>
  </si>
  <si>
    <t>-8459330 ( -19.3% )</t>
  </si>
  <si>
    <t>-968 ( -19.4% )</t>
  </si>
  <si>
    <t>-19598190 ( -55.5% )</t>
  </si>
  <si>
    <t>-2079 ( -51.8% )</t>
  </si>
  <si>
    <t>-2482690 ( -15.8% )</t>
  </si>
  <si>
    <t>-325 ( -16.8% )</t>
  </si>
  <si>
    <t>-3649820 ( -27.6% )</t>
  </si>
  <si>
    <t>-439 ( -27.3% )</t>
  </si>
  <si>
    <t>300270 ( 3.1% )</t>
  </si>
  <si>
    <t>21 ( 1.8% )</t>
  </si>
  <si>
    <t>4773070 ( 48.3% )</t>
  </si>
  <si>
    <t>428 ( 36.0% )</t>
  </si>
  <si>
    <t>9320080 ( 63.6% )</t>
  </si>
  <si>
    <t>1053 ( 65.1% )</t>
  </si>
  <si>
    <t>-3200130 ( -13.4% )</t>
  </si>
  <si>
    <t>-370 ( -13.9% )</t>
  </si>
  <si>
    <t>-10125190 ( -48.8% )</t>
  </si>
  <si>
    <t>-1025 ( -44.6% )</t>
  </si>
  <si>
    <t>365000 ( 3.4% )</t>
  </si>
  <si>
    <t>47 ( 3.7% )</t>
  </si>
  <si>
    <t>-3532200 ( -32.1% )</t>
  </si>
  <si>
    <t>-429 ( -32.5% )</t>
  </si>
  <si>
    <t>-1670610 ( -22.3% )</t>
  </si>
  <si>
    <t>-173 ( -19.4% )</t>
  </si>
  <si>
    <t>2878290 ( 49.6% )</t>
  </si>
  <si>
    <t>213 ( 29.6% )</t>
  </si>
  <si>
    <t>6079140 ( 70.0% )</t>
  </si>
  <si>
    <t>678 ( 72.7% )</t>
  </si>
  <si>
    <t>-3347770 ( -22.7% )</t>
  </si>
  <si>
    <t>-339 ( -21.0% )</t>
  </si>
  <si>
    <t>20696540 ( 181.3% )</t>
  </si>
  <si>
    <t>1694 ( 133.2% )</t>
  </si>
  <si>
    <t>-2817520 ( -8.8% )</t>
  </si>
  <si>
    <t>-358 ( -12.1% )</t>
  </si>
  <si>
    <t>-4143200 ( -14.1% )</t>
  </si>
  <si>
    <t>-364 ( -14.0% )</t>
  </si>
  <si>
    <t>1119760 ( 4.5% )</t>
  </si>
  <si>
    <t>21 ( 0.9% )</t>
  </si>
  <si>
    <t>8013740 ( 30.5% )</t>
  </si>
  <si>
    <t>711 ( 31.4% )</t>
  </si>
  <si>
    <t>24248000 ( 70.7% )</t>
  </si>
  <si>
    <t>2295 ( 77.1% )</t>
  </si>
  <si>
    <t>-6883240 ( -11.8% )</t>
  </si>
  <si>
    <t>-681 ( -12.9% )</t>
  </si>
  <si>
    <t>-46594170 ( -90.2% )</t>
  </si>
  <si>
    <t>-3996 ( -87.1% )</t>
  </si>
  <si>
    <t>-3725240 ( -73.7% )</t>
  </si>
  <si>
    <t>-428 ( -72.1% )</t>
  </si>
  <si>
    <t>1588060 ( 119.4% )</t>
  </si>
  <si>
    <t>189 ( 113.9% )</t>
  </si>
  <si>
    <t>502790 ( 17.2% )</t>
  </si>
  <si>
    <t>66 ( 18.6% )</t>
  </si>
  <si>
    <t>120420 ( 3.5% )</t>
  </si>
  <si>
    <t>-43 ( -10.2% )</t>
  </si>
  <si>
    <t>2613560 ( 73.8% )</t>
  </si>
  <si>
    <t>329 ( 87.0% )</t>
  </si>
  <si>
    <t>-39100 ( -0.6% )</t>
  </si>
  <si>
    <t>3 ( 0.4% )</t>
  </si>
  <si>
    <t>-2246620 ( -36.7% )</t>
  </si>
  <si>
    <t>-233 ( -32.8% )</t>
  </si>
  <si>
    <t>-6830 ( -0.2% )</t>
  </si>
  <si>
    <t>-136670 ( -3.5% )</t>
  </si>
  <si>
    <t>-17 ( -3.5% )</t>
  </si>
  <si>
    <t>274950 ( 7.4% )</t>
  </si>
  <si>
    <t>31 ( 6.7% )</t>
  </si>
  <si>
    <t>1377750 ( 34.4% )</t>
  </si>
  <si>
    <t>90 ( 18.3% )</t>
  </si>
  <si>
    <t>2883380 ( 53.6% )</t>
  </si>
  <si>
    <t>354 ( 60.7% )</t>
  </si>
  <si>
    <t>487220 ( 5.9% )</t>
  </si>
  <si>
    <t>49 ( 5.2% )</t>
  </si>
  <si>
    <t>-4774860 ( -54.6% )</t>
  </si>
  <si>
    <t>-503 ( -51.0% )</t>
  </si>
  <si>
    <t>240250 ( 6.0% )</t>
  </si>
  <si>
    <t>19 ( 3.9% )</t>
  </si>
  <si>
    <t>■ '생일' 일자별 통계정보</t>
  </si>
  <si>
    <t>357545220 ( 100.0% )</t>
  </si>
  <si>
    <t>45516 ( 100.0% )</t>
  </si>
  <si>
    <t>-15549420 ( -4.3% )</t>
  </si>
  <si>
    <t>-1999 ( -4.4% )</t>
  </si>
  <si>
    <t>153463568 ( 44.9% )</t>
  </si>
  <si>
    <t>13796 ( 31.7% )</t>
  </si>
  <si>
    <t>487818045 ( 98.5% )</t>
  </si>
  <si>
    <t>56016 ( 97.7% )</t>
  </si>
  <si>
    <t>-67543323 ( -6.9% )</t>
  </si>
  <si>
    <t>-7970 ( -7.0% )</t>
  </si>
  <si>
    <t>-602164260 ( -65.8% )</t>
  </si>
  <si>
    <t>-66220 ( -62.9% )</t>
  </si>
  <si>
    <t>7214270 ( 2.3% )</t>
  </si>
  <si>
    <t>1093 ( 2.8% )</t>
  </si>
  <si>
    <t>19793310 ( 6.2% )</t>
  </si>
  <si>
    <t>3119 ( 7.8% )</t>
  </si>
  <si>
    <t>-85952580 ( -25.2% )</t>
  </si>
  <si>
    <t>-10827 ( -25.0% )</t>
  </si>
  <si>
    <t>137535400 ( 54.0% )</t>
  </si>
  <si>
    <t>14398 ( 44.3% )</t>
  </si>
  <si>
    <t>348687560 ( 88.9% )</t>
  </si>
  <si>
    <t>39107 ( 83.3% )</t>
  </si>
  <si>
    <t>110701560 ( 14.9% )</t>
  </si>
  <si>
    <t>12103 ( 14.1% )</t>
  </si>
  <si>
    <t>-614278350 ( -72.1% )</t>
  </si>
  <si>
    <t>-68023 ( -69.3% )</t>
  </si>
  <si>
    <t>90383830 ( 38.1% )</t>
  </si>
  <si>
    <t>12280 ( 40.8% )</t>
  </si>
  <si>
    <t>-72870690 ( -22.2% )</t>
  </si>
  <si>
    <t>-9850 ( -23.2% )</t>
  </si>
  <si>
    <t>-28013250 ( -11.0% )</t>
  </si>
  <si>
    <t>-3524 ( -10.8% )</t>
  </si>
  <si>
    <t>81141245 ( 35.8% )</t>
  </si>
  <si>
    <t>7831 ( 27.0% )</t>
  </si>
  <si>
    <t>291666859 ( 94.7% )</t>
  </si>
  <si>
    <t>33580 ( 91.1% )</t>
  </si>
  <si>
    <t>-59915784 ( -10.0% )</t>
  </si>
  <si>
    <t>-7384 ( -10.5% )</t>
  </si>
  <si>
    <t>-369014320 ( -68.4% )</t>
  </si>
  <si>
    <t>-41047 ( -65.1% )</t>
  </si>
  <si>
    <t>-3473940 ( -2.0% )</t>
  </si>
  <si>
    <t>-122 ( -0.6% )</t>
  </si>
  <si>
    <t>-60336280 ( -36.1% )</t>
  </si>
  <si>
    <t>-4213 ( -19.3% )</t>
  </si>
  <si>
    <t>-33981610 ( -31.8% )</t>
  </si>
  <si>
    <t>-8285 ( -46.9% )</t>
  </si>
  <si>
    <t>23161620 ( 31.8% )</t>
  </si>
  <si>
    <t>2135 ( 22.8% )</t>
  </si>
  <si>
    <t>-6146970 ( -6.4% )</t>
  </si>
  <si>
    <t>-752 ( -6.5% )</t>
  </si>
  <si>
    <t>-15366210 ( -17.1% )</t>
  </si>
  <si>
    <t>-1683 ( -15.6% )</t>
  </si>
  <si>
    <t>-28704510 ( -38.5% )</t>
  </si>
  <si>
    <t>-3065 ( -33.8% )</t>
  </si>
  <si>
    <t>20449460 ( 44.6% )</t>
  </si>
  <si>
    <t>2967 ( 49.4% )</t>
  </si>
  <si>
    <t>-43017140 ( -64.9% )</t>
  </si>
  <si>
    <t>-5588 ( -62.2% )</t>
  </si>
  <si>
    <t>-14583030 ( -62.8% )</t>
  </si>
  <si>
    <t>-2196 ( -64.8% )</t>
  </si>
  <si>
    <t>3805430 ( 44.0% )</t>
  </si>
  <si>
    <t>458 ( 38.4% )</t>
  </si>
  <si>
    <t>-5851100 ( -47.0% )</t>
  </si>
  <si>
    <t>-794 ( -48.1% )</t>
  </si>
  <si>
    <t>-1519480 ( -23.0% )</t>
  </si>
  <si>
    <t>-207 ( -24.2% )</t>
  </si>
  <si>
    <t>1104470 ( 21.7% )</t>
  </si>
  <si>
    <t>138 ( 21.2% )</t>
  </si>
  <si>
    <t>2483940 ( 40.1% )</t>
  </si>
  <si>
    <t>538 ( 68.3% )</t>
  </si>
  <si>
    <t>-4176560 ( -48.2% )</t>
  </si>
  <si>
    <t>-748 ( -56.4% )</t>
  </si>
  <si>
    <t>-2435980 ( -54.2% )</t>
  </si>
  <si>
    <t>-282 ( -48.8% )</t>
  </si>
  <si>
    <t>-1050000 ( -50.9% )</t>
  </si>
  <si>
    <t>-100 ( -33.8% )</t>
  </si>
  <si>
    <t>-405350 ( -40.1% )</t>
  </si>
  <si>
    <t>-103 ( -52.6% )</t>
  </si>
  <si>
    <t>-159150 ( -26.3% )</t>
  </si>
  <si>
    <t>-39 ( -41.9% )</t>
  </si>
  <si>
    <t>-300500 ( -67.3% )</t>
  </si>
  <si>
    <t>-34 ( -63.0% )</t>
  </si>
  <si>
    <t>233000 ( 159.6% )</t>
  </si>
  <si>
    <t>52 ( 260.0% )</t>
  </si>
  <si>
    <t>6070000 ( 1601.6% )</t>
  </si>
  <si>
    <t>777 ( 1079.2% )</t>
  </si>
  <si>
    <t>-5192000 ( -80.5% )</t>
  </si>
  <si>
    <t>-670 ( -78.9% )</t>
  </si>
  <si>
    <t>-500000 ( -39.8% )</t>
  </si>
  <si>
    <t>-29 ( -16.2% )</t>
  </si>
  <si>
    <t>-735000 ( -97.1% )</t>
  </si>
  <si>
    <t>-147 ( -98.0% )</t>
  </si>
  <si>
    <t>59000 ( 268.2% )</t>
  </si>
  <si>
    <t>7 ( 233.3% )</t>
  </si>
  <si>
    <t>-67000 ( -82.7% )</t>
  </si>
  <si>
    <t>34000 ( 242.9% )</t>
  </si>
  <si>
    <t>1367000 ( 2847.9% )</t>
  </si>
  <si>
    <t>216 ( 3600.0% )</t>
  </si>
  <si>
    <t>-569000 ( -40.2% )</t>
  </si>
  <si>
    <t>-81 ( -36.5% )</t>
  </si>
  <si>
    <t>330000 ( 39.0% )</t>
  </si>
  <si>
    <t>6 ( 4.3% )</t>
  </si>
  <si>
    <t>471000 ( 40.1% )</t>
  </si>
  <si>
    <t>134 ( 91.2% )</t>
  </si>
  <si>
    <t>-744000 ( -45.2% )</t>
  </si>
  <si>
    <t>-152 ( -54.1% )</t>
  </si>
  <si>
    <t>-898000 ( -99.4% )</t>
  </si>
  <si>
    <t>-128 ( -99.2% )</t>
  </si>
  <si>
    <t>175000 ( 100.0% )</t>
  </si>
  <si>
    <t>35 ( 100.0% )</t>
  </si>
  <si>
    <t>1362000 ( 100.0% )</t>
  </si>
  <si>
    <t>227 ( 100.0% )</t>
  </si>
  <si>
    <t>■ '샤잠!' 일자별 통계정보</t>
  </si>
  <si>
    <t>696444930 ( 2816.3% )</t>
  </si>
  <si>
    <t>84424 ( 3539.8% )</t>
  </si>
  <si>
    <t>-259028770 ( -35.9% )</t>
  </si>
  <si>
    <t>-31002 ( -35.7% )</t>
  </si>
  <si>
    <t>180261492 ( 39.0% )</t>
  </si>
  <si>
    <t>14869 ( 26.6% )</t>
  </si>
  <si>
    <t>800044147 ( 124.5% )</t>
  </si>
  <si>
    <t>89024 ( 126.0% )</t>
  </si>
  <si>
    <t>-337989669 ( -23.4% )</t>
  </si>
  <si>
    <t>-35229 ( -22.1% )</t>
  </si>
  <si>
    <t>-866594090 ( -78.5% )</t>
  </si>
  <si>
    <t>-95616 ( -76.8% )</t>
  </si>
  <si>
    <t>-39005560 ( -16.4% )</t>
  </si>
  <si>
    <t>-4961 ( -17.2% )</t>
  </si>
  <si>
    <t>-69171690 ( -34.8% )</t>
  </si>
  <si>
    <t>-8079 ( -33.8% )</t>
  </si>
  <si>
    <t>-53375030 ( -41.2% )</t>
  </si>
  <si>
    <t>-6844 ( -43.3% )</t>
  </si>
  <si>
    <t>39190557 ( 51.4% )</t>
  </si>
  <si>
    <t>4152 ( 46.3% )</t>
  </si>
  <si>
    <t>96828092 ( 83.8% )</t>
  </si>
  <si>
    <t>10609 ( 80.8% )</t>
  </si>
  <si>
    <t>-15805219 ( -7.4% )</t>
  </si>
  <si>
    <t>-1801 ( -7.6% )</t>
  </si>
  <si>
    <t>-161282010 ( -82.1% )</t>
  </si>
  <si>
    <t>-17724 ( -80.8% )</t>
  </si>
  <si>
    <t>-1892350 ( -5.4% )</t>
  </si>
  <si>
    <t>-188 ( -4.5% )</t>
  </si>
  <si>
    <t>-20441810 ( -61.3% )</t>
  </si>
  <si>
    <t>-2340 ( -58.2% )</t>
  </si>
  <si>
    <t>-1994280 ( -15.4% )</t>
  </si>
  <si>
    <t>-277 ( -16.5% )</t>
  </si>
  <si>
    <t>8050700 ( 73.7% )</t>
  </si>
  <si>
    <t>850 ( 60.6% )</t>
  </si>
  <si>
    <t>6561280 ( 34.6% )</t>
  </si>
  <si>
    <t>908 ( 40.3% )</t>
  </si>
  <si>
    <t>-7046620 ( -27.6% )</t>
  </si>
  <si>
    <t>-996 ( -31.5% )</t>
  </si>
  <si>
    <t>-13755140 ( -74.4% )</t>
  </si>
  <si>
    <t>-1588 ( -73.4% )</t>
  </si>
  <si>
    <t>562190 ( 11.9% )</t>
  </si>
  <si>
    <t>150 ( 26.0% )</t>
  </si>
  <si>
    <t>-5276150 ( -99.7% )</t>
  </si>
  <si>
    <t>-724 ( -99.7% )</t>
  </si>
  <si>
    <t>13000 ( 92.9% )</t>
  </si>
  <si>
    <t>598000 ( 2214.8% )</t>
  </si>
  <si>
    <t>113 ( 3766.7% )</t>
  </si>
  <si>
    <t>52000 ( 100.0% )</t>
  </si>
  <si>
    <t>-4000 ( -7.7% )</t>
  </si>
  <si>
    <t>1 ( 14.3% )</t>
  </si>
  <si>
    <t>-36000 ( -75.0% )</t>
  </si>
  <si>
    <t>-6 ( -75.0% )</t>
  </si>
  <si>
    <t>■ '헬보이' 일자별 통계정보</t>
  </si>
  <si>
    <t>291012020 ( 29939.5% )</t>
  </si>
  <si>
    <t>35940 ( 33277.8% )</t>
  </si>
  <si>
    <t>-64092570 ( -22.0% )</t>
  </si>
  <si>
    <t>-7801 ( -21.6% )</t>
  </si>
  <si>
    <t>71875793 ( 31.5% )</t>
  </si>
  <si>
    <t>5571 ( 19.7% )</t>
  </si>
  <si>
    <t>250554728 ( 83.6% )</t>
  </si>
  <si>
    <t>27372 ( 80.9% )</t>
  </si>
  <si>
    <t>-4680301 ( -0.9% )</t>
  </si>
  <si>
    <t>-616 ( -1.0% )</t>
  </si>
  <si>
    <t>-401342960 ( -73.6% )</t>
  </si>
  <si>
    <t>-42720 ( -70.5% )</t>
  </si>
  <si>
    <t>-33275620 ( -23.1% )</t>
  </si>
  <si>
    <t>-4128 ( -23.1% )</t>
  </si>
  <si>
    <t>-27149150 ( -24.5% )</t>
  </si>
  <si>
    <t>-3309 ( -24.1% )</t>
  </si>
  <si>
    <t>-17930980 ( -21.4% )</t>
  </si>
  <si>
    <t>-2179 ( -20.9% )</t>
  </si>
  <si>
    <t>22075390 ( 33.5% )</t>
  </si>
  <si>
    <t>1933 ( 23.5% )</t>
  </si>
  <si>
    <t>64115147 ( 72.8% )</t>
  </si>
  <si>
    <t>7180 ( 70.6% )</t>
  </si>
  <si>
    <t>-28817757 ( -18.9% )</t>
  </si>
  <si>
    <t>-3441 ( -19.8% )</t>
  </si>
  <si>
    <t>-84807290 ( -68.8% )</t>
  </si>
  <si>
    <t>-9069 ( -65.2% )</t>
  </si>
  <si>
    <t>-3356380 ( -8.7% )</t>
  </si>
  <si>
    <t>-474 ( -9.8% )</t>
  </si>
  <si>
    <t>-33436670 ( -95.1% )</t>
  </si>
  <si>
    <t>-4096 ( -93.8% )</t>
  </si>
  <si>
    <t>-1120100 ( -65.3% )</t>
  </si>
  <si>
    <t>-198 ( -73.1% )</t>
  </si>
  <si>
    <t>469830 ( 78.9% )</t>
  </si>
  <si>
    <t>44 ( 60.3% )</t>
  </si>
  <si>
    <t>-273130 ( -25.6% )</t>
  </si>
  <si>
    <t>-23 ( -19.7% )</t>
  </si>
  <si>
    <t>32600 ( 4.1% )</t>
  </si>
  <si>
    <t>5 ( 5.3% )</t>
  </si>
  <si>
    <t>-225220 ( -27.3% )</t>
  </si>
  <si>
    <t>-21 ( -21.2% )</t>
  </si>
  <si>
    <t>1628970 ( 271.8% )</t>
  </si>
  <si>
    <t>177 ( 226.9% )</t>
  </si>
  <si>
    <t>2355650 ( 105.7% )</t>
  </si>
  <si>
    <t>318 ( 124.7% )</t>
  </si>
  <si>
    <t>-1357000 ( -29.6% )</t>
  </si>
  <si>
    <t>-168 ( -29.3% )</t>
  </si>
  <si>
    <t>-3219000 ( -99.8% )</t>
  </si>
  <si>
    <t>-404 ( -99.8% )</t>
  </si>
  <si>
    <t>60000 ( 100.0% )</t>
  </si>
  <si>
    <t>-28000 ( -46.7% )</t>
  </si>
  <si>
    <t>-3 ( -42.9% )</t>
  </si>
  <si>
    <t>■ '뽀로로 극장판 보물섬 대모험' 일자별 통계정보</t>
  </si>
  <si>
    <t>15000 ( 100.0% )</t>
  </si>
  <si>
    <t>113234440 ( 754896.3% )</t>
  </si>
  <si>
    <t>16257 ( 541900.0% )</t>
  </si>
  <si>
    <t>13777080 ( 12.2% )</t>
  </si>
  <si>
    <t>-309 ( -1.9% )</t>
  </si>
  <si>
    <t>794050130 ( 625.1% )</t>
  </si>
  <si>
    <t>101821 ( 638.3% )</t>
  </si>
  <si>
    <t>42167920 ( 4.6% )</t>
  </si>
  <si>
    <t>4941 ( 4.2% )</t>
  </si>
  <si>
    <t>-892851640 ( -92.7% )</t>
  </si>
  <si>
    <t>-113066 ( -92.1% )</t>
  </si>
  <si>
    <t>6230060 ( 8.9% )</t>
  </si>
  <si>
    <t>1070 ( 11.1% )</t>
  </si>
  <si>
    <t>653976160 ( 853.5% )</t>
  </si>
  <si>
    <t>91664 ( 855.3% )</t>
  </si>
  <si>
    <t>-658913590 ( -90.2% )</t>
  </si>
  <si>
    <t>-91911 ( -89.8% )</t>
  </si>
  <si>
    <t>38516760 ( 53.7% )</t>
  </si>
  <si>
    <t>5480 ( 52.3% )</t>
  </si>
  <si>
    <t>487565610 ( 442.4% )</t>
  </si>
  <si>
    <t>59671 ( 374.1% )</t>
  </si>
  <si>
    <t>47327380 ( 7.9% )</t>
  </si>
  <si>
    <t>4867 ( 6.4% )</t>
  </si>
  <si>
    <t>-21525570 ( -3.3% )</t>
  </si>
  <si>
    <t>-1183 ( -1.5% )</t>
  </si>
  <si>
    <t>-580967580 ( -93.2% )</t>
  </si>
  <si>
    <t>-73284 ( -92.4% )</t>
  </si>
  <si>
    <t>-17735080 ( -41.6% )</t>
  </si>
  <si>
    <t>-2555 ( -42.4% )</t>
  </si>
  <si>
    <t>-4798080 ( -19.3% )</t>
  </si>
  <si>
    <t>-459 ( -13.2% )</t>
  </si>
  <si>
    <t>4059520 ( 20.2% )</t>
  </si>
  <si>
    <t>390 ( 13.0% )</t>
  </si>
  <si>
    <t>158808590 ( 658.2% )</t>
  </si>
  <si>
    <t>19885 ( 585.4% )</t>
  </si>
  <si>
    <t>-4317190 ( -2.4% )</t>
  </si>
  <si>
    <t>-627 ( -2.7% )</t>
  </si>
  <si>
    <t>-167427940 ( -93.7% )</t>
  </si>
  <si>
    <t>-21076 ( -93.0% )</t>
  </si>
  <si>
    <t>2473320 ( 22.1% )</t>
  </si>
  <si>
    <t>393 ( 24.9% )</t>
  </si>
  <si>
    <t>-4155900 ( -30.4% )</t>
  </si>
  <si>
    <t>-581 ( -29.5% )</t>
  </si>
  <si>
    <t>-3493840 ( -36.7% )</t>
  </si>
  <si>
    <t>-478 ( -34.4% )</t>
  </si>
  <si>
    <t>3297050 ( 54.8% )</t>
  </si>
  <si>
    <t>429 ( 47.0% )</t>
  </si>
  <si>
    <t>78495790 ( 842.9% )</t>
  </si>
  <si>
    <t>9711 ( 723.6% )</t>
  </si>
  <si>
    <t>15326500 ( 17.5% )</t>
  </si>
  <si>
    <t>1782 ( 16.1% )</t>
  </si>
  <si>
    <t>-98304420 ( -95.3% )</t>
  </si>
  <si>
    <t>-12133 ( -94.5% )</t>
  </si>
  <si>
    <t>-1129680 ( -23.4% )</t>
  </si>
  <si>
    <t>-182 ( -25.9% )</t>
  </si>
  <si>
    <t>720900 ( 19.5% )</t>
  </si>
  <si>
    <t>152 ( 29.2% )</t>
  </si>
  <si>
    <t>-2947200 ( -66.7% )</t>
  </si>
  <si>
    <t>-454 ( -67.6% )</t>
  </si>
  <si>
    <t>1768800 ( 120.0% )</t>
  </si>
  <si>
    <t>266 ( 122.0% )</t>
  </si>
  <si>
    <t>18965610 ( 584.8% )</t>
  </si>
  <si>
    <t>2286 ( 472.3% )</t>
  </si>
  <si>
    <t>-144370 ( -0.7% )</t>
  </si>
  <si>
    <t>-67 ( -2.4% )</t>
  </si>
  <si>
    <t>-20696340 ( -93.8% )</t>
  </si>
  <si>
    <t>-2518 ( -93.2% )</t>
  </si>
  <si>
    <t>424880 ( 31.1% )</t>
  </si>
  <si>
    <t>89 ( 48.1% )</t>
  </si>
  <si>
    <t>-146580 ( -8.2% )</t>
  </si>
  <si>
    <t>20 ( 7.3% )</t>
  </si>
  <si>
    <t>-245400 ( -14.9% )</t>
  </si>
  <si>
    <t>-67 ( -22.8% )</t>
  </si>
  <si>
    <t>-436620 ( -31.2% )</t>
  </si>
  <si>
    <t>-76 ( -33.5% )</t>
  </si>
  <si>
    <t>3863720 ( 400.6% )</t>
  </si>
  <si>
    <t>460 ( 304.6% )</t>
  </si>
  <si>
    <t>-23320 ( -0.5% )</t>
  </si>
  <si>
    <t>8 ( 1.3% )</t>
  </si>
  <si>
    <t>-3999880 ( -83.2% )</t>
  </si>
  <si>
    <t>-500 ( -80.8% )</t>
  </si>
  <si>
    <t>-37000 ( -4.6% )</t>
  </si>
  <si>
    <t>17 ( 14.3% )</t>
  </si>
  <si>
    <t>15300 ( 2.0% )</t>
  </si>
  <si>
    <t>8 ( 5.9% )</t>
  </si>
  <si>
    <t>317780 ( 40.6% )</t>
  </si>
  <si>
    <t>15 ( 10.4% )</t>
  </si>
  <si>
    <t>804820 ( 73.1% )</t>
  </si>
  <si>
    <t>180 ( 113.2% )</t>
  </si>
  <si>
    <t>-1138600 ( -59.7% )</t>
  </si>
  <si>
    <t>-237 ( -69.9% )</t>
  </si>
  <si>
    <t>18600 ( 2.4% )</t>
  </si>
  <si>
    <t>8 ( 7.8% )</t>
  </si>
  <si>
    <t>-672900 ( -85.6% )</t>
  </si>
  <si>
    <t>-93 ( -84.5% )</t>
  </si>
  <si>
    <t>918000 ( 812.4% )</t>
  </si>
  <si>
    <t>169 ( 994.1% )</t>
  </si>
  <si>
    <t>288000 ( 27.9% )</t>
  </si>
  <si>
    <t>68 ( 36.6% )</t>
  </si>
  <si>
    <t>-314000 ( -23.8% )</t>
  </si>
  <si>
    <t>-55 ( -21.7% )</t>
  </si>
  <si>
    <t>-552000 ( -54.9% )</t>
  </si>
  <si>
    <t>-118 ( -59.3% )</t>
  </si>
  <si>
    <t>111000 ( 24.5% )</t>
  </si>
  <si>
    <t>-5 ( -6.2% )</t>
  </si>
  <si>
    <t>-93000 ( -16.5% )</t>
  </si>
  <si>
    <t>-12 ( -15.8% )</t>
  </si>
  <si>
    <t>-129000 ( -27.4% )</t>
  </si>
  <si>
    <t>-16 ( -25.0% )</t>
  </si>
  <si>
    <t>-160000 ( -46.8% )</t>
  </si>
  <si>
    <t>-25 ( -52.1% )</t>
  </si>
  <si>
    <t>-61000 ( -33.5% )</t>
  </si>
  <si>
    <t>-100000 ( -82.6% )</t>
  </si>
  <si>
    <t>-15 ( -83.3% )</t>
  </si>
  <si>
    <t>470000 ( 2238.1% )</t>
  </si>
  <si>
    <t>90 ( 3000.0% )</t>
  </si>
  <si>
    <t>-293000 ( -59.7% )</t>
  </si>
  <si>
    <t>-67 ( -72.0% )</t>
  </si>
  <si>
    <t>41000 ( 20.7% )</t>
  </si>
  <si>
    <t>6 ( 23.1% )</t>
  </si>
  <si>
    <t>-139000 ( -58.2% )</t>
  </si>
  <si>
    <t>-12 ( -37.5% )</t>
  </si>
  <si>
    <t>-93000 ( -93.0% )</t>
  </si>
  <si>
    <t>-19 ( -95.0% )</t>
  </si>
  <si>
    <t>93000 ( 1328.6% )</t>
  </si>
  <si>
    <t>19 ( 1900.0% )</t>
  </si>
  <si>
    <t>2357000 ( 2357.0% )</t>
  </si>
  <si>
    <t>253 ( 1265.0% )</t>
  </si>
  <si>
    <t>-2157000 ( -87.8% )</t>
  </si>
  <si>
    <t>-221 ( -81.0% )</t>
  </si>
  <si>
    <t>-5000 ( -1.7% )</t>
  </si>
  <si>
    <t>-159000 ( -53.9% )</t>
  </si>
  <si>
    <t>-22 ( -52.4% )</t>
  </si>
  <si>
    <t>234000 ( 100.0% )</t>
  </si>
  <si>
    <t>-157000 ( -67.1% )</t>
  </si>
  <si>
    <t>-28 ( -71.8% )</t>
  </si>
  <si>
    <t>514000 ( 667.5% )</t>
  </si>
  <si>
    <t>105 ( 954.5% )</t>
  </si>
  <si>
    <t>-272000 ( -46.0% )</t>
  </si>
  <si>
    <t>-70 ( -60.3% )</t>
  </si>
  <si>
    <t>-121300 ( -38.0% )</t>
  </si>
  <si>
    <t>-20 ( -43.5% )</t>
  </si>
  <si>
    <t>-167700 ( -84.8% )</t>
  </si>
  <si>
    <t>281000 ( 936.7% )</t>
  </si>
  <si>
    <t>54 ( 1080.0% )</t>
  </si>
  <si>
    <t>225000 ( 72.3% )</t>
  </si>
  <si>
    <t>30 ( 50.8% )</t>
  </si>
  <si>
    <t>-57000 ( -10.6% )</t>
  </si>
  <si>
    <t>-10 ( -11.2% )</t>
  </si>
  <si>
    <t>-49000 ( -10.2% )</t>
  </si>
  <si>
    <t>■ '미성년' 일자별 통계정보</t>
  </si>
  <si>
    <t>188304540 ( 186440.1% )</t>
  </si>
  <si>
    <t>23337 ( 116685.0% )</t>
  </si>
  <si>
    <t>66125040 ( 35.1% )</t>
  </si>
  <si>
    <t>5461 ( 23.4% )</t>
  </si>
  <si>
    <t>114649890 ( 45.0% )</t>
  </si>
  <si>
    <t>12791 ( 44.4% )</t>
  </si>
  <si>
    <t>19099580 ( 5.2% )</t>
  </si>
  <si>
    <t>1942 ( 4.7% )</t>
  </si>
  <si>
    <t>-257731770 ( -66.4% )</t>
  </si>
  <si>
    <t>-27322 ( -62.7% )</t>
  </si>
  <si>
    <t>-11266100 ( -8.6% )</t>
  </si>
  <si>
    <t>-1212 ( -7.5% )</t>
  </si>
  <si>
    <t>-20686730 ( -17.3% )</t>
  </si>
  <si>
    <t>-2714 ( -18.1% )</t>
  </si>
  <si>
    <t>-14654240 ( -14.9% )</t>
  </si>
  <si>
    <t>-1940 ( -15.8% )</t>
  </si>
  <si>
    <t>24687000 ( 29.4% )</t>
  </si>
  <si>
    <t>2066 ( 19.9% )</t>
  </si>
  <si>
    <t>73788380 ( 67.9% )</t>
  </si>
  <si>
    <t>8238 ( 66.3% )</t>
  </si>
  <si>
    <t>-10788540 ( -5.9% )</t>
  </si>
  <si>
    <t>-1162 ( -5.6% )</t>
  </si>
  <si>
    <t>-96876930 ( -56.4% )</t>
  </si>
  <si>
    <t>-10221 ( -52.4% )</t>
  </si>
  <si>
    <t>5516310 ( 7.4% )</t>
  </si>
  <si>
    <t>860 ( 9.3% )</t>
  </si>
  <si>
    <t>-59697590 ( -74.4% )</t>
  </si>
  <si>
    <t>-6829 ( -67.3% )</t>
  </si>
  <si>
    <t>-5062310 ( -24.6% )</t>
  </si>
  <si>
    <t>-1320 ( -39.8% )</t>
  </si>
  <si>
    <t>6355210 ( 41.0% )</t>
  </si>
  <si>
    <t>499 ( 25.0% )</t>
  </si>
  <si>
    <t>-2975250 ( -13.6% )</t>
  </si>
  <si>
    <t>-205 ( -8.2% )</t>
  </si>
  <si>
    <t>-5013480 ( -26.5% )</t>
  </si>
  <si>
    <t>-606 ( -26.5% )</t>
  </si>
  <si>
    <t>-2566200 ( -18.5% )</t>
  </si>
  <si>
    <t>-201 ( -11.9% )</t>
  </si>
  <si>
    <t>8481770 ( 75.0% )</t>
  </si>
  <si>
    <t>1054 ( 71.1% )</t>
  </si>
  <si>
    <t>-6176250 ( -31.2% )</t>
  </si>
  <si>
    <t>-724 ( -28.5% )</t>
  </si>
  <si>
    <t>-8733830 ( -64.2% )</t>
  </si>
  <si>
    <t>-1183 ( -65.3% )</t>
  </si>
  <si>
    <t>1468670 ( 30.1% )</t>
  </si>
  <si>
    <t>135 ( 21.5% )</t>
  </si>
  <si>
    <t>1569510 ( 24.7% )</t>
  </si>
  <si>
    <t>117 ( 15.3% )</t>
  </si>
  <si>
    <t>-140280 ( -1.8% )</t>
  </si>
  <si>
    <t>5 ( 0.6% )</t>
  </si>
  <si>
    <t>543460 ( 7.0% )</t>
  </si>
  <si>
    <t>64 ( 7.2% )</t>
  </si>
  <si>
    <t>-4553270 ( -54.7% )</t>
  </si>
  <si>
    <t>-486 ( -51.2% )</t>
  </si>
  <si>
    <t>401440 ( 10.7% )</t>
  </si>
  <si>
    <t>58 ( 12.5% )</t>
  </si>
  <si>
    <t>-2852350 ( -68.4% )</t>
  </si>
  <si>
    <t>-362 ( -69.3% )</t>
  </si>
  <si>
    <t>993130 ( 75.4% )</t>
  </si>
  <si>
    <t>90 ( 56.3% )</t>
  </si>
  <si>
    <t>1224450 ( 53.0% )</t>
  </si>
  <si>
    <t>144 ( 57.6% )</t>
  </si>
  <si>
    <t>-489920 ( -13.9% )</t>
  </si>
  <si>
    <t>-51 ( -12.9% )</t>
  </si>
  <si>
    <t>-1742250 ( -57.2% )</t>
  </si>
  <si>
    <t>-178 ( -51.9% )</t>
  </si>
  <si>
    <t>-271130 ( -20.8% )</t>
  </si>
  <si>
    <t>-36 ( -21.8% )</t>
  </si>
  <si>
    <t>-30980 ( -3.0% )</t>
  </si>
  <si>
    <t>-8 ( -6.2% )</t>
  </si>
  <si>
    <t>-621500 ( -62.2% )</t>
  </si>
  <si>
    <t>-74 ( -61.2% )</t>
  </si>
  <si>
    <t>389020 ( 102.8% )</t>
  </si>
  <si>
    <t>37 ( 78.7% )</t>
  </si>
  <si>
    <t>356980 ( 46.5% )</t>
  </si>
  <si>
    <t>37 ( 44.0% )</t>
  </si>
  <si>
    <t>-245480 ( -21.8% )</t>
  </si>
  <si>
    <t>-26 ( -21.5% )</t>
  </si>
  <si>
    <t>-467350 ( -53.2% )</t>
  </si>
  <si>
    <t>-6 ( -6.3% )</t>
  </si>
  <si>
    <t>1961850 ( 476.6% )</t>
  </si>
  <si>
    <t>353 ( 396.6% )</t>
  </si>
  <si>
    <t>-1813500 ( -76.4% )</t>
  </si>
  <si>
    <t>-366 ( -82.8% )</t>
  </si>
  <si>
    <t>231000 ( 41.3% )</t>
  </si>
  <si>
    <t>64 ( 84.2% )</t>
  </si>
  <si>
    <t>-280000 ( -35.4% )</t>
  </si>
  <si>
    <t>-59 ( -42.1% )</t>
  </si>
  <si>
    <t>7000 ( 1.4% )</t>
  </si>
  <si>
    <t>-35 ( -43.2% )</t>
  </si>
  <si>
    <t>-57000 ( -11.0% )</t>
  </si>
  <si>
    <t>-1 ( -2.2% )</t>
  </si>
  <si>
    <t>134000 ( 29.1% )</t>
  </si>
  <si>
    <t>73 ( 162.2% )</t>
  </si>
  <si>
    <t>-146000 ( -24.5% )</t>
  </si>
  <si>
    <t>-52 ( -44.1% )</t>
  </si>
  <si>
    <t>-316000 ( -70.4% )</t>
  </si>
  <si>
    <t>-51 ( -77.3% )</t>
  </si>
  <si>
    <t>■ '요로나의 저주' 일자별 통계정보</t>
  </si>
  <si>
    <t>196720890 ( 12857.6% )</t>
  </si>
  <si>
    <t>23310 ( 13711.8% )</t>
  </si>
  <si>
    <t>-28258440 ( -14.3% )</t>
  </si>
  <si>
    <t>-3272 ( -13.9% )</t>
  </si>
  <si>
    <t>87052975 ( 51.2% )</t>
  </si>
  <si>
    <t>8034 ( 39.8% )</t>
  </si>
  <si>
    <t>187441301 ( 72.9% )</t>
  </si>
  <si>
    <t>20395 ( 72.2% )</t>
  </si>
  <si>
    <t>-98754766 ( -22.2% )</t>
  </si>
  <si>
    <t>-10985 ( -22.6% )</t>
  </si>
  <si>
    <t>-239510590 ( -69.3% )</t>
  </si>
  <si>
    <t>-24847 ( -66.0% )</t>
  </si>
  <si>
    <t>-16244260 ( -15.3% )</t>
  </si>
  <si>
    <t>-2067 ( -16.1% )</t>
  </si>
  <si>
    <t>-69839560 ( -77.6% )</t>
  </si>
  <si>
    <t>-7725 ( -71.9% )</t>
  </si>
  <si>
    <t>-2606630 ( -12.9% )</t>
  </si>
  <si>
    <t>-932 ( -30.9% )</t>
  </si>
  <si>
    <t>8165820 ( 46.6% )</t>
  </si>
  <si>
    <t>724 ( 34.8% )</t>
  </si>
  <si>
    <t>-1658250 ( -6.5% )</t>
  </si>
  <si>
    <t>-82 ( -2.9% )</t>
  </si>
  <si>
    <t>-7789320 ( -32.4% )</t>
  </si>
  <si>
    <t>-823 ( -30.2% )</t>
  </si>
  <si>
    <t>-7872360 ( -48.4% )</t>
  </si>
  <si>
    <t>-848 ( -44.6% )</t>
  </si>
  <si>
    <t>1844840 ( 22.0% )</t>
  </si>
  <si>
    <t>301 ( 28.6% )</t>
  </si>
  <si>
    <t>-8796050 ( -86.1% )</t>
  </si>
  <si>
    <t>-1172 ( -86.6% )</t>
  </si>
  <si>
    <t>530960 ( 37.2% )</t>
  </si>
  <si>
    <t>135 ( 74.6% )</t>
  </si>
  <si>
    <t>-369960 ( -18.9% )</t>
  </si>
  <si>
    <t>-103 ( -32.6% )</t>
  </si>
  <si>
    <t>-793100 ( -50.0% )</t>
  </si>
  <si>
    <t>-119 ( -55.9% )</t>
  </si>
  <si>
    <t>178500 ( 22.5% )</t>
  </si>
  <si>
    <t>22 ( 23.4% )</t>
  </si>
  <si>
    <t>-273700 ( -28.2% )</t>
  </si>
  <si>
    <t>-32 ( -27.6% )</t>
  </si>
  <si>
    <t>91800 ( 13.1% )</t>
  </si>
  <si>
    <t>14 ( 16.7% )</t>
  </si>
  <si>
    <t>-313100 ( -39.6% )</t>
  </si>
  <si>
    <t>-39 ( -39.8% )</t>
  </si>
  <si>
    <t>-417000 ( -87.4% )</t>
  </si>
  <si>
    <t>-51 ( -86.4% )</t>
  </si>
  <si>
    <t>25500 ( 42.5% )</t>
  </si>
  <si>
    <t>2 ( 25.0% )</t>
  </si>
  <si>
    <t>67300 ( 78.7% )</t>
  </si>
  <si>
    <t>6 ( 60.0% )</t>
  </si>
  <si>
    <t>-12800 ( -8.4% )</t>
  </si>
  <si>
    <t>-89000 ( -63.6% )</t>
  </si>
  <si>
    <t>-9 ( -56.3% )</t>
  </si>
  <si>
    <t>-15000 ( -29.4% )</t>
  </si>
  <si>
    <t>8174000 ( 100.0% )</t>
  </si>
  <si>
    <t>1000 ( 100.0% )</t>
  </si>
  <si>
    <t>8000000 ( 100.0% )</t>
  </si>
  <si>
    <t>■ '공포의 묘지' 일자별 통계정보</t>
  </si>
  <si>
    <r>
      <t xml:space="preserve">- </t>
    </r>
    <r>
      <rPr>
        <b/>
        <sz val="9"/>
        <color rgb="FF000000"/>
        <rFont val="맑은 고딕"/>
        <family val="3"/>
        <charset val="129"/>
        <scheme val="minor"/>
      </rPr>
      <t>조회일</t>
    </r>
    <r>
      <rPr>
        <sz val="9"/>
        <color rgb="FF000000"/>
        <rFont val="맑은 고딕"/>
        <family val="3"/>
        <charset val="129"/>
        <scheme val="minor"/>
      </rPr>
      <t>: 2019-07-18</t>
    </r>
  </si>
  <si>
    <t>160000 ( 100.0% )</t>
  </si>
  <si>
    <t>156593270 ( 100.0% )</t>
  </si>
  <si>
    <t>18905 ( 100.0% )</t>
  </si>
  <si>
    <t>-50953020 ( -32.5% )</t>
  </si>
  <si>
    <t>-6215 ( -32.9% )</t>
  </si>
  <si>
    <t>29568327 ( 28.0% )</t>
  </si>
  <si>
    <t>2287 ( 18.0% )</t>
  </si>
  <si>
    <t>63653802 ( 47.1% )</t>
  </si>
  <si>
    <t>7120 ( 47.5% )</t>
  </si>
  <si>
    <t>-37098179 ( -18.7% )</t>
  </si>
  <si>
    <t>-4239 ( -19.2% )</t>
  </si>
  <si>
    <t>-115655440 ( -71.5% )</t>
  </si>
  <si>
    <t>-12350 ( -69.2% )</t>
  </si>
  <si>
    <t>-12633180 ( -27.4% )</t>
  </si>
  <si>
    <t>-1474 ( -26.8% )</t>
  </si>
  <si>
    <t>-24398340 ( -72.9% )</t>
  </si>
  <si>
    <t>-2925 ( -72.5% )</t>
  </si>
  <si>
    <t>-4511190 ( -49.7% )</t>
  </si>
  <si>
    <t>-547 ( -49.3% )</t>
  </si>
  <si>
    <t>3002690 ( 65.8% )</t>
  </si>
  <si>
    <t>322 ( 57.3% )</t>
  </si>
  <si>
    <t>1490680 ( 19.7% )</t>
  </si>
  <si>
    <t>134 ( 15.2% )</t>
  </si>
  <si>
    <t>-1815290 ( -20.0% )</t>
  </si>
  <si>
    <t>-175 ( -17.2% )</t>
  </si>
  <si>
    <t>-4649790 ( -64.2% )</t>
  </si>
  <si>
    <t>-526 ( -62.4% )</t>
  </si>
  <si>
    <t>660160 ( 25.4% )</t>
  </si>
  <si>
    <t>87 ( 27.4% )</t>
  </si>
  <si>
    <t>-3084500 ( -94.8% )</t>
  </si>
  <si>
    <t>-375 ( -92.8% )</t>
  </si>
  <si>
    <t>3300 ( 1.9% )</t>
  </si>
  <si>
    <t>-8300 ( -4.8% )</t>
  </si>
  <si>
    <t>-3 ( -15.0% )</t>
  </si>
  <si>
    <t>-57000 ( -34.5% )</t>
  </si>
  <si>
    <t>-69700 ( -64.5% )</t>
  </si>
  <si>
    <t>-1800 ( -4.7% )</t>
  </si>
  <si>
    <t>86500 ( 237.0% )</t>
  </si>
  <si>
    <t>10 ( 200.0% )</t>
  </si>
  <si>
    <t>3097300 ( 100.0% )</t>
  </si>
  <si>
    <t>398 ( 100.0% )</t>
  </si>
  <si>
    <t>-1708300 ( -55.2% )</t>
  </si>
  <si>
    <t>-220 ( -55.3% )</t>
  </si>
  <si>
    <t>2613000 ( 100.0% )</t>
  </si>
  <si>
    <t>335 ( 100.0% )</t>
  </si>
  <si>
    <t>■ '크게 될 놈' 일자별 통계정보</t>
  </si>
  <si>
    <t>151 ( 100.0% )</t>
  </si>
  <si>
    <t>1356000 ( 100.0% )</t>
  </si>
  <si>
    <t>226 ( 100.0% )</t>
  </si>
  <si>
    <t>108193550 ( 100.0% )</t>
  </si>
  <si>
    <t>14535 ( 100.0% )</t>
  </si>
  <si>
    <t>-5752820 ( -5.3% )</t>
  </si>
  <si>
    <t>-1772 ( -12.2% )</t>
  </si>
  <si>
    <t>42928010 ( 41.9% )</t>
  </si>
  <si>
    <t>4906 ( 38.4% )</t>
  </si>
  <si>
    <t>-14997890 ( -10.3% )</t>
  </si>
  <si>
    <t>-2193 ( -12.4% )</t>
  </si>
  <si>
    <t>-70249630 ( -53.9% )</t>
  </si>
  <si>
    <t>-7495 ( -48.4% )</t>
  </si>
  <si>
    <t>12127320 ( 20.2% )</t>
  </si>
  <si>
    <t>1804 ( 22.6% )</t>
  </si>
  <si>
    <t>-52911940 ( -73.2% )</t>
  </si>
  <si>
    <t>-6663 ( -68.1% )</t>
  </si>
  <si>
    <t>-5444960 ( -28.2% )</t>
  </si>
  <si>
    <t>-1130 ( -36.2% )</t>
  </si>
  <si>
    <t>1485190 ( 10.7% )</t>
  </si>
  <si>
    <t>174 ( 8.7% )</t>
  </si>
  <si>
    <t>-1736530 ( -11.3% )</t>
  </si>
  <si>
    <t>-402 ( -18.6% )</t>
  </si>
  <si>
    <t>-4464880 ( -32.7% )</t>
  </si>
  <si>
    <t>-526 ( -29.8% )</t>
  </si>
  <si>
    <t>2414600 ( 26.3% )</t>
  </si>
  <si>
    <t>391 ( 31.6% )</t>
  </si>
  <si>
    <t>-1017130 ( -8.8% )</t>
  </si>
  <si>
    <t>-107 ( -6.6% )</t>
  </si>
  <si>
    <t>-8331330 ( -78.8% )</t>
  </si>
  <si>
    <t>-1190 ( -78.2% )</t>
  </si>
  <si>
    <t>505490 ( 22.6% )</t>
  </si>
  <si>
    <t>95 ( 28.6% )</t>
  </si>
  <si>
    <t>272750 ( 9.9% )</t>
  </si>
  <si>
    <t>9 ( 2.1% )</t>
  </si>
  <si>
    <t>-1181220 ( -39.1% )</t>
  </si>
  <si>
    <t>-187 ( -42.9% )</t>
  </si>
  <si>
    <t>-774980 ( -42.2% )</t>
  </si>
  <si>
    <t>-116 ( -46.6% )</t>
  </si>
  <si>
    <t>1153200 ( 108.4% )</t>
  </si>
  <si>
    <t>210 ( 157.9% )</t>
  </si>
  <si>
    <t>1423000 ( 64.2% )</t>
  </si>
  <si>
    <t>212 ( 61.8% )</t>
  </si>
  <si>
    <t>1162000 ( 31.9% )</t>
  </si>
  <si>
    <t>166 ( 29.9% )</t>
  </si>
  <si>
    <t>-594300 ( -12.4% )</t>
  </si>
  <si>
    <t>-48 ( -6.7% )</t>
  </si>
  <si>
    <t>-542300 ( -12.9% )</t>
  </si>
  <si>
    <t>-67 ( -10.0% )</t>
  </si>
  <si>
    <t>-1207900 ( -33.0% )</t>
  </si>
  <si>
    <t>-263 ( -43.4% )</t>
  </si>
  <si>
    <t>-1474900 ( -60.0% )</t>
  </si>
  <si>
    <t>-208 ( -60.6% )</t>
  </si>
  <si>
    <t>1384600 ( 140.9% )</t>
  </si>
  <si>
    <t>283 ( 209.6% )</t>
  </si>
  <si>
    <t>-1701300 ( -71.9% )</t>
  </si>
  <si>
    <t>-315 ( -75.4% )</t>
  </si>
  <si>
    <t>-441700 ( -66.4% )</t>
  </si>
  <si>
    <t>-67 ( -65.0% )</t>
  </si>
  <si>
    <t>841000 ( 375.4% )</t>
  </si>
  <si>
    <t>159 ( 441.7% )</t>
  </si>
  <si>
    <t>-580000 ( -54.5% )</t>
  </si>
  <si>
    <t>-104 ( -53.3% )</t>
  </si>
  <si>
    <t>-307000 ( -63.3% )</t>
  </si>
  <si>
    <t>-61 ( -67.0% )</t>
  </si>
  <si>
    <t>1095000 ( 21900.0% )</t>
  </si>
  <si>
    <t>154 ( 15400.0% )</t>
  </si>
  <si>
    <t>-1095000 ( -99.5% )</t>
  </si>
  <si>
    <t>-154 ( -99.4% )</t>
  </si>
  <si>
    <t>828000 ( 100.0% )</t>
  </si>
  <si>
    <t>138 ( 100.0% )</t>
  </si>
  <si>
    <t>172000 ( 20.8% )</t>
  </si>
  <si>
    <t>62 ( 44.9% )</t>
  </si>
  <si>
    <t>-100000 ( -10.0% )</t>
  </si>
  <si>
    <t>-50 ( -25.0% )</t>
  </si>
  <si>
    <t>745000 ( 100.0% )</t>
  </si>
  <si>
    <t>149 ( 100.0% )</t>
  </si>
  <si>
    <t>960000 ( 128.9% )</t>
  </si>
  <si>
    <t>132 ( 88.6% )</t>
  </si>
  <si>
    <t>2500000 ( 100.0% )</t>
  </si>
  <si>
    <t>500 ( 100.0% )</t>
  </si>
  <si>
    <t>■ '아이 엠 마더' 일자별 통계정보</t>
  </si>
  <si>
    <t>68726200 ( 100.0% )</t>
  </si>
  <si>
    <t>9013 ( 100.0% )</t>
  </si>
  <si>
    <t>7601700 ( 11.1% )</t>
  </si>
  <si>
    <t>146 ( 1.6% )</t>
  </si>
  <si>
    <t>64990700 ( 85.1% )</t>
  </si>
  <si>
    <t>6949 ( 75.9% )</t>
  </si>
  <si>
    <t>14427700 ( 10.2% )</t>
  </si>
  <si>
    <t>1556 ( 9.7% )</t>
  </si>
  <si>
    <t>-110965100 ( -71.2% )</t>
  </si>
  <si>
    <t>-11761 ( -66.6% )</t>
  </si>
  <si>
    <t>-8356500 ( -18.7% )</t>
  </si>
  <si>
    <t>-1273 ( -21.6% )</t>
  </si>
  <si>
    <t>-9740600 ( -26.7% )</t>
  </si>
  <si>
    <t>-1195 ( -25.8% )</t>
  </si>
  <si>
    <t>-6264000 ( -23.5% )</t>
  </si>
  <si>
    <t>-814 ( -23.7% )</t>
  </si>
  <si>
    <t>12602800 ( 61.7% )</t>
  </si>
  <si>
    <t>1327 ( 50.6% )</t>
  </si>
  <si>
    <t>15023600 ( 45.5% )</t>
  </si>
  <si>
    <t>1532 ( 38.8% )</t>
  </si>
  <si>
    <t>1893000 ( 3.9% )</t>
  </si>
  <si>
    <t>363 ( 6.6% )</t>
  </si>
  <si>
    <t>-26894800 ( -53.9% )</t>
  </si>
  <si>
    <t>-2482 ( -42.5% )</t>
  </si>
  <si>
    <t>3576400 ( 15.5% )</t>
  </si>
  <si>
    <t>683 ( 20.3% )</t>
  </si>
  <si>
    <t>-24242000 ( -91.1% )</t>
  </si>
  <si>
    <t>-3692 ( -91.3% )</t>
  </si>
  <si>
    <t>-1034900 ( -43.5% )</t>
  </si>
  <si>
    <t>-176 ( -50.0% )</t>
  </si>
  <si>
    <t>1158100 ( 86.2% )</t>
  </si>
  <si>
    <t>123 ( 69.9% )</t>
  </si>
  <si>
    <t>-1051200 ( -42.0% )</t>
  </si>
  <si>
    <t>-125 ( -41.8% )</t>
  </si>
  <si>
    <t>-43800 ( -3.0% )</t>
  </si>
  <si>
    <t>-1 ( -0.6% )</t>
  </si>
  <si>
    <t>3700 ( 0.3% )</t>
  </si>
  <si>
    <t>18 ( 10.4% )</t>
  </si>
  <si>
    <t>1589600 ( 112.7% )</t>
  </si>
  <si>
    <t>238 ( 124.6% )</t>
  </si>
  <si>
    <t>-2908600 ( -96.9% )</t>
  </si>
  <si>
    <t>-415 ( -96.7% )</t>
  </si>
  <si>
    <t>-78000 ( -84.8% )</t>
  </si>
  <si>
    <t>63000 ( 450.0% )</t>
  </si>
  <si>
    <t>8 ( 400.0% )</t>
  </si>
  <si>
    <t>12300 ( 100.0% )</t>
  </si>
  <si>
    <t>3700 ( 30.1% )</t>
  </si>
  <si>
    <t>2250000 ( 100.0% )</t>
  </si>
  <si>
    <t>250 ( 100.0% )</t>
  </si>
  <si>
    <t>2223000 ( 100.0% )</t>
  </si>
  <si>
    <t>27000 ( 1.2% )</t>
  </si>
  <si>
    <t>3 ( 1.2% )</t>
  </si>
  <si>
    <t>-558000 ( -24.8% )</t>
  </si>
  <si>
    <t>-62 ( -24.8% )</t>
  </si>
  <si>
    <t>■ '바이스' 일자별 통계정보</t>
  </si>
  <si>
    <t>86503500 ( 100.0% )</t>
  </si>
  <si>
    <t>11016 ( 100.0% )</t>
  </si>
  <si>
    <t>28435800 ( 32.9% )</t>
  </si>
  <si>
    <t>2478 ( 22.5% )</t>
  </si>
  <si>
    <t>80887000 ( 70.4% )</t>
  </si>
  <si>
    <t>8704 ( 64.5% )</t>
  </si>
  <si>
    <t>-17901700 ( -9.1% )</t>
  </si>
  <si>
    <t>-2123 ( -9.6% )</t>
  </si>
  <si>
    <t>-125674600 ( -70.6% )</t>
  </si>
  <si>
    <t>-13581 ( -67.7% )</t>
  </si>
  <si>
    <t>-4199500 ( -8.0% )</t>
  </si>
  <si>
    <t>-603 ( -9.3% )</t>
  </si>
  <si>
    <t>-4592200 ( -9.6% )</t>
  </si>
  <si>
    <t>-528 ( -9.0% )</t>
  </si>
  <si>
    <t>-12239400 ( -28.2% )</t>
  </si>
  <si>
    <t>-1457 ( -27.2% )</t>
  </si>
  <si>
    <t>15711400 ( 50.3% )</t>
  </si>
  <si>
    <t>1523 ( 39.0% )</t>
  </si>
  <si>
    <t>33387800 ( 71.1% )</t>
  </si>
  <si>
    <t>3843 ( 70.8% )</t>
  </si>
  <si>
    <t>-13100500 ( -16.3% )</t>
  </si>
  <si>
    <t>-1432 ( -15.4% )</t>
  </si>
  <si>
    <t>-46002600 ( -68.4% )</t>
  </si>
  <si>
    <t>-5211 ( -66.5% )</t>
  </si>
  <si>
    <t>-932200 ( -4.4% )</t>
  </si>
  <si>
    <t>-127 ( -4.8% )</t>
  </si>
  <si>
    <t>-10950300 ( -54.0% )</t>
  </si>
  <si>
    <t>-1081 ( -43.2% )</t>
  </si>
  <si>
    <t>-5164000 ( -55.3% )</t>
  </si>
  <si>
    <t>-907 ( -63.8% )</t>
  </si>
  <si>
    <t>3631484 ( 87.1% )</t>
  </si>
  <si>
    <t>341 ( 66.3% )</t>
  </si>
  <si>
    <t>3040516 ( 39.0% )</t>
  </si>
  <si>
    <t>327 ( 38.2% )</t>
  </si>
  <si>
    <t>-1814300 ( -16.7% )</t>
  </si>
  <si>
    <t>-170 ( -14.4% )</t>
  </si>
  <si>
    <t>-5286200 ( -58.6% )</t>
  </si>
  <si>
    <t>-517 ( -51.1% )</t>
  </si>
  <si>
    <t>2643100 ( 70.7% )</t>
  </si>
  <si>
    <t>293 ( 59.2% )</t>
  </si>
  <si>
    <t>-1049600 ( -16.4% )</t>
  </si>
  <si>
    <t>-146 ( -18.5% )</t>
  </si>
  <si>
    <t>-4363500 ( -81.8% )</t>
  </si>
  <si>
    <t>-518 ( -80.7% )</t>
  </si>
  <si>
    <t>1022500 ( 105.4% )</t>
  </si>
  <si>
    <t>113 ( 91.1% )</t>
  </si>
  <si>
    <t>1593700 ( 80.0% )</t>
  </si>
  <si>
    <t>161 ( 67.9% )</t>
  </si>
  <si>
    <t>-587200 ( -16.4% )</t>
  </si>
  <si>
    <t>-60 ( -15.1% )</t>
  </si>
  <si>
    <t>611000 ( 20.4% )</t>
  </si>
  <si>
    <t>66 ( 19.5% )</t>
  </si>
  <si>
    <t>-522500 ( -14.5% )</t>
  </si>
  <si>
    <t>-84 ( -20.8% )</t>
  </si>
  <si>
    <t>-1872000 ( -60.6% )</t>
  </si>
  <si>
    <t>-167 ( -52.2% )</t>
  </si>
  <si>
    <t>-695500 ( -57.2% )</t>
  </si>
  <si>
    <t>-91 ( -59.5% )</t>
  </si>
  <si>
    <t>164000 ( 31.5% )</t>
  </si>
  <si>
    <t>16 ( 25.8% )</t>
  </si>
  <si>
    <t>759000 ( 111.0% )</t>
  </si>
  <si>
    <t>80 ( 102.6% )</t>
  </si>
  <si>
    <t>382000 ( 26.5% )</t>
  </si>
  <si>
    <t>39 ( 24.7% )</t>
  </si>
  <si>
    <t>-1406000 ( -77.0% )</t>
  </si>
  <si>
    <t>-147 ( -74.6% )</t>
  </si>
  <si>
    <t>9000 ( 2.1% )</t>
  </si>
  <si>
    <t>-3 ( -6.0% )</t>
  </si>
  <si>
    <t>-500 ( -0.1% )</t>
  </si>
  <si>
    <t>6 ( 12.8% )</t>
  </si>
  <si>
    <t>-264500 ( -61.9% )</t>
  </si>
  <si>
    <t>-34 ( -64.2% )</t>
  </si>
  <si>
    <t>88000 ( 54.0% )</t>
  </si>
  <si>
    <t>11 ( 57.9% )</t>
  </si>
  <si>
    <t>274000 ( 109.2% )</t>
  </si>
  <si>
    <t>26 ( 86.7% )</t>
  </si>
  <si>
    <t>37000 ( 7.0% )</t>
  </si>
  <si>
    <t>6 ( 10.7% )</t>
  </si>
  <si>
    <t>-546000 ( -97.2% )</t>
  </si>
  <si>
    <t>-60 ( -96.8% )</t>
  </si>
  <si>
    <t>114500 ( 715.6% )</t>
  </si>
  <si>
    <t>13 ( 650.0% )</t>
  </si>
  <si>
    <t>-15500 ( -11.9% )</t>
  </si>
  <si>
    <t>-3 ( -20.0% )</t>
  </si>
  <si>
    <t>429000 ( 100.0% )</t>
  </si>
  <si>
    <t>45 ( 100.0% )</t>
  </si>
  <si>
    <t>■ '알라딘' 일자별 통계정보</t>
  </si>
  <si>
    <t>603957160 ( 4760.3% )</t>
  </si>
  <si>
    <t>71342 ( 5117.8% )</t>
  </si>
  <si>
    <t>399485183 ( 64.8% )</t>
  </si>
  <si>
    <t>37213 ( 51.2% )</t>
  </si>
  <si>
    <t>1949668464 ( 191.9% )</t>
  </si>
  <si>
    <t>220070 ( 200.2% )</t>
  </si>
  <si>
    <t>215311143 ( 7.3% )</t>
  </si>
  <si>
    <t>28976 ( 8.8% )</t>
  </si>
  <si>
    <t>-2250076320 ( -70.7% )</t>
  </si>
  <si>
    <t>-249337 ( -69.5% )</t>
  </si>
  <si>
    <t>-18009620 ( -1.9% )</t>
  </si>
  <si>
    <t>-1319 ( -1.2% )</t>
  </si>
  <si>
    <t>545906570 ( 59.8% )</t>
  </si>
  <si>
    <t>137653 ( 127.1% )</t>
  </si>
  <si>
    <t>-844851440 ( -57.9% )</t>
  </si>
  <si>
    <t>-171030 ( -69.5% )</t>
  </si>
  <si>
    <t>470044285 ( 76.5% )</t>
  </si>
  <si>
    <t>48304 ( 64.4% )</t>
  </si>
  <si>
    <t>1526557402 ( 140.8% )</t>
  </si>
  <si>
    <t>182760 ( 148.3% )</t>
  </si>
  <si>
    <t>-8909067 ( -0.3% )</t>
  </si>
  <si>
    <t>1713 ( 0.6% )</t>
  </si>
  <si>
    <t>-1930245200 ( -74.2% )</t>
  </si>
  <si>
    <t>-226126 ( -73.5% )</t>
  </si>
  <si>
    <t>22375760 ( 3.3% )</t>
  </si>
  <si>
    <t>3185 ( 3.9% )</t>
  </si>
  <si>
    <t>209353250 ( 30.2% )</t>
  </si>
  <si>
    <t>28367 ( 33.5% )</t>
  </si>
  <si>
    <t>2243178390 ( 248.3% )</t>
  </si>
  <si>
    <t>260394 ( 230.1% )</t>
  </si>
  <si>
    <t>-717710386 ( -22.8% )</t>
  </si>
  <si>
    <t>-88614 ( -23.7% )</t>
  </si>
  <si>
    <t>1189946709 ( 49.0% )</t>
  </si>
  <si>
    <t>130365 ( 45.8% )</t>
  </si>
  <si>
    <t>-162486543 ( -4.5% )</t>
  </si>
  <si>
    <t>-19159 ( -4.6% )</t>
  </si>
  <si>
    <t>-2530140800 ( -73.2% )</t>
  </si>
  <si>
    <t>-286749 ( -72.4% )</t>
  </si>
  <si>
    <t>-49403500 ( -5.3% )</t>
  </si>
  <si>
    <t>-4974 ( -4.5% )</t>
  </si>
  <si>
    <t>-34733920 ( -4.0% )</t>
  </si>
  <si>
    <t>-1992 ( -1.9% )</t>
  </si>
  <si>
    <t>16922910 ( 2.0% )</t>
  </si>
  <si>
    <t>1182 ( 1.2% )</t>
  </si>
  <si>
    <t>640702480 ( 74.6% )</t>
  </si>
  <si>
    <t>61456 ( 59.3% )</t>
  </si>
  <si>
    <t>2307538530 ( 153.9% )</t>
  </si>
  <si>
    <t>262869 ( 159.2% )</t>
  </si>
  <si>
    <t>-135889530 ( -3.6% )</t>
  </si>
  <si>
    <t>-14617 ( -3.4% )</t>
  </si>
  <si>
    <t>-2564553610 ( -69.9% )</t>
  </si>
  <si>
    <t>-282087 ( -68.2% )</t>
  </si>
  <si>
    <t>4140350 ( 0.4% )</t>
  </si>
  <si>
    <t>1301 ( 1.0% )</t>
  </si>
  <si>
    <t>42792240 ( 3.9% )</t>
  </si>
  <si>
    <t>4110 ( 3.1% )</t>
  </si>
  <si>
    <t>-140597420 ( -12.2% )</t>
  </si>
  <si>
    <t>-14627 ( -10.7% )</t>
  </si>
  <si>
    <t>571369310 ( 56.4% )</t>
  </si>
  <si>
    <t>50867 ( 41.7% )</t>
  </si>
  <si>
    <t>1978017480 ( 124.8% )</t>
  </si>
  <si>
    <t>229036 ( 132.5% )</t>
  </si>
  <si>
    <t>-257445960 ( -7.2% )</t>
  </si>
  <si>
    <t>-25304 ( -6.3% )</t>
  </si>
  <si>
    <t>-2237507340 ( -67.7% )</t>
  </si>
  <si>
    <t>-248629 ( -66.0% )</t>
  </si>
  <si>
    <t>-69056680 ( -6.5% )</t>
  </si>
  <si>
    <t>-7678 ( -6.0% )</t>
  </si>
  <si>
    <t>257675020 ( 25.8% )</t>
  </si>
  <si>
    <t>80467 ( 66.9% )</t>
  </si>
  <si>
    <t>-313570640 ( -25.0% )</t>
  </si>
  <si>
    <t>-87171 ( -43.4% )</t>
  </si>
  <si>
    <t>451704770 ( 47.9% )</t>
  </si>
  <si>
    <t>37894 ( 33.4% )</t>
  </si>
  <si>
    <t>2144203750 ( 153.8% )</t>
  </si>
  <si>
    <t>246632 ( 162.8% )</t>
  </si>
  <si>
    <t>-381794530 ( -10.8% )</t>
  </si>
  <si>
    <t>-38378 ( -9.6% )</t>
  </si>
  <si>
    <t>-2230047440 ( -70.6% )</t>
  </si>
  <si>
    <t>-248085 ( -69.0% )</t>
  </si>
  <si>
    <t>-337454270 ( -36.4% )</t>
  </si>
  <si>
    <t>-39264 ( -35.2% )</t>
  </si>
  <si>
    <t>55161440 ( 9.4% )</t>
  </si>
  <si>
    <t>7332 ( 10.1% )</t>
  </si>
  <si>
    <t>27314860 ( 4.2% )</t>
  </si>
  <si>
    <t>3385 ( 4.2% )</t>
  </si>
  <si>
    <t>431214290 ( 64.2% )</t>
  </si>
  <si>
    <t>41015 ( 49.3% )</t>
  </si>
  <si>
    <t>1023918550 ( 92.9% )</t>
  </si>
  <si>
    <t>123058 ( 99.1% )</t>
  </si>
  <si>
    <t>-138302680 ( -6.5% )</t>
  </si>
  <si>
    <t>-14620 ( -5.9% )</t>
  </si>
  <si>
    <t>-1350096480 ( -67.9% )</t>
  </si>
  <si>
    <t>-154632 ( -66.5% )</t>
  </si>
  <si>
    <t>53397010 ( 8.4% )</t>
  </si>
  <si>
    <t>7604 ( 9.8% )</t>
  </si>
  <si>
    <t>-53608950 ( -7.8% )</t>
  </si>
  <si>
    <t>-7403 ( -8.7% )</t>
  </si>
  <si>
    <t>-35295770 ( -5.5% )</t>
  </si>
  <si>
    <t>-4740 ( -6.1% )</t>
  </si>
  <si>
    <t>312141170 ( 51.8% )</t>
  </si>
  <si>
    <t>27632 ( 37.6% )</t>
  </si>
  <si>
    <t>1394378800 ( 152.4% )</t>
  </si>
  <si>
    <t>162299 ( 160.6% )</t>
  </si>
  <si>
    <t>-55477620 ( -2.4% )</t>
  </si>
  <si>
    <t>-4175 ( -1.6% )</t>
  </si>
  <si>
    <t>-1589607550 ( -70.5% )</t>
  </si>
  <si>
    <t>-178761 ( -69.0% )</t>
  </si>
  <si>
    <t>22652560 ( 3.4% )</t>
  </si>
  <si>
    <t>3758 ( 4.7% )</t>
  </si>
  <si>
    <t>-229391550 ( -33.4% )</t>
  </si>
  <si>
    <t>-27840 ( -33.1% )</t>
  </si>
  <si>
    <t>■ '파이브 피트' 일자별 통계정보</t>
  </si>
  <si>
    <t>75429450 ( 1056.8% )</t>
  </si>
  <si>
    <t>9133 ( 996.0% )</t>
  </si>
  <si>
    <t>-15667570 ( -19.0% )</t>
  </si>
  <si>
    <t>-2052 ( -20.4% )</t>
  </si>
  <si>
    <t>26686920 ( 39.9% )</t>
  </si>
  <si>
    <t>2416 ( 30.2% )</t>
  </si>
  <si>
    <t>35585710 ( 38.0% )</t>
  </si>
  <si>
    <t>3813 ( 36.6% )</t>
  </si>
  <si>
    <t>23802610 ( 18.4% )</t>
  </si>
  <si>
    <t>2616 ( 18.4% )</t>
  </si>
  <si>
    <t>-97495810 ( -63.7% )</t>
  </si>
  <si>
    <t>-10159 ( -60.3% )</t>
  </si>
  <si>
    <t>-1844790 ( -3.3% )</t>
  </si>
  <si>
    <t>-155 ( -2.3% )</t>
  </si>
  <si>
    <t>-27677720 ( -51.6% )</t>
  </si>
  <si>
    <t>-3442 ( -52.7% )</t>
  </si>
  <si>
    <t>-13058360 ( -50.3% )</t>
  </si>
  <si>
    <t>-1517 ( -49.1% )</t>
  </si>
  <si>
    <t>12105500 ( 93.9% )</t>
  </si>
  <si>
    <t>1297 ( 82.6% )</t>
  </si>
  <si>
    <t>8181620 ( 32.7% )</t>
  </si>
  <si>
    <t>851 ( 29.7% )</t>
  </si>
  <si>
    <t>-7865380 ( -23.7% )</t>
  </si>
  <si>
    <t>-871 ( -23.4% )</t>
  </si>
  <si>
    <t>-15327810 ( -60.5% )</t>
  </si>
  <si>
    <t>-1608 ( -56.5% )</t>
  </si>
  <si>
    <t>-18710 ( -0.2% )</t>
  </si>
  <si>
    <t>12 ( 1.0% )</t>
  </si>
  <si>
    <t>-8742660 ( -87.7% )</t>
  </si>
  <si>
    <t>-1111 ( -88.8% )</t>
  </si>
  <si>
    <t>-663200 ( -53.9% )</t>
  </si>
  <si>
    <t>-66 ( -47.1% )</t>
  </si>
  <si>
    <t>162680 ( 28.7% )</t>
  </si>
  <si>
    <t>15 ( 20.3% )</t>
  </si>
  <si>
    <t>606280 ( 83.1% )</t>
  </si>
  <si>
    <t>65 ( 73.0% )</t>
  </si>
  <si>
    <t>-35460 ( -2.7% )</t>
  </si>
  <si>
    <t>-5 ( -3.2% )</t>
  </si>
  <si>
    <t>-624600 ( -48.0% )</t>
  </si>
  <si>
    <t>-64 ( -43.0% )</t>
  </si>
  <si>
    <t>433110 ( 64.1% )</t>
  </si>
  <si>
    <t>57 ( 67.1% )</t>
  </si>
  <si>
    <t>450610 ( 40.6% )</t>
  </si>
  <si>
    <t>76 ( 53.5% )</t>
  </si>
  <si>
    <t>-1288770 ( -82.6% )</t>
  </si>
  <si>
    <t>-186 ( -85.3% )</t>
  </si>
  <si>
    <t>-71150 ( -26.2% )</t>
  </si>
  <si>
    <t>-7 ( -21.9% )</t>
  </si>
  <si>
    <t>340000 ( 170.0% )</t>
  </si>
  <si>
    <t>40 ( 160.0% )</t>
  </si>
  <si>
    <t>51000 ( 9.4% )</t>
  </si>
  <si>
    <t>-1 ( -1.5% )</t>
  </si>
  <si>
    <t>-297540 ( -50.3% )</t>
  </si>
  <si>
    <t>-31 ( -48.4% )</t>
  </si>
  <si>
    <t>-14960 ( -5.1% )</t>
  </si>
  <si>
    <t>-187500 ( -67.3% )</t>
  </si>
  <si>
    <t>-21 ( -63.6% )</t>
  </si>
  <si>
    <t>-33500 ( -36.8% )</t>
  </si>
  <si>
    <t>-5 ( -41.7% )</t>
  </si>
  <si>
    <t>-45500 ( -79.1% )</t>
  </si>
  <si>
    <t>138000 ( 1150.0% )</t>
  </si>
  <si>
    <t>57000 ( 38.0% )</t>
  </si>
  <si>
    <t>7 ( 41.2% )</t>
  </si>
  <si>
    <t>-100500 ( -48.6% )</t>
  </si>
  <si>
    <t>-11 ( -45.8% )</t>
  </si>
  <si>
    <t>845500 ( 793.9% )</t>
  </si>
  <si>
    <t>83 ( 638.5% )</t>
  </si>
  <si>
    <t>■ '로망' 일자별 통계정보</t>
  </si>
  <si>
    <t>24677990 ( 66.5% )</t>
  </si>
  <si>
    <t>4393 ( 99.4% )</t>
  </si>
  <si>
    <t>-15795620 ( -25.6% )</t>
  </si>
  <si>
    <t>-2465 ( -28.0% )</t>
  </si>
  <si>
    <t>-987610 ( -2.1% )</t>
  </si>
  <si>
    <t>-684 ( -10.8% )</t>
  </si>
  <si>
    <t>15003290 ( 33.4% )</t>
  </si>
  <si>
    <t>1747 ( 30.8% )</t>
  </si>
  <si>
    <t>1147380 ( 1.9% )</t>
  </si>
  <si>
    <t>136 ( 1.8% )</t>
  </si>
  <si>
    <t>-26047560 ( -42.6% )</t>
  </si>
  <si>
    <t>-2617 ( -34.7% )</t>
  </si>
  <si>
    <t>2580970 ( 7.4% )</t>
  </si>
  <si>
    <t>412 ( 8.4% )</t>
  </si>
  <si>
    <t>-15832710 ( -42.0% )</t>
  </si>
  <si>
    <t>-2129 ( -39.8% )</t>
  </si>
  <si>
    <t>-9949150 ( -45.6% )</t>
  </si>
  <si>
    <t>-1551 ( -48.3% )</t>
  </si>
  <si>
    <t>-3132980 ( -26.4% )</t>
  </si>
  <si>
    <t>-383 ( -23.0% )</t>
  </si>
  <si>
    <t>362180 ( 4.1% )</t>
  </si>
  <si>
    <t>-64 ( -5.0% )</t>
  </si>
  <si>
    <t>3383050 ( 37.1% )</t>
  </si>
  <si>
    <t>401 ( 33.0% )</t>
  </si>
  <si>
    <t>-4344000 ( -34.8% )</t>
  </si>
  <si>
    <t>-348 ( -21.5% )</t>
  </si>
  <si>
    <t>174670 ( 2.1% )</t>
  </si>
  <si>
    <t>11 ( 0.9% )</t>
  </si>
  <si>
    <t>-1593900 ( -19.1% )</t>
  </si>
  <si>
    <t>-234 ( -18.3% )</t>
  </si>
  <si>
    <t>-3038540 ( -45.1% )</t>
  </si>
  <si>
    <t>-434 ( -41.5% )</t>
  </si>
  <si>
    <t>-324860 ( -8.8% )</t>
  </si>
  <si>
    <t>-56 ( -9.2% )</t>
  </si>
  <si>
    <t>703800 ( 20.9% )</t>
  </si>
  <si>
    <t>-25 ( -4.5% )</t>
  </si>
  <si>
    <t>-1520700 ( -37.4% )</t>
  </si>
  <si>
    <t>-205 ( -38.6% )</t>
  </si>
  <si>
    <t>1858900 ( 72.9% )</t>
  </si>
  <si>
    <t>431 ( 132.2% )</t>
  </si>
  <si>
    <t>2067500 ( 46.9% )</t>
  </si>
  <si>
    <t>385 ( 50.9% )</t>
  </si>
  <si>
    <t>-2202950 ( -34.0% )</t>
  </si>
  <si>
    <t>-321 ( -28.1% )</t>
  </si>
  <si>
    <t>-1631350 ( -38.2% )</t>
  </si>
  <si>
    <t>-319 ( -38.9% )</t>
  </si>
  <si>
    <t>938000 ( 35.5% )</t>
  </si>
  <si>
    <t>144 ( 28.7% )</t>
  </si>
  <si>
    <t>-3135800 ( -87.6% )</t>
  </si>
  <si>
    <t>-594 ( -92.0% )</t>
  </si>
  <si>
    <t>-111350 ( -25.1% )</t>
  </si>
  <si>
    <t>-3 ( -5.8% )</t>
  </si>
  <si>
    <t>120080 ( 36.1% )</t>
  </si>
  <si>
    <t>31 ( 63.3% )</t>
  </si>
  <si>
    <t>-40730 ( -9.0% )</t>
  </si>
  <si>
    <t>-21 ( -26.3% )</t>
  </si>
  <si>
    <t>236000 ( 57.3% )</t>
  </si>
  <si>
    <t>47 ( 79.7% )</t>
  </si>
  <si>
    <t>2353300 ( 363.2% )</t>
  </si>
  <si>
    <t>440 ( 415.1% )</t>
  </si>
  <si>
    <t>-2876300 ( -95.8% )</t>
  </si>
  <si>
    <t>-521 ( -95.4% )</t>
  </si>
  <si>
    <t>138000 ( 100.0% )</t>
  </si>
  <si>
    <t>27 ( 100.0% )</t>
  </si>
  <si>
    <t>490000 ( 355.1% )</t>
  </si>
  <si>
    <t>91 ( 337.0% )</t>
  </si>
  <si>
    <t>181000 ( 28.8% )</t>
  </si>
  <si>
    <t>23 ( 19.5% )</t>
  </si>
  <si>
    <t>26000 ( 173.3% )</t>
  </si>
  <si>
    <t>409000 ( 997.6% )</t>
  </si>
  <si>
    <t>85 ( 1700.0% )</t>
  </si>
  <si>
    <t>1000 ( 0.2% )</t>
  </si>
  <si>
    <t>-3 ( -3.3% )</t>
  </si>
  <si>
    <t>206000 ( 45.7% )</t>
  </si>
  <si>
    <t>44 ( 50.6% )</t>
  </si>
  <si>
    <t>908000 ( 138.2% )</t>
  </si>
  <si>
    <t>182 ( 138.9% )</t>
  </si>
  <si>
    <t>-1100000 ( -70.3% )</t>
  </si>
  <si>
    <t>-220 ( -70.3% )</t>
  </si>
  <si>
    <t>-288000 ( -61.9% )</t>
  </si>
  <si>
    <t>-159000 ( -89.8% )</t>
  </si>
  <si>
    <t>-24 ( -92.3% )</t>
  </si>
  <si>
    <t>-18000 ( -100.0% )</t>
  </si>
  <si>
    <t>-2 ( -100.0% )</t>
  </si>
  <si>
    <t>255000 ( 100.0% )</t>
  </si>
  <si>
    <t>12500 ( 100.0% )</t>
  </si>
  <si>
    <t>995650 ( 100.0% )</t>
  </si>
  <si>
    <t>198 ( 100.0% )</t>
  </si>
  <si>
    <t>-490650 ( -49.3% )</t>
  </si>
  <si>
    <t>-97 ( -49.0% )</t>
  </si>
  <si>
    <t>1655000 ( 100.0% )</t>
  </si>
  <si>
    <t>331 ( 100.0% )</t>
  </si>
  <si>
    <t>-105000 ( -6.3% )</t>
  </si>
  <si>
    <t>-21 ( -6.3% )</t>
  </si>
  <si>
    <t>755000 ( 100.0% )</t>
  </si>
  <si>
    <t>655000 ( 100.0% )</t>
  </si>
  <si>
    <t>131 ( 100.0% )</t>
  </si>
  <si>
    <t>545000 ( 100.0% )</t>
  </si>
  <si>
    <t>109 ( 100.0% )</t>
  </si>
  <si>
    <t>■ '왓칭' 일자별 통계정보</t>
  </si>
  <si>
    <t>58160050 ( 873.3% )</t>
  </si>
  <si>
    <t>7441 ( 1005.5% )</t>
  </si>
  <si>
    <t>-16539600 ( -25.5% )</t>
  </si>
  <si>
    <t>-2056 ( -25.1% )</t>
  </si>
  <si>
    <t>20472375 ( 42.4% )</t>
  </si>
  <si>
    <t>1832 ( 29.9% )</t>
  </si>
  <si>
    <t>28362782 ( 41.3% )</t>
  </si>
  <si>
    <t>3173 ( 39.9% )</t>
  </si>
  <si>
    <t>-7081277 ( -7.3% )</t>
  </si>
  <si>
    <t>-967 ( -8.7% )</t>
  </si>
  <si>
    <t>-59017640 ( -65.6% )</t>
  </si>
  <si>
    <t>-6241 ( -61.4% )</t>
  </si>
  <si>
    <t>-3253380 ( -10.5% )</t>
  </si>
  <si>
    <t>-483 ( -12.3% )</t>
  </si>
  <si>
    <t>-24231810 ( -87.3% )</t>
  </si>
  <si>
    <t>-2996 ( -87.1% )</t>
  </si>
  <si>
    <t>-2870000 ( -81.3% )</t>
  </si>
  <si>
    <t>-355 ( -80.1% )</t>
  </si>
  <si>
    <t>534100 ( 80.7% )</t>
  </si>
  <si>
    <t>43 ( 48.9% )</t>
  </si>
  <si>
    <t>-194000 ( -16.2% )</t>
  </si>
  <si>
    <t>-5 ( -3.8% )</t>
  </si>
  <si>
    <t>297200 ( 29.7% )</t>
  </si>
  <si>
    <t>35 ( 27.8% )</t>
  </si>
  <si>
    <t>-948800 ( -73.1% )</t>
  </si>
  <si>
    <t>-114 ( -70.8% )</t>
  </si>
  <si>
    <t>2044000 ( 584.0% )</t>
  </si>
  <si>
    <t>335 ( 712.8% )</t>
  </si>
  <si>
    <t>-2035000 ( -85.0% )</t>
  </si>
  <si>
    <t>-332 ( -86.9% )</t>
  </si>
  <si>
    <t>55000 ( 15.3% )</t>
  </si>
  <si>
    <t>-174000 ( -42.0% )</t>
  </si>
  <si>
    <t>-29 ( -49.2% )</t>
  </si>
  <si>
    <t>22000 ( 9.2% )</t>
  </si>
  <si>
    <t>4 ( 13.3% )</t>
  </si>
  <si>
    <t>-12000 ( -4.6% )</t>
  </si>
  <si>
    <t>-2 ( -5.9% )</t>
  </si>
  <si>
    <t>-10000 ( -4.0% )</t>
  </si>
  <si>
    <t>-2 ( -6.3% )</t>
  </si>
  <si>
    <t>148000 ( 61.7% )</t>
  </si>
  <si>
    <t>25 ( 83.3% )</t>
  </si>
  <si>
    <t>-82000 ( -21.1% )</t>
  </si>
  <si>
    <t>-15 ( -27.3% )</t>
  </si>
  <si>
    <t>-56000 ( -18.3% )</t>
  </si>
  <si>
    <t>-8 ( -20.0% )</t>
  </si>
  <si>
    <t>10000 ( 4.0% )</t>
  </si>
  <si>
    <t>2 ( 6.3% )</t>
  </si>
  <si>
    <t>-40000 ( -15.4% )</t>
  </si>
  <si>
    <t>-8 ( -23.5% )</t>
  </si>
  <si>
    <t>■ '나의 특별한 형제' 일자별 통계정보</t>
  </si>
  <si>
    <t>1025926050 ( 18041.4% )</t>
  </si>
  <si>
    <t>132300 ( 18173.1% )</t>
  </si>
  <si>
    <t>-467050450 ( -45.3% )</t>
  </si>
  <si>
    <t>-60689 ( -45.6% )</t>
  </si>
  <si>
    <t>258112010 ( 45.7% )</t>
  </si>
  <si>
    <t>25353 ( 35.0% )</t>
  </si>
  <si>
    <t>434594840 ( 52.8% )</t>
  </si>
  <si>
    <t>49092 ( 50.3% )</t>
  </si>
  <si>
    <t>247782090 ( 19.7% )</t>
  </si>
  <si>
    <t>27879 ( 19.0% )</t>
  </si>
  <si>
    <t>-1391590 ( -0.1% )</t>
  </si>
  <si>
    <t>3167 ( 1.8% )</t>
  </si>
  <si>
    <t>-922029790 ( -61.3% )</t>
  </si>
  <si>
    <t>-98490 ( -55.4% )</t>
  </si>
  <si>
    <t>-121333760 ( -20.9% )</t>
  </si>
  <si>
    <t>-20774 ( -26.2% )</t>
  </si>
  <si>
    <t>-136229970 ( -29.6% )</t>
  </si>
  <si>
    <t>-17841 ( -30.5% )</t>
  </si>
  <si>
    <t>162308883 ( 50.1% )</t>
  </si>
  <si>
    <t>17382 ( 42.7% )</t>
  </si>
  <si>
    <t>431509278 ( 88.7% )</t>
  </si>
  <si>
    <t>48067 ( 82.7% )</t>
  </si>
  <si>
    <t>-104071461 ( -11.3% )</t>
  </si>
  <si>
    <t>-12362 ( -11.6% )</t>
  </si>
  <si>
    <t>-589238870 ( -72.4% )</t>
  </si>
  <si>
    <t>-65897 ( -70.2% )</t>
  </si>
  <si>
    <t>-4720540 ( -2.1% )</t>
  </si>
  <si>
    <t>513 ( 1.8% )</t>
  </si>
  <si>
    <t>-67150530 ( -30.5% )</t>
  </si>
  <si>
    <t>-8254 ( -29.0% )</t>
  </si>
  <si>
    <t>-56675100 ( -37.1% )</t>
  </si>
  <si>
    <t>-7112 ( -35.3% )</t>
  </si>
  <si>
    <t>22858750 ( 23.8% )</t>
  </si>
  <si>
    <t>1899 ( 14.5% )</t>
  </si>
  <si>
    <t>103884730 ( 87.4% )</t>
  </si>
  <si>
    <t>11876 ( 79.4% )</t>
  </si>
  <si>
    <t>-22612600 ( -10.2% )</t>
  </si>
  <si>
    <t>-2826 ( -10.5% )</t>
  </si>
  <si>
    <t>-147201790 ( -73.5% )</t>
  </si>
  <si>
    <t>-17146 ( -71.4% )</t>
  </si>
  <si>
    <t>-1981580 ( -3.7% )</t>
  </si>
  <si>
    <t>-195 ( -2.8% )</t>
  </si>
  <si>
    <t>-8287920 ( -16.3% )</t>
  </si>
  <si>
    <t>-870 ( -13.0% )</t>
  </si>
  <si>
    <t>-20590880 ( -48.2% )</t>
  </si>
  <si>
    <t>-2336 ( -40.3% )</t>
  </si>
  <si>
    <t>1918500 ( 8.7% )</t>
  </si>
  <si>
    <t>178 ( 5.1% )</t>
  </si>
  <si>
    <t>-4517650 ( -18.8% )</t>
  </si>
  <si>
    <t>-1151 ( -31.6% )</t>
  </si>
  <si>
    <t>1816160 ( 9.3% )</t>
  </si>
  <si>
    <t>220 ( 8.8% )</t>
  </si>
  <si>
    <t>-14608690 ( -68.5% )</t>
  </si>
  <si>
    <t>-1723 ( -63.6% )</t>
  </si>
  <si>
    <t>5190750 ( 77.4% )</t>
  </si>
  <si>
    <t>1061 ( 107.4% )</t>
  </si>
  <si>
    <t>-4137370 ( -34.8% )</t>
  </si>
  <si>
    <t>-673 ( -32.8% )</t>
  </si>
  <si>
    <t>1655000 ( 21.3% )</t>
  </si>
  <si>
    <t>342 ( 24.9% )</t>
  </si>
  <si>
    <t>-10000 ( -0.1% )</t>
  </si>
  <si>
    <t>-163 ( -9.5% )</t>
  </si>
  <si>
    <t>-8785900 ( -93.4% )</t>
  </si>
  <si>
    <t>-1468 ( -94.4% )</t>
  </si>
  <si>
    <t>-200100 ( -32.4% )</t>
  </si>
  <si>
    <t>-41 ( -47.1% )</t>
  </si>
  <si>
    <t>731600 ( 175.4% )</t>
  </si>
  <si>
    <t>159 ( 345.7% )</t>
  </si>
  <si>
    <t>-422600 ( -36.8% )</t>
  </si>
  <si>
    <t>-77 ( -37.6% )</t>
  </si>
  <si>
    <t>10994000 ( 1514.3% )</t>
  </si>
  <si>
    <t>1425 ( 1113.3% )</t>
  </si>
  <si>
    <t>-11694000 ( -99.8% )</t>
  </si>
  <si>
    <t>-1549 ( -99.7% )</t>
  </si>
  <si>
    <t>250000 ( 961.5% )</t>
  </si>
  <si>
    <t>50 ( 1250.0% )</t>
  </si>
  <si>
    <t>-256000 ( -92.8% )</t>
  </si>
  <si>
    <t>-51 ( -94.4% )</t>
  </si>
  <si>
    <t>1976000 ( 9880.0% )</t>
  </si>
  <si>
    <t>323 ( 10766.7% )</t>
  </si>
  <si>
    <t>-187000 ( -9.4% )</t>
  </si>
  <si>
    <t>-35 ( -10.7% )</t>
  </si>
  <si>
    <t>-1803000 ( -99.7% )</t>
  </si>
  <si>
    <t>-290 ( -99.7% )</t>
  </si>
  <si>
    <t>565000 ( 100.0% )</t>
  </si>
  <si>
    <t>113 ( 100.0% )</t>
  </si>
  <si>
    <t>347000 ( 61.4% )</t>
  </si>
  <si>
    <t>43 ( 38.1% )</t>
  </si>
  <si>
    <t>200000 ( 21.9% )</t>
  </si>
  <si>
    <t>46 ( 29.5% )</t>
  </si>
  <si>
    <t>1090000 ( 98.0% )</t>
  </si>
  <si>
    <t>64 ( 31.7% )</t>
  </si>
  <si>
    <t>-1702000 ( -77.3% )</t>
  </si>
  <si>
    <t>-166 ( -62.4% )</t>
  </si>
  <si>
    <t>-856000 ( -63.1% )</t>
  </si>
  <si>
    <t>-126 ( -55.8% )</t>
  </si>
  <si>
    <t>440000 ( 100.0% )</t>
  </si>
  <si>
    <t>88 ( 100.0% )</t>
  </si>
  <si>
    <t>232000 ( 52.7% )</t>
  </si>
  <si>
    <t>8 ( 9.1% )</t>
  </si>
  <si>
    <t>162000 ( 24.1% )</t>
  </si>
  <si>
    <t>32 ( 33.3% )</t>
  </si>
  <si>
    <t>874000 ( 100.0% )</t>
  </si>
  <si>
    <t>■ '콜레트' 일자별 통계정보</t>
  </si>
  <si>
    <t>26985710 ( 100.0% )</t>
  </si>
  <si>
    <t>4169 ( 100.0% )</t>
  </si>
  <si>
    <t>-1226700 ( -4.5% )</t>
  </si>
  <si>
    <t>-907 ( -21.8% )</t>
  </si>
  <si>
    <t>4473261 ( 17.4% )</t>
  </si>
  <si>
    <t>186 ( 5.7% )</t>
  </si>
  <si>
    <t>15271889 ( 50.5% )</t>
  </si>
  <si>
    <t>1716 ( 49.8% )</t>
  </si>
  <si>
    <t>-1303100 ( -2.9% )</t>
  </si>
  <si>
    <t>-136 ( -2.6% )</t>
  </si>
  <si>
    <t>-20689470 ( -46.8% )</t>
  </si>
  <si>
    <t>-1973 ( -39.2% )</t>
  </si>
  <si>
    <t>1609660 ( 6.8% )</t>
  </si>
  <si>
    <t>204 ( 6.7% )</t>
  </si>
  <si>
    <t>-17387350 ( -69.2% )</t>
  </si>
  <si>
    <t>-2252 ( -69.1% )</t>
  </si>
  <si>
    <t>231350 ( 3.0% )</t>
  </si>
  <si>
    <t>58 ( 5.8% )</t>
  </si>
  <si>
    <t>2042580 ( 25.6% )</t>
  </si>
  <si>
    <t>132 ( 12.4% )</t>
  </si>
  <si>
    <t>5744050 ( 57.4% )</t>
  </si>
  <si>
    <t>612 ( 51.1% )</t>
  </si>
  <si>
    <t>-2727200 ( -17.3% )</t>
  </si>
  <si>
    <t>-319 ( -17.6% )</t>
  </si>
  <si>
    <t>-5329540 ( -40.9% )</t>
  </si>
  <si>
    <t>-461 ( -30.9% )</t>
  </si>
  <si>
    <t>-920060 ( -12.0% )</t>
  </si>
  <si>
    <t>-127 ( -12.3% )</t>
  </si>
  <si>
    <t>8334950 ( 123.0% )</t>
  </si>
  <si>
    <t>1248 ( 138.4% )</t>
  </si>
  <si>
    <t>3135870 ( 20.8% )</t>
  </si>
  <si>
    <t>-39 ( -1.8% )</t>
  </si>
  <si>
    <t>-11860120 ( -65.0% )</t>
  </si>
  <si>
    <t>-1359 ( -64.4% )</t>
  </si>
  <si>
    <t>3104120 ( 48.6% )</t>
  </si>
  <si>
    <t>367 ( 48.8% )</t>
  </si>
  <si>
    <t>-1688770 ( -17.8% )</t>
  </si>
  <si>
    <t>-155 ( -13.9% )</t>
  </si>
  <si>
    <t>-4652350 ( -59.6% )</t>
  </si>
  <si>
    <t>-518 ( -53.7% )</t>
  </si>
  <si>
    <t>683400 ( 21.7% )</t>
  </si>
  <si>
    <t>105 ( 23.5% )</t>
  </si>
  <si>
    <t>495870 ( 12.9% )</t>
  </si>
  <si>
    <t>48 ( 8.7% )</t>
  </si>
  <si>
    <t>-1347450 ( -31.1% )</t>
  </si>
  <si>
    <t>-187 ( -31.2% )</t>
  </si>
  <si>
    <t>1238100 ( 41.5% )</t>
  </si>
  <si>
    <t>125 ( 30.3% )</t>
  </si>
  <si>
    <t>1221900 ( 29.0% )</t>
  </si>
  <si>
    <t>165 ( 30.7% )</t>
  </si>
  <si>
    <t>-1217170 ( -22.4% )</t>
  </si>
  <si>
    <t>-128 ( -18.2% )</t>
  </si>
  <si>
    <t>-1930330 ( -45.7% )</t>
  </si>
  <si>
    <t>-244 ( -42.5% )</t>
  </si>
  <si>
    <t>343400 ( 15.0% )</t>
  </si>
  <si>
    <t>36 ( 10.9% )</t>
  </si>
  <si>
    <t>-916520 ( -34.8% )</t>
  </si>
  <si>
    <t>-115 ( -31.4% )</t>
  </si>
  <si>
    <t>94220 ( 5.5% )</t>
  </si>
  <si>
    <t>2 ( 0.8% )</t>
  </si>
  <si>
    <t>-106182 ( -5.9% )</t>
  </si>
  <si>
    <t>-34 ( -13.4% )</t>
  </si>
  <si>
    <t>719582 ( 42.1% )</t>
  </si>
  <si>
    <t>94 ( 42.9% )</t>
  </si>
  <si>
    <t>-533100 ( -22.0% )</t>
  </si>
  <si>
    <t>-68 ( -21.7% )</t>
  </si>
  <si>
    <t>-593900 ( -31.3% )</t>
  </si>
  <si>
    <t>-69 ( -28.2% )</t>
  </si>
  <si>
    <t>1000 ( 0.1% )</t>
  </si>
  <si>
    <t>15 ( 8.5% )</t>
  </si>
  <si>
    <t>-49600 ( -3.8% )</t>
  </si>
  <si>
    <t>-14 ( -7.3% )</t>
  </si>
  <si>
    <t>-868000 ( -69.3% )</t>
  </si>
  <si>
    <t>-122 ( -68.9% )</t>
  </si>
  <si>
    <t>119000 ( 31.0% )</t>
  </si>
  <si>
    <t>21 ( 38.2% )</t>
  </si>
  <si>
    <t>105000 ( 20.9% )</t>
  </si>
  <si>
    <t>9 ( 11.8% )</t>
  </si>
  <si>
    <t>-280000 ( -46.1% )</t>
  </si>
  <si>
    <t>-42 ( -49.4% )</t>
  </si>
  <si>
    <t>629000 ( 191.8% )</t>
  </si>
  <si>
    <t>89 ( 207.0% )</t>
  </si>
  <si>
    <t>-790000 ( -82.5% )</t>
  </si>
  <si>
    <t>-106 ( -80.3% )</t>
  </si>
  <si>
    <t>-36000 ( -21.6% )</t>
  </si>
  <si>
    <t>-6 ( -23.1% )</t>
  </si>
  <si>
    <t>166000 ( 100.0% )</t>
  </si>
  <si>
    <t>24 ( 100.0% )</t>
  </si>
  <si>
    <t>-75000 ( -45.2% )</t>
  </si>
  <si>
    <t>151000 ( 165.9% )</t>
  </si>
  <si>
    <t>21 ( 161.5% )</t>
  </si>
  <si>
    <t>-130000 ( -53.7% )</t>
  </si>
  <si>
    <t>-56000 ( -50.0% )</t>
  </si>
  <si>
    <t>-8 ( -50.0% )</t>
  </si>
  <si>
    <t>114000 ( 203.6% )</t>
  </si>
  <si>
    <t>582000 ( 100.0% )</t>
  </si>
  <si>
    <t>97 ( 100.0% )</t>
  </si>
  <si>
    <t>■ '다시, 봄' 일자별 통계정보</t>
  </si>
  <si>
    <t>13510060 ( 71.6% )</t>
  </si>
  <si>
    <t>2058 ( 99.6% )</t>
  </si>
  <si>
    <t>-6629620 ( -20.5% )</t>
  </si>
  <si>
    <t>-828 ( -20.1% )</t>
  </si>
  <si>
    <t>1476560 ( 5.7% )</t>
  </si>
  <si>
    <t>99 ( 3.0% )</t>
  </si>
  <si>
    <t>7473370 ( 27.5% )</t>
  </si>
  <si>
    <t>766 ( 22.6% )</t>
  </si>
  <si>
    <t>-4003450 ( -11.5% )</t>
  </si>
  <si>
    <t>-528 ( -12.7% )</t>
  </si>
  <si>
    <t>-19229500 ( -62.7% )</t>
  </si>
  <si>
    <t>-2119 ( -58.3% )</t>
  </si>
  <si>
    <t>2078660 ( 18.1% )</t>
  </si>
  <si>
    <t>277 ( 18.3% )</t>
  </si>
  <si>
    <t>-12597580 ( -93.1% )</t>
  </si>
  <si>
    <t>-1661 ( -92.7% )</t>
  </si>
  <si>
    <t>-646500 ( -68.7% )</t>
  </si>
  <si>
    <t>-94 ( -72.3% )</t>
  </si>
  <si>
    <t>1694960 ( 576.5% )</t>
  </si>
  <si>
    <t>243 ( 675.0% )</t>
  </si>
  <si>
    <t>-1040810 ( -52.3% )</t>
  </si>
  <si>
    <t>-171 ( -61.3% )</t>
  </si>
  <si>
    <t>44150 ( 4.7% )</t>
  </si>
  <si>
    <t>3 ( 2.8% )</t>
  </si>
  <si>
    <t>4303700 ( 433.7% )</t>
  </si>
  <si>
    <t>542 ( 488.3% )</t>
  </si>
  <si>
    <t>1334000 ( 25.2% )</t>
  </si>
  <si>
    <t>132 ( 20.2% )</t>
  </si>
  <si>
    <t>-827000 ( -12.5% )</t>
  </si>
  <si>
    <t>-45 ( -5.7% )</t>
  </si>
  <si>
    <t>-2611500 ( -45.0% )</t>
  </si>
  <si>
    <t>-263 ( -35.5% )</t>
  </si>
  <si>
    <t>-1696500 ( -53.2% )</t>
  </si>
  <si>
    <t>-205 ( -43.0% )</t>
  </si>
  <si>
    <t>■ '노무현과 바보들' 일자별 통계정보</t>
  </si>
  <si>
    <t>22264320 ( 1001.5% )</t>
  </si>
  <si>
    <t>3012 ( 1219.4% )</t>
  </si>
  <si>
    <t>-5434940 ( -22.2% )</t>
  </si>
  <si>
    <t>-1029 ( -31.6% )</t>
  </si>
  <si>
    <t>5976820 ( 31.4% )</t>
  </si>
  <si>
    <t>798 ( 35.8% )</t>
  </si>
  <si>
    <t>-51500 ( -0.2% )</t>
  </si>
  <si>
    <t>7 ( 0.2% )</t>
  </si>
  <si>
    <t>-10532920 ( -42.2% )</t>
  </si>
  <si>
    <t>-1087 ( -35.8% )</t>
  </si>
  <si>
    <t>1758280 ( 12.2% )</t>
  </si>
  <si>
    <t>213 ( 10.9% )</t>
  </si>
  <si>
    <t>-9514260 ( -58.7% )</t>
  </si>
  <si>
    <t>-1097 ( -50.8% )</t>
  </si>
  <si>
    <t>-1698200 ( -25.4% )</t>
  </si>
  <si>
    <t>-269 ( -25.3% )</t>
  </si>
  <si>
    <t>-3199000 ( -64.1% )</t>
  </si>
  <si>
    <t>-524 ( -65.9% )</t>
  </si>
  <si>
    <t>1222500 ( 68.2% )</t>
  </si>
  <si>
    <t>125 ( 46.1% )</t>
  </si>
  <si>
    <t>1287100 ( 42.7% )</t>
  </si>
  <si>
    <t>188 ( 47.5% )</t>
  </si>
  <si>
    <t>-780000 ( -18.1% )</t>
  </si>
  <si>
    <t>-139 ( -23.8% )</t>
  </si>
  <si>
    <t>-1975000 ( -56.1% )</t>
  </si>
  <si>
    <t>-221 ( -49.7% )</t>
  </si>
  <si>
    <t>581200 ( 37.6% )</t>
  </si>
  <si>
    <t>97 ( 43.3% )</t>
  </si>
  <si>
    <t>-1043400 ( -49.0% )</t>
  </si>
  <si>
    <t>-157 ( -48.9% )</t>
  </si>
  <si>
    <t>-338400 ( -31.2% )</t>
  </si>
  <si>
    <t>-60 ( -36.6% )</t>
  </si>
  <si>
    <t>233400 ( 31.3% )</t>
  </si>
  <si>
    <t>25 ( 24.0% )</t>
  </si>
  <si>
    <t>-234000 ( -23.9% )</t>
  </si>
  <si>
    <t>-32 ( -24.8% )</t>
  </si>
  <si>
    <t>755000 ( 101.3% )</t>
  </si>
  <si>
    <t>134 ( 138.1% )</t>
  </si>
  <si>
    <t>-1162000 ( -77.5% )</t>
  </si>
  <si>
    <t>-176 ( -76.2% )</t>
  </si>
  <si>
    <t>405000 ( 119.8% )</t>
  </si>
  <si>
    <t>63 ( 114.5% )</t>
  </si>
  <si>
    <t>-16000 ( -2.2% )</t>
  </si>
  <si>
    <t>1 ( 0.8% )</t>
  </si>
  <si>
    <t>-591000 ( -81.3% )</t>
  </si>
  <si>
    <t>-101 ( -84.9% )</t>
  </si>
  <si>
    <t>336500 ( 247.4% )</t>
  </si>
  <si>
    <t>48 ( 266.7% )</t>
  </si>
  <si>
    <t>196000 ( 41.5% )</t>
  </si>
  <si>
    <t>22 ( 33.3% )</t>
  </si>
  <si>
    <t>113500 ( 17.0% )</t>
  </si>
  <si>
    <t>24 ( 27.3% )</t>
  </si>
  <si>
    <t>-586500 ( -75.0% )</t>
  </si>
  <si>
    <t>-82 ( -73.2% )</t>
  </si>
  <si>
    <t>-44000 ( -22.5% )</t>
  </si>
  <si>
    <t>651500 ( 430.0% )</t>
  </si>
  <si>
    <t>139 ( 604.3% )</t>
  </si>
  <si>
    <t>1433500 ( 178.5% )</t>
  </si>
  <si>
    <t>183 ( 113.0% )</t>
  </si>
  <si>
    <t>-2012000 ( -90.0% )</t>
  </si>
  <si>
    <t>-311 ( -90.1% )</t>
  </si>
  <si>
    <t>77500 ( 34.5% )</t>
  </si>
  <si>
    <t>4 ( 11.8% )</t>
  </si>
  <si>
    <t>438500 ( 145.2% )</t>
  </si>
  <si>
    <t>90 ( 236.8% )</t>
  </si>
  <si>
    <t>89500 ( 12.1% )</t>
  </si>
  <si>
    <t>-10 ( -7.8% )</t>
  </si>
  <si>
    <t>341000 ( 41.1% )</t>
  </si>
  <si>
    <t>62 ( 52.5% )</t>
  </si>
  <si>
    <t>503000 ( 43.0% )</t>
  </si>
  <si>
    <t>86 ( 47.8% )</t>
  </si>
  <si>
    <t>735000 ( 100.0% )</t>
  </si>
  <si>
    <t>125 ( 100.0% )</t>
  </si>
  <si>
    <t>2380000 ( 100.0% )</t>
  </si>
  <si>
    <t>238 ( 100.0% )</t>
  </si>
  <si>
    <t>■ '악인전' 일자별 통계정보</t>
  </si>
  <si>
    <t>1444258970 ( 100.0% )</t>
  </si>
  <si>
    <t>175397 ( 100.0% )</t>
  </si>
  <si>
    <t>-36641700 ( -2.5% )</t>
  </si>
  <si>
    <t>-4854 ( -2.8% )</t>
  </si>
  <si>
    <t>556087990 ( 39.5% )</t>
  </si>
  <si>
    <t>47032 ( 27.6% )</t>
  </si>
  <si>
    <t>2161358860 ( 110.1% )</t>
  </si>
  <si>
    <t>237418 ( 109.1% )</t>
  </si>
  <si>
    <t>-113578560 ( -2.8% )</t>
  </si>
  <si>
    <t>-14203 ( -3.1% )</t>
  </si>
  <si>
    <t>-2640161870 ( -65.8% )</t>
  </si>
  <si>
    <t>-275203 ( -62.4% )</t>
  </si>
  <si>
    <t>-223155740 ( -16.3% )</t>
  </si>
  <si>
    <t>-26758 ( -16.2% )</t>
  </si>
  <si>
    <t>-74952510 ( -6.5% )</t>
  </si>
  <si>
    <t>-8811 ( -6.3% )</t>
  </si>
  <si>
    <t>-124588870 ( -11.6% )</t>
  </si>
  <si>
    <t>-15558 ( -12.0% )</t>
  </si>
  <si>
    <t>446979030 ( 47.1% )</t>
  </si>
  <si>
    <t>39401 ( 34.4% )</t>
  </si>
  <si>
    <t>1398291490 ( 100.2% )</t>
  </si>
  <si>
    <t>152698 ( 99.2% )</t>
  </si>
  <si>
    <t>-309227080 ( -11.1% )</t>
  </si>
  <si>
    <t>-34249 ( -11.2% )</t>
  </si>
  <si>
    <t>-1583277030 ( -63.7% )</t>
  </si>
  <si>
    <t>-163018 ( -59.9% )</t>
  </si>
  <si>
    <t>-249058160 ( -27.6% )</t>
  </si>
  <si>
    <t>-29763 ( -27.2% )</t>
  </si>
  <si>
    <t>160042670 ( 24.5% )</t>
  </si>
  <si>
    <t>53778 ( 67.6% )</t>
  </si>
  <si>
    <t>-506417490 ( -62.3% )</t>
  </si>
  <si>
    <t>-95910 ( -71.9% )</t>
  </si>
  <si>
    <t>103132470 ( 33.7% )</t>
  </si>
  <si>
    <t>9190 ( 24.6% )</t>
  </si>
  <si>
    <t>158198730 ( 38.7% )</t>
  </si>
  <si>
    <t>16299 ( 35.0% )</t>
  </si>
  <si>
    <t>-116896150 ( -20.6% )</t>
  </si>
  <si>
    <t>-12938 ( -20.6% )</t>
  </si>
  <si>
    <t>-290997990 ( -64.6% )</t>
  </si>
  <si>
    <t>-30500 ( -61.1% )</t>
  </si>
  <si>
    <t>-15587770 ( -9.8% )</t>
  </si>
  <si>
    <t>-1795 ( -9.2% )</t>
  </si>
  <si>
    <t>-80695760 ( -56.1% )</t>
  </si>
  <si>
    <t>-9772 ( -55.4% )</t>
  </si>
  <si>
    <t>-9668730 ( -15.3% )</t>
  </si>
  <si>
    <t>-1733 ( -22.0% )</t>
  </si>
  <si>
    <t>-14109880 ( -26.4% )</t>
  </si>
  <si>
    <t>-1587 ( -25.8% )</t>
  </si>
  <si>
    <t>10209350 ( 26.0% )</t>
  </si>
  <si>
    <t>984 ( 21.6% )</t>
  </si>
  <si>
    <t>-8851570 ( -17.9% )</t>
  </si>
  <si>
    <t>-989 ( -17.8% )</t>
  </si>
  <si>
    <t>-19445930 ( -47.8% )</t>
  </si>
  <si>
    <t>-1942 ( -42.6% )</t>
  </si>
  <si>
    <t>-3451460 ( -16.2% )</t>
  </si>
  <si>
    <t>-429 ( -16.4% )</t>
  </si>
  <si>
    <t>-9307890 ( -52.3% )</t>
  </si>
  <si>
    <t>-1127 ( -51.6% )</t>
  </si>
  <si>
    <t>-2153340 ( -25.4% )</t>
  </si>
  <si>
    <t>-286 ( -27.0% )</t>
  </si>
  <si>
    <t>1122180 ( 17.7% )</t>
  </si>
  <si>
    <t>62 ( 8.0% )</t>
  </si>
  <si>
    <t>7414830 ( 99.4% )</t>
  </si>
  <si>
    <t>807 ( 96.8% )</t>
  </si>
  <si>
    <t>-2547200 ( -17.1% )</t>
  </si>
  <si>
    <t>-322 ( -19.6% )</t>
  </si>
  <si>
    <t>-5263460 ( -42.7% )</t>
  </si>
  <si>
    <t>-362 ( -27.4% )</t>
  </si>
  <si>
    <t>-1309490 ( -18.5% )</t>
  </si>
  <si>
    <t>-254 ( -26.5% )</t>
  </si>
  <si>
    <t>-3567040 ( -62.0% )</t>
  </si>
  <si>
    <t>-432 ( -61.5% )</t>
  </si>
  <si>
    <t>-1680100 ( -76.9% )</t>
  </si>
  <si>
    <t>-205 ( -75.6% )</t>
  </si>
  <si>
    <t>688700 ( 136.7% )</t>
  </si>
  <si>
    <t>125 ( 189.4% )</t>
  </si>
  <si>
    <t>841300 ( 70.5% )</t>
  </si>
  <si>
    <t>89 ( 46.6% )</t>
  </si>
  <si>
    <t>-528820 ( -26.0% )</t>
  </si>
  <si>
    <t>-63 ( -22.5% )</t>
  </si>
  <si>
    <t>164330 ( 10.9% )</t>
  </si>
  <si>
    <t>36 ( 16.6% )</t>
  </si>
  <si>
    <t>1522570 ( 91.2% )</t>
  </si>
  <si>
    <t>306 ( 120.9% )</t>
  </si>
  <si>
    <t>-366580 ( -11.5% )</t>
  </si>
  <si>
    <t>-29 ( -5.2% )</t>
  </si>
  <si>
    <t>1580700 ( 55.9% )</t>
  </si>
  <si>
    <t>36 ( 6.8% )</t>
  </si>
  <si>
    <t>-3505200 ( -79.6% )</t>
  </si>
  <si>
    <t>-411 ( -72.6% )</t>
  </si>
  <si>
    <t>67400 ( 7.5% )</t>
  </si>
  <si>
    <t>11 ( 7.1% )</t>
  </si>
  <si>
    <t>-174900 ( -18.1% )</t>
  </si>
  <si>
    <t>-25 ( -15.1% )</t>
  </si>
  <si>
    <t>2700 ( 0.3% )</t>
  </si>
  <si>
    <t>2 ( 1.4% )</t>
  </si>
  <si>
    <t>-14 ( -9.8% )</t>
  </si>
  <si>
    <t>81280 ( 12.3% )</t>
  </si>
  <si>
    <t>11 ( 8.5% )</t>
  </si>
  <si>
    <t>-55280 ( -7.4% )</t>
  </si>
  <si>
    <t>-8 ( -5.7% )</t>
  </si>
  <si>
    <t>121800 ( 17.7% )</t>
  </si>
  <si>
    <t>13 ( 9.8% )</t>
  </si>
  <si>
    <t>153700 ( 18.9% )</t>
  </si>
  <si>
    <t>13 ( 9.0% )</t>
  </si>
  <si>
    <t>-143900 ( -14.9% )</t>
  </si>
  <si>
    <t>-14 ( -8.9% )</t>
  </si>
  <si>
    <t>-63100 ( -7.7% )</t>
  </si>
  <si>
    <t>-6 ( -4.2% )</t>
  </si>
  <si>
    <t>-107000 ( -14.1% )</t>
  </si>
  <si>
    <t>-12 ( -8.7% )</t>
  </si>
  <si>
    <t>91000 ( 14.0% )</t>
  </si>
  <si>
    <t>11 ( 8.7% )</t>
  </si>
  <si>
    <t>-5000 ( -0.7% )</t>
  </si>
  <si>
    <t>-1 ( -0.7% )</t>
  </si>
  <si>
    <t>-17500 ( -2.4% )</t>
  </si>
  <si>
    <t>-2 ( -1.5% )</t>
  </si>
  <si>
    <t>178900 ( 24.9% )</t>
  </si>
  <si>
    <t>20 ( 14.9% )</t>
  </si>
  <si>
    <t>-32500 ( -3.6% )</t>
  </si>
  <si>
    <t>-2 ( -1.3% )</t>
  </si>
  <si>
    <t>-173900 ( -20.1% )</t>
  </si>
  <si>
    <t>-21 ( -13.8% )</t>
  </si>
  <si>
    <t>-21500 ( -3.1% )</t>
  </si>
  <si>
    <t>■ '걸캅스' 일자별 통계정보</t>
  </si>
  <si>
    <t>599608410 ( 44284.2% )</t>
  </si>
  <si>
    <t>74549 ( 44111.8% )</t>
  </si>
  <si>
    <t>282164623 ( 47.0% )</t>
  </si>
  <si>
    <t>25831 ( 34.6% )</t>
  </si>
  <si>
    <t>952629428 ( 107.9% )</t>
  </si>
  <si>
    <t>107057 ( 106.5% )</t>
  </si>
  <si>
    <t>-41577611 ( -2.3% )</t>
  </si>
  <si>
    <t>-4298 ( -2.1% )</t>
  </si>
  <si>
    <t>-1191298030 ( -66.4% )</t>
  </si>
  <si>
    <t>-129334 ( -63.6% )</t>
  </si>
  <si>
    <t>6263000 ( 1.0% )</t>
  </si>
  <si>
    <t>2570 ( 3.5% )</t>
  </si>
  <si>
    <t>-100592800 ( -16.5% )</t>
  </si>
  <si>
    <t>-12545 ( -16.4% )</t>
  </si>
  <si>
    <t>-110532340 ( -21.7% )</t>
  </si>
  <si>
    <t>-14490 ( -22.6% )</t>
  </si>
  <si>
    <t>214993530 ( 54.0% )</t>
  </si>
  <si>
    <t>21262 ( 42.9% )</t>
  </si>
  <si>
    <t>768835380 ( 125.4% )</t>
  </si>
  <si>
    <t>86841 ( 122.7% )</t>
  </si>
  <si>
    <t>-130079870 ( -9.4% )</t>
  </si>
  <si>
    <t>-14164 ( -9.0% )</t>
  </si>
  <si>
    <t>-917164600 ( -73.3% )</t>
  </si>
  <si>
    <t>-102134 ( -71.2% )</t>
  </si>
  <si>
    <t>-22462920 ( -6.7% )</t>
  </si>
  <si>
    <t>-2302 ( -5.6% )</t>
  </si>
  <si>
    <t>-450180 ( -0.1% )</t>
  </si>
  <si>
    <t>-172 ( -0.4% )</t>
  </si>
  <si>
    <t>-103019210 ( -33.1% )</t>
  </si>
  <si>
    <t>-12793 ( -32.9% )</t>
  </si>
  <si>
    <t>99906980 ( 47.9% )</t>
  </si>
  <si>
    <t>9455 ( 36.3% )</t>
  </si>
  <si>
    <t>301845060 ( 97.8% )</t>
  </si>
  <si>
    <t>33582 ( 94.6% )</t>
  </si>
  <si>
    <t>-82422460 ( -13.5% )</t>
  </si>
  <si>
    <t>-8543 ( -12.4% )</t>
  </si>
  <si>
    <t>-356494170 ( -67.5% )</t>
  </si>
  <si>
    <t>-39211 ( -64.8% )</t>
  </si>
  <si>
    <t>-28586200 ( -16.7% )</t>
  </si>
  <si>
    <t>-3430 ( -16.1% )</t>
  </si>
  <si>
    <t>14601080 ( 10.2% )</t>
  </si>
  <si>
    <t>8523 ( 47.6% )</t>
  </si>
  <si>
    <t>-134908130 ( -85.6% )</t>
  </si>
  <si>
    <t>-23504 ( -89.0% )</t>
  </si>
  <si>
    <t>9332040 ( 41.3% )</t>
  </si>
  <si>
    <t>926 ( 31.7% )</t>
  </si>
  <si>
    <t>4075210 ( 12.8% )</t>
  </si>
  <si>
    <t>413 ( 10.7% )</t>
  </si>
  <si>
    <t>-4663070 ( -12.9% )</t>
  </si>
  <si>
    <t>-497 ( -11.7% )</t>
  </si>
  <si>
    <t>-17718080 ( -56.5% )</t>
  </si>
  <si>
    <t>-2007 ( -53.4% )</t>
  </si>
  <si>
    <t>-2776310 ( -20.4% )</t>
  </si>
  <si>
    <t>-267 ( -15.2% )</t>
  </si>
  <si>
    <t>-7915760 ( -72.9% )</t>
  </si>
  <si>
    <t>-1080 ( -72.6% )</t>
  </si>
  <si>
    <t>-2075060 ( -70.4% )</t>
  </si>
  <si>
    <t>-287 ( -70.5% )</t>
  </si>
  <si>
    <t>543040 ( 62.3% )</t>
  </si>
  <si>
    <t>77 ( 64.2% )</t>
  </si>
  <si>
    <t>164680 ( 11.6% )</t>
  </si>
  <si>
    <t>53 ( 26.9% )</t>
  </si>
  <si>
    <t>82300 ( 5.2% )</t>
  </si>
  <si>
    <t>9 ( 3.6% )</t>
  </si>
  <si>
    <t>-648960 ( -39.0% )</t>
  </si>
  <si>
    <t>-75 ( -29.0% )</t>
  </si>
  <si>
    <t>49500 ( 4.9% )</t>
  </si>
  <si>
    <t>5 ( 2.7% )</t>
  </si>
  <si>
    <t>-186500 ( -17.6% )</t>
  </si>
  <si>
    <t>-23 ( -12.2% )</t>
  </si>
  <si>
    <t>219000 ( 25.0% )</t>
  </si>
  <si>
    <t>30 ( 18.1% )</t>
  </si>
  <si>
    <t>-239000 ( -21.8% )</t>
  </si>
  <si>
    <t>-35 ( -17.9% )</t>
  </si>
  <si>
    <t>-29000 ( -3.4% )</t>
  </si>
  <si>
    <t>-23000 ( -2.8% )</t>
  </si>
  <si>
    <t>305000 ( 37.9% )</t>
  </si>
  <si>
    <t>69 ( 43.7% )</t>
  </si>
  <si>
    <t>4141000 ( 373.4% )</t>
  </si>
  <si>
    <t>790 ( 348.0% )</t>
  </si>
  <si>
    <t>-2646520 ( -50.4% )</t>
  </si>
  <si>
    <t>-539 ( -53.0% )</t>
  </si>
  <si>
    <t>2423520 ( 93.1% )</t>
  </si>
  <si>
    <t>486 ( 101.7% )</t>
  </si>
  <si>
    <t>-4265000 ( -84.8% )</t>
  </si>
  <si>
    <t>-813 ( -84.3% )</t>
  </si>
  <si>
    <t>554000 ( 72.7% )</t>
  </si>
  <si>
    <t>97 ( 64.2% )</t>
  </si>
  <si>
    <t>-566000 ( -43.0% )</t>
  </si>
  <si>
    <t>-98 ( -39.5% )</t>
  </si>
  <si>
    <t>665000 ( 88.7% )</t>
  </si>
  <si>
    <t>137 ( 91.3% )</t>
  </si>
  <si>
    <t>-605000 ( -42.8% )</t>
  </si>
  <si>
    <t>-125 ( -43.6% )</t>
  </si>
  <si>
    <t>-700000 ( -86.4% )</t>
  </si>
  <si>
    <t>-140 ( -86.4% )</t>
  </si>
  <si>
    <t>1610000 ( 1463.6% )</t>
  </si>
  <si>
    <t>231 ( 1050.0% )</t>
  </si>
  <si>
    <t>-1510000 ( -87.8% )</t>
  </si>
  <si>
    <t>-211 ( -83.4% )</t>
  </si>
  <si>
    <t>650000 ( 100.0% )</t>
  </si>
  <si>
    <t>129 ( 100.0% )</t>
  </si>
  <si>
    <t>97000 ( 14.9% )</t>
  </si>
  <si>
    <t>-46 ( -35.7% )</t>
  </si>
  <si>
    <t>630000 ( 100.0% )</t>
  </si>
  <si>
    <t>126 ( 100.0% )</t>
  </si>
  <si>
    <t>150000 ( 23.8% )</t>
  </si>
  <si>
    <t>30 ( 23.8% )</t>
  </si>
  <si>
    <t>422000 ( 8440.0% )</t>
  </si>
  <si>
    <t>55 ( 5500.0% )</t>
  </si>
  <si>
    <t>■ '기생충' 일자별 통계정보</t>
  </si>
  <si>
    <t>4519237500 ( 7525.4% )</t>
  </si>
  <si>
    <t>562494 ( 10048.1% )</t>
  </si>
  <si>
    <t>1314020475 ( 28.7% )</t>
  </si>
  <si>
    <t>99685 ( 17.5% )</t>
  </si>
  <si>
    <t>4014366498 ( 68.1% )</t>
  </si>
  <si>
    <t>458749 ( 68.7% )</t>
  </si>
  <si>
    <t>-1202475203 ( -12.1% )</t>
  </si>
  <si>
    <t>-132068 ( -11.7% )</t>
  </si>
  <si>
    <t>-5634147840 ( -64.7% )</t>
  </si>
  <si>
    <t>-612020 ( -61.5% )</t>
  </si>
  <si>
    <t>-288960240 ( -9.4% )</t>
  </si>
  <si>
    <t>-33768 ( -8.8% )</t>
  </si>
  <si>
    <t>653388670 ( 23.5% )</t>
  </si>
  <si>
    <t>77052 ( 22.1% )</t>
  </si>
  <si>
    <t>3774503430 ( 109.9% )</t>
  </si>
  <si>
    <t>405836 ( 95.3% )</t>
  </si>
  <si>
    <t>-2691382516 ( -37.3% )</t>
  </si>
  <si>
    <t>-311907 ( -37.5% )</t>
  </si>
  <si>
    <t>1114837649 ( 24.7% )</t>
  </si>
  <si>
    <t>117790 ( 22.7% )</t>
  </si>
  <si>
    <t>-1133715863 ( -20.1% )</t>
  </si>
  <si>
    <t>-128429 ( -20.1% )</t>
  </si>
  <si>
    <t>-2939860780 ( -65.3% )</t>
  </si>
  <si>
    <t>-314400 ( -61.8% )</t>
  </si>
  <si>
    <t>-300018980 ( -19.2% )</t>
  </si>
  <si>
    <t>-36885 ( -19.0% )</t>
  </si>
  <si>
    <t>-87479210 ( -6.9% )</t>
  </si>
  <si>
    <t>-11511 ( -7.3% )</t>
  </si>
  <si>
    <t>-79534820 ( -6.8% )</t>
  </si>
  <si>
    <t>-10041 ( -6.9% )</t>
  </si>
  <si>
    <t>392531450 ( 35.9% )</t>
  </si>
  <si>
    <t>31985 ( 23.5% )</t>
  </si>
  <si>
    <t>1004532240 ( 67.6% )</t>
  </si>
  <si>
    <t>110806 ( 65.9% )</t>
  </si>
  <si>
    <t>-314796580 ( -12.6% )</t>
  </si>
  <si>
    <t>-37407 ( -13.4% )</t>
  </si>
  <si>
    <t>-1327280580 ( -61.0% )</t>
  </si>
  <si>
    <t>-136391 ( -56.5% )</t>
  </si>
  <si>
    <t>-43832630 ( -5.2% )</t>
  </si>
  <si>
    <t>-4495 ( -4.3% )</t>
  </si>
  <si>
    <t>-61532690 ( -7.7% )</t>
  </si>
  <si>
    <t>-8519 ( -8.5% )</t>
  </si>
  <si>
    <t>-101131750 ( -13.6% )</t>
  </si>
  <si>
    <t>-12884 ( -14.0% )</t>
  </si>
  <si>
    <t>196711600 ( 30.7% )</t>
  </si>
  <si>
    <t>14714 ( 18.6% )</t>
  </si>
  <si>
    <t>466575300 ( 55.7% )</t>
  </si>
  <si>
    <t>51860 ( 55.2% )</t>
  </si>
  <si>
    <t>-110878190 ( -8.5% )</t>
  </si>
  <si>
    <t>-12595 ( -8.6% )</t>
  </si>
  <si>
    <t>-629402420 ( -52.7% )</t>
  </si>
  <si>
    <t>-62800 ( -47.1% )</t>
  </si>
  <si>
    <t>-44763610 ( -7.9% )</t>
  </si>
  <si>
    <t>-4724 ( -6.7% )</t>
  </si>
  <si>
    <t>-74864320 ( -14.4% )</t>
  </si>
  <si>
    <t>5637 ( 8.6% )</t>
  </si>
  <si>
    <t>-79784290 ( -17.9% )</t>
  </si>
  <si>
    <t>-24899 ( -34.9% )</t>
  </si>
  <si>
    <t>75777290 ( 20.8% )</t>
  </si>
  <si>
    <t>3868 ( 8.3% )</t>
  </si>
  <si>
    <t>368209740 ( 83.6% )</t>
  </si>
  <si>
    <t>40431 ( 80.3% )</t>
  </si>
  <si>
    <t>-45968710 ( -5.7% )</t>
  </si>
  <si>
    <t>-4305 ( -4.7% )</t>
  </si>
  <si>
    <t>-438135580 ( -57.4% )</t>
  </si>
  <si>
    <t>-45952 ( -53.2% )</t>
  </si>
  <si>
    <t>-141680310 ( -43.6% )</t>
  </si>
  <si>
    <t>-17467 ( -43.1% )</t>
  </si>
  <si>
    <t>-4876580 ( -2.7% )</t>
  </si>
  <si>
    <t>-744 ( -3.2% )</t>
  </si>
  <si>
    <t>-2236530 ( -1.3% )</t>
  </si>
  <si>
    <t>-216 ( -1.0% )</t>
  </si>
  <si>
    <t>42152090 ( 23.9% )</t>
  </si>
  <si>
    <t>2719 ( 12.3% )</t>
  </si>
  <si>
    <t>90028850 ( 41.3% )</t>
  </si>
  <si>
    <t>9877 ( 39.8% )</t>
  </si>
  <si>
    <t>-39843070 ( -12.9% )</t>
  </si>
  <si>
    <t>-4267 ( -12.3% )</t>
  </si>
  <si>
    <t>-98578000 ( -36.7% )</t>
  </si>
  <si>
    <t>-7466 ( -24.6% )</t>
  </si>
  <si>
    <t>2407380 ( 1.4% )</t>
  </si>
  <si>
    <t>346 ( 1.5% )</t>
  </si>
  <si>
    <t>-41632960 ( -24.2% )</t>
  </si>
  <si>
    <t>-5184 ( -22.3% )</t>
  </si>
  <si>
    <t>-12676060 ( -9.7% )</t>
  </si>
  <si>
    <t>-1172 ( -6.5% )</t>
  </si>
  <si>
    <t>11398900 ( 9.7% )</t>
  </si>
  <si>
    <t>228 ( 1.3% )</t>
  </si>
  <si>
    <t>69206640 ( 53.5% )</t>
  </si>
  <si>
    <t>7143 ( 41.6% )</t>
  </si>
  <si>
    <t>-19463410 ( -9.8% )</t>
  </si>
  <si>
    <t>-1496 ( -6.2% )</t>
  </si>
  <si>
    <t>-76388180 ( -42.7% )</t>
  </si>
  <si>
    <t>-7750 ( -34.0% )</t>
  </si>
  <si>
    <t>2305930 ( 2.2% )</t>
  </si>
  <si>
    <t>894 ( 5.9% )</t>
  </si>
  <si>
    <t>-53991710 ( -51.5% )</t>
  </si>
  <si>
    <t>-8064 ( -50.6% )</t>
  </si>
  <si>
    <t>■ '명탐정 피카츄' 일자별 통계정보</t>
  </si>
  <si>
    <t>449485960 ( 100.0% )</t>
  </si>
  <si>
    <t>54170 ( 100.0% )</t>
  </si>
  <si>
    <t>78609730 ( 17.5% )</t>
  </si>
  <si>
    <t>9194 ( 17.0% )</t>
  </si>
  <si>
    <t>24096070 ( 4.6% )</t>
  </si>
  <si>
    <t>4802 ( 7.6% )</t>
  </si>
  <si>
    <t>222935100 ( 100.0% )</t>
  </si>
  <si>
    <t>27354 ( 100.0% )</t>
  </si>
  <si>
    <t>89379777 ( 40.1% )</t>
  </si>
  <si>
    <t>7690 ( 28.1% )</t>
  </si>
  <si>
    <t>559600482 ( 179.2% )</t>
  </si>
  <si>
    <t>67833 ( 193.6% )</t>
  </si>
  <si>
    <t>-26840589 ( -3.1% )</t>
  </si>
  <si>
    <t>-2176 ( -2.1% )</t>
  </si>
  <si>
    <t>-688159120 ( -81.4% )</t>
  </si>
  <si>
    <t>-81618 ( -81.0% )</t>
  </si>
  <si>
    <t>-9245090 ( -5.9% )</t>
  </si>
  <si>
    <t>-965 ( -5.1% )</t>
  </si>
  <si>
    <t>-45247110 ( -30.6% )</t>
  </si>
  <si>
    <t>-5136 ( -28.3% )</t>
  </si>
  <si>
    <t>-32538960 ( -31.8% )</t>
  </si>
  <si>
    <t>-4587 ( -35.3% )</t>
  </si>
  <si>
    <t>39923420 ( 57.1% )</t>
  </si>
  <si>
    <t>4090 ( 48.7% )</t>
  </si>
  <si>
    <t>329530340 ( 300.1% )</t>
  </si>
  <si>
    <t>40371 ( 323.4% )</t>
  </si>
  <si>
    <t>35940490 ( 8.2% )</t>
  </si>
  <si>
    <t>4495 ( 8.5% )</t>
  </si>
  <si>
    <t>-419220370 ( -88.2% )</t>
  </si>
  <si>
    <t>-50543 ( -88.1% )</t>
  </si>
  <si>
    <t>-5118670 ( -9.1% )</t>
  </si>
  <si>
    <t>-627 ( -9.2% )</t>
  </si>
  <si>
    <t>-6460340 ( -12.7% )</t>
  </si>
  <si>
    <t>-633 ( -10.2% )</t>
  </si>
  <si>
    <t>-29994190 ( -67.4% )</t>
  </si>
  <si>
    <t>-3814 ( -68.7% )</t>
  </si>
  <si>
    <t>9955040 ( 68.7% )</t>
  </si>
  <si>
    <t>1014 ( 58.5% )</t>
  </si>
  <si>
    <t>67281380 ( 275.3% )</t>
  </si>
  <si>
    <t>8249 ( 300.2% )</t>
  </si>
  <si>
    <t>2785080 ( 3.0% )</t>
  </si>
  <si>
    <t>279 ( 2.5% )</t>
  </si>
  <si>
    <t>-84446330 ( -89.4% )</t>
  </si>
  <si>
    <t>-10061 ( -89.2% )</t>
  </si>
  <si>
    <t>-514910 ( -5.1% )</t>
  </si>
  <si>
    <t>-59 ( -4.9% )</t>
  </si>
  <si>
    <t>-3903890 ( -40.9% )</t>
  </si>
  <si>
    <t>-279 ( -24.1% )</t>
  </si>
  <si>
    <t>-3296260 ( -58.4% )</t>
  </si>
  <si>
    <t>-550 ( -62.7% )</t>
  </si>
  <si>
    <t>-424140 ( -18.1% )</t>
  </si>
  <si>
    <t>-98 ( -30.0% )</t>
  </si>
  <si>
    <t>6358680 ( 331.0% )</t>
  </si>
  <si>
    <t>800 ( 349.3% )</t>
  </si>
  <si>
    <t>-351740 ( -4.2% )</t>
  </si>
  <si>
    <t>-36 ( -3.5% )</t>
  </si>
  <si>
    <t>-7078800 ( -89.3% )</t>
  </si>
  <si>
    <t>-890 ( -89.6% )</t>
  </si>
  <si>
    <t>-18780 ( -2.2% )</t>
  </si>
  <si>
    <t>-3 ( -2.9% )</t>
  </si>
  <si>
    <t>-496000 ( -59.7% )</t>
  </si>
  <si>
    <t>-51 ( -51.0% )</t>
  </si>
  <si>
    <t>-147500 ( -44.1% )</t>
  </si>
  <si>
    <t>-19 ( -38.8% )</t>
  </si>
  <si>
    <t>-16000 ( -8.6% )</t>
  </si>
  <si>
    <t>-8 ( -26.7% )</t>
  </si>
  <si>
    <t>57000 ( 100.0% )</t>
  </si>
  <si>
    <t>-49000 ( -86.0% )</t>
  </si>
  <si>
    <t>129000 ( 1612.5% )</t>
  </si>
  <si>
    <t>21 ( 2100.0% )</t>
  </si>
  <si>
    <t>2079000 ( 100.0% )</t>
  </si>
  <si>
    <t>231 ( 100.0% )</t>
  </si>
  <si>
    <t>■ '배심원들' 일자별 통계정보</t>
  </si>
  <si>
    <t>60629790 ( 100.0% )</t>
  </si>
  <si>
    <t>6766 ( 100.0% )</t>
  </si>
  <si>
    <t>-6274260 ( -10.3% )</t>
  </si>
  <si>
    <t>-850 ( -12.6% )</t>
  </si>
  <si>
    <t>-38168530 ( -70.2% )</t>
  </si>
  <si>
    <t>-4121 ( -69.7% )</t>
  </si>
  <si>
    <t>1675200 ( 10.3% )</t>
  </si>
  <si>
    <t>-294 ( -16.4% )</t>
  </si>
  <si>
    <t>186434020 ( 1043.7% )</t>
  </si>
  <si>
    <t>24428 ( 1627.4% )</t>
  </si>
  <si>
    <t>-55972290 ( -27.4% )</t>
  </si>
  <si>
    <t>-7036 ( -27.1% )</t>
  </si>
  <si>
    <t>54603230 ( 36.8% )</t>
  </si>
  <si>
    <t>6966 ( 36.9% )</t>
  </si>
  <si>
    <t>180744770 ( 89.1% )</t>
  </si>
  <si>
    <t>21536 ( 83.3% )</t>
  </si>
  <si>
    <t>-2396450 ( -0.6% )</t>
  </si>
  <si>
    <t>-305 ( -0.6% )</t>
  </si>
  <si>
    <t>-234635750 ( -61.5% )</t>
  </si>
  <si>
    <t>-26679 ( -56.7% )</t>
  </si>
  <si>
    <t>-27013660 ( -18.4% )</t>
  </si>
  <si>
    <t>-5438 ( -26.6% )</t>
  </si>
  <si>
    <t>-40099220 ( -33.5% )</t>
  </si>
  <si>
    <t>-4801 ( -32.1% )</t>
  </si>
  <si>
    <t>-43186400 ( -54.3% )</t>
  </si>
  <si>
    <t>-5454 ( -53.6% )</t>
  </si>
  <si>
    <t>13684490 ( 37.7% )</t>
  </si>
  <si>
    <t>2124 ( 45.0% )</t>
  </si>
  <si>
    <t>37040300 ( 74.0% )</t>
  </si>
  <si>
    <t>3560 ( 52.0% )</t>
  </si>
  <si>
    <t>-89160 ( -0.1% )</t>
  </si>
  <si>
    <t>172 ( 1.7% )</t>
  </si>
  <si>
    <t>-60406720 ( -69.5% )</t>
  </si>
  <si>
    <t>-7177 ( -67.9% )</t>
  </si>
  <si>
    <t>-668230 ( -2.5% )</t>
  </si>
  <si>
    <t>-76 ( -2.2% )</t>
  </si>
  <si>
    <t>-10859730 ( -41.9% )</t>
  </si>
  <si>
    <t>-649 ( -19.5% )</t>
  </si>
  <si>
    <t>-10641900 ( -70.8% )</t>
  </si>
  <si>
    <t>-2109 ( -78.9% )</t>
  </si>
  <si>
    <t>-380700 ( -8.7% )</t>
  </si>
  <si>
    <t>-72 ( -12.8% )</t>
  </si>
  <si>
    <t>4900800 ( 121.9% )</t>
  </si>
  <si>
    <t>558 ( 113.6% )</t>
  </si>
  <si>
    <t>-1934500 ( -21.7% )</t>
  </si>
  <si>
    <t>-179 ( -17.1% )</t>
  </si>
  <si>
    <t>-4186600 ( -59.9% )</t>
  </si>
  <si>
    <t>-497 ( -57.1% )</t>
  </si>
  <si>
    <t>2776800 ( 99.2% )</t>
  </si>
  <si>
    <t>335 ( 89.8% )</t>
  </si>
  <si>
    <t>-2741300 ( -49.2% )</t>
  </si>
  <si>
    <t>-345 ( -48.7% )</t>
  </si>
  <si>
    <t>-1806000 ( -63.7% )</t>
  </si>
  <si>
    <t>-195 ( -53.7% )</t>
  </si>
  <si>
    <t>-600000 ( -58.4% )</t>
  </si>
  <si>
    <t>-121 ( -72.0% )</t>
  </si>
  <si>
    <t>281500 ( 65.8% )</t>
  </si>
  <si>
    <t>32 ( 68.1% )</t>
  </si>
  <si>
    <t>205500 ( 29.0% )</t>
  </si>
  <si>
    <t>28 ( 35.4% )</t>
  </si>
  <si>
    <t>866800 ( 94.7% )</t>
  </si>
  <si>
    <t>86 ( 80.4% )</t>
  </si>
  <si>
    <t>-1590800 ( -89.3% )</t>
  </si>
  <si>
    <t>-166 ( -86.0% )</t>
  </si>
  <si>
    <t>834500 ( 436.9% )</t>
  </si>
  <si>
    <t>135 ( 500.0% )</t>
  </si>
  <si>
    <t>-180500 ( -17.6% )</t>
  </si>
  <si>
    <t>-16 ( -9.9% )</t>
  </si>
  <si>
    <t>924000 ( 109.3% )</t>
  </si>
  <si>
    <t>149 ( 102.1% )</t>
  </si>
  <si>
    <t>-1566000 ( -88.5% )</t>
  </si>
  <si>
    <t>-256 ( -86.8% )</t>
  </si>
  <si>
    <t>70000 ( 34.5% )</t>
  </si>
  <si>
    <t>10 ( 25.6% )</t>
  </si>
  <si>
    <t>43000 ( 15.8% )</t>
  </si>
  <si>
    <t>8 ( 16.3% )</t>
  </si>
  <si>
    <t>-296000 ( -93.7% )</t>
  </si>
  <si>
    <t>-53 ( -93.0% )</t>
  </si>
  <si>
    <t>2916000 ( 14580.0% )</t>
  </si>
  <si>
    <t>582 ( 14550.0% )</t>
  </si>
  <si>
    <t>-1960000 ( -66.8% )</t>
  </si>
  <si>
    <t>-464 ( -79.2% )</t>
  </si>
  <si>
    <t>2176000 ( 100.0% )</t>
  </si>
  <si>
    <t>272 ( 100.0% )</t>
  </si>
  <si>
    <t>10092000 ( 100.0% )</t>
  </si>
  <si>
    <t>1177 ( 100.0% )</t>
  </si>
  <si>
    <t>602000 ( 100.0% )</t>
  </si>
  <si>
    <t>340000 ( 100.0% )</t>
  </si>
  <si>
    <t>59 ( 100.0% )</t>
  </si>
  <si>
    <t>750000 ( 100.0% )</t>
  </si>
  <si>
    <t>150 ( 100.0% )</t>
  </si>
  <si>
    <t>2107000 ( 100.0% )</t>
  </si>
  <si>
    <t>301 ( 100.0% )</t>
  </si>
  <si>
    <t>■ '어린 의뢰인' 일자별 통계정보</t>
  </si>
  <si>
    <t>166897420 ( 7655.8% )</t>
  </si>
  <si>
    <t>21044 ( 9653.2% )</t>
  </si>
  <si>
    <t>-38532250 ( -22.8% )</t>
  </si>
  <si>
    <t>-4919 ( -23.1% )</t>
  </si>
  <si>
    <t>58363133 ( 44.7% )</t>
  </si>
  <si>
    <t>5695 ( 34.8% )</t>
  </si>
  <si>
    <t>137962824 ( 73.0% )</t>
  </si>
  <si>
    <t>15365 ( 69.7% )</t>
  </si>
  <si>
    <t>-13355987 ( -4.1% )</t>
  </si>
  <si>
    <t>-1457 ( -3.9% )</t>
  </si>
  <si>
    <t>-209778390 ( -66.9% )</t>
  </si>
  <si>
    <t>-23064 ( -64.2% )</t>
  </si>
  <si>
    <t>-4656170 ( -4.5% )</t>
  </si>
  <si>
    <t>-668 ( -5.2% )</t>
  </si>
  <si>
    <t>-36434600 ( -36.8% )</t>
  </si>
  <si>
    <t>-1825 ( -14.9% )</t>
  </si>
  <si>
    <t>-52858820 ( -84.4% )</t>
  </si>
  <si>
    <t>-9064 ( -87.2% )</t>
  </si>
  <si>
    <t>3281550 ( 33.5% )</t>
  </si>
  <si>
    <t>345 ( 26.0% )</t>
  </si>
  <si>
    <t>9399450 ( 71.9% )</t>
  </si>
  <si>
    <t>1055 ( 63.2% )</t>
  </si>
  <si>
    <t>448460 ( 2.0% )</t>
  </si>
  <si>
    <t>-49 ( -1.8% )</t>
  </si>
  <si>
    <t>-17900920 ( -78.1% )</t>
  </si>
  <si>
    <t>-1983 ( -74.1% )</t>
  </si>
  <si>
    <t>3159480 ( 63.0% )</t>
  </si>
  <si>
    <t>416 ( 60.0% )</t>
  </si>
  <si>
    <t>-6232480 ( -76.2% )</t>
  </si>
  <si>
    <t>-831 ( -74.9% )</t>
  </si>
  <si>
    <t>2965300 ( 152.6% )</t>
  </si>
  <si>
    <t>291 ( 104.7% )</t>
  </si>
  <si>
    <t>-2128600 ( -43.4% )</t>
  </si>
  <si>
    <t>-229 ( -40.2% )</t>
  </si>
  <si>
    <t>-365400 ( -13.1% )</t>
  </si>
  <si>
    <t>-67 ( -19.7% )</t>
  </si>
  <si>
    <t>-347700 ( -14.4% )</t>
  </si>
  <si>
    <t>-38 ( -13.9% )</t>
  </si>
  <si>
    <t>-1055400 ( -51.1% )</t>
  </si>
  <si>
    <t>-83 ( -35.3% )</t>
  </si>
  <si>
    <t>-83600 ( -8.3% )</t>
  </si>
  <si>
    <t>-34 ( -22.4% )</t>
  </si>
  <si>
    <t>-128800 ( -13.9% )</t>
  </si>
  <si>
    <t>-5 ( -4.2% )</t>
  </si>
  <si>
    <t>334500 ( 41.9% )</t>
  </si>
  <si>
    <t>37 ( 32.7% )</t>
  </si>
  <si>
    <t>115000 ( 10.2% )</t>
  </si>
  <si>
    <t>39 ( 26.0% )</t>
  </si>
  <si>
    <t>138500 ( 11.1% )</t>
  </si>
  <si>
    <t>20 ( 10.6% )</t>
  </si>
  <si>
    <t>-158400 ( -11.4% )</t>
  </si>
  <si>
    <t>-49 ( -23.4% )</t>
  </si>
  <si>
    <t>-313000 ( -25.5% )</t>
  </si>
  <si>
    <t>-25 ( -15.6% )</t>
  </si>
  <si>
    <t>22900 ( 2.5% )</t>
  </si>
  <si>
    <t>-3 ( -2.2% )</t>
  </si>
  <si>
    <t>-45000 ( -4.8% )</t>
  </si>
  <si>
    <t>-10 ( -7.6% )</t>
  </si>
  <si>
    <t>-150000 ( -16.8% )</t>
  </si>
  <si>
    <t>-17 ( -13.9% )</t>
  </si>
  <si>
    <t>35500 ( 4.8% )</t>
  </si>
  <si>
    <t>5 ( 4.8% )</t>
  </si>
  <si>
    <t>55500 ( 7.1% )</t>
  </si>
  <si>
    <t>5 ( 4.5% )</t>
  </si>
  <si>
    <t>29000 ( 3.5% )</t>
  </si>
  <si>
    <t>4 ( 3.5% )</t>
  </si>
  <si>
    <t>-163000 ( -18.9% )</t>
  </si>
  <si>
    <t>-19 ( -16.0% )</t>
  </si>
  <si>
    <t>21000 ( 3.0% )</t>
  </si>
  <si>
    <t>3 ( 3.0% )</t>
  </si>
  <si>
    <t>19269000 ( 2672.5% )</t>
  </si>
  <si>
    <t>2305 ( 2237.9% )</t>
  </si>
  <si>
    <t>-19250000 ( -96.3% )</t>
  </si>
  <si>
    <t>-2303 ( -95.6% )</t>
  </si>
  <si>
    <t>18300 ( 2.5% )</t>
  </si>
  <si>
    <t>3 ( 2.9% )</t>
  </si>
  <si>
    <t>15700 ( 2.1% )</t>
  </si>
  <si>
    <t>-67000 ( -8.7% )</t>
  </si>
  <si>
    <t>-7 ( -6.5% )</t>
  </si>
  <si>
    <t>-697000 ( -98.6% )</t>
  </si>
  <si>
    <t>510000 ( 5100.0% )</t>
  </si>
  <si>
    <t>103 ( 10300.0% )</t>
  </si>
  <si>
    <t>■ '고질라: 킹 오브 몬스터' 일자별 통계정보</t>
  </si>
  <si>
    <t>- 조회일: 2019-07-18</t>
  </si>
  <si>
    <t>602759780 ( 8052.9% )</t>
  </si>
  <si>
    <t>88497 ( 17734.9% )</t>
  </si>
  <si>
    <t>-363159430 ( -59.5% )</t>
  </si>
  <si>
    <t>-61514 ( -69.1% )</t>
  </si>
  <si>
    <t>113348935 ( 45.9% )</t>
  </si>
  <si>
    <t>10237 ( 37.2% )</t>
  </si>
  <si>
    <t>377852088 ( 104.8% )</t>
  </si>
  <si>
    <t>40566 ( 107.5% )</t>
  </si>
  <si>
    <t>-136639623 ( -18.5% )</t>
  </si>
  <si>
    <t>-13254 ( -16.9% )</t>
  </si>
  <si>
    <t>-475246340 ( -79.0% )</t>
  </si>
  <si>
    <t>-51097 ( -78.6% )</t>
  </si>
  <si>
    <t>-8537170 ( -6.8% )</t>
  </si>
  <si>
    <t>-997 ( -7.2% )</t>
  </si>
  <si>
    <t>-79630370 ( -67.6% )</t>
  </si>
  <si>
    <t>-8226 ( -63.6% )</t>
  </si>
  <si>
    <t>11040110 ( 28.9% )</t>
  </si>
  <si>
    <t>1717 ( 36.4% )</t>
  </si>
  <si>
    <t>-14659160 ( -29.8% )</t>
  </si>
  <si>
    <t>-1870 ( -29.1% )</t>
  </si>
  <si>
    <t>6626340 ( 19.1% )</t>
  </si>
  <si>
    <t>621 ( 13.6% )</t>
  </si>
  <si>
    <t>-9891870 ( -24.0% )</t>
  </si>
  <si>
    <t>-1216 ( -23.5% )</t>
  </si>
  <si>
    <t>-23484530 ( -74.9% )</t>
  </si>
  <si>
    <t>-2935 ( -74.1% )</t>
  </si>
  <si>
    <t>-686910 ( -8.7% )</t>
  </si>
  <si>
    <t>-84 ( -8.2% )</t>
  </si>
  <si>
    <t>-4995250 ( -69.6% )</t>
  </si>
  <si>
    <t>-659 ( -69.8% )</t>
  </si>
  <si>
    <t>-50120 ( -2.3% )</t>
  </si>
  <si>
    <t>-25 ( -8.8% )</t>
  </si>
  <si>
    <t>1402820 ( 65.8% )</t>
  </si>
  <si>
    <t>138 ( 53.1% )</t>
  </si>
  <si>
    <t>3010760 ( 85.2% )</t>
  </si>
  <si>
    <t>390 ( 98.0% )</t>
  </si>
  <si>
    <t>-1611380 ( -24.6% )</t>
  </si>
  <si>
    <t>-198 ( -25.1% )</t>
  </si>
  <si>
    <t>-3679440 ( -74.6% )</t>
  </si>
  <si>
    <t>-426 ( -72.2% )</t>
  </si>
  <si>
    <t>392000 ( 31.3% )</t>
  </si>
  <si>
    <t>54 ( 32.9% )</t>
  </si>
  <si>
    <t>-695440 ( -42.2% )</t>
  </si>
  <si>
    <t>-89 ( -40.8% )</t>
  </si>
  <si>
    <t>-887800 ( -93.4% )</t>
  </si>
  <si>
    <t>-122 ( -94.6% )</t>
  </si>
  <si>
    <t>6000 ( 9.5% )</t>
  </si>
  <si>
    <t>241000 ( 349.3% )</t>
  </si>
  <si>
    <t>36 ( 360.0% )</t>
  </si>
  <si>
    <t>923000 ( 297.7% )</t>
  </si>
  <si>
    <t>99 ( 215.2% )</t>
  </si>
  <si>
    <t>-1179000 ( -95.6% )</t>
  </si>
  <si>
    <t>-136 ( -93.8% )</t>
  </si>
  <si>
    <t>5000 ( 9.3% )</t>
  </si>
  <si>
    <t>10251000 ( 100.0% )</t>
  </si>
  <si>
    <t>1139 ( 100.0% )</t>
  </si>
  <si>
    <t>■ '더 보이' 일자별 통계정보</t>
  </si>
  <si>
    <t>146359870 ( 100.0% )</t>
  </si>
  <si>
    <t>17628 ( 100.0% )</t>
  </si>
  <si>
    <t>-6620323 ( -4.5% )</t>
  </si>
  <si>
    <t>-2073 ( -11.8% )</t>
  </si>
  <si>
    <t>45593536 ( 32.6% )</t>
  </si>
  <si>
    <t>4955 ( 31.9% )</t>
  </si>
  <si>
    <t>-26575743 ( -14.3% )</t>
  </si>
  <si>
    <t>-2991 ( -14.6% )</t>
  </si>
  <si>
    <t>-103606970 ( -65.3% )</t>
  </si>
  <si>
    <t>-10900 ( -62.2% )</t>
  </si>
  <si>
    <t>-8349270 ( -15.1% )</t>
  </si>
  <si>
    <t>-998 ( -15.1% )</t>
  </si>
  <si>
    <t>-24206350 ( -51.7% )</t>
  </si>
  <si>
    <t>-2489 ( -44.3% )</t>
  </si>
  <si>
    <t>-15470470 ( -68.5% )</t>
  </si>
  <si>
    <t>-2217 ( -70.8% )</t>
  </si>
  <si>
    <t>-5474780 ( -76.8% )</t>
  </si>
  <si>
    <t>-734 ( -80.2% )</t>
  </si>
  <si>
    <t>421580 ( 25.6% )</t>
  </si>
  <si>
    <t>58 ( 32.0% )</t>
  </si>
  <si>
    <t>-427950 ( -20.7% )</t>
  </si>
  <si>
    <t>-45 ( -18.8% )</t>
  </si>
  <si>
    <t>-1010670 ( -61.5% )</t>
  </si>
  <si>
    <t>-110 ( -56.7% )</t>
  </si>
  <si>
    <t>384000 ( 60.7% )</t>
  </si>
  <si>
    <t>36 ( 42.9% )</t>
  </si>
  <si>
    <t>-945460 ( -93.0% )</t>
  </si>
  <si>
    <t>-108 ( -90.0% )</t>
  </si>
  <si>
    <t>69000 ( 97.2% )</t>
  </si>
  <si>
    <t>-113000 ( -80.7% )</t>
  </si>
  <si>
    <t>-13 ( -81.3% )</t>
  </si>
  <si>
    <t>70000 ( 259.3% )</t>
  </si>
  <si>
    <t>8 ( 266.7% )</t>
  </si>
  <si>
    <t>-88000 ( -90.7% )</t>
  </si>
  <si>
    <t>-10 ( -90.9% )</t>
  </si>
  <si>
    <t>1000 ( 11.1% )</t>
  </si>
  <si>
    <t>70000 ( 700.0% )</t>
  </si>
  <si>
    <t>300000 ( 100.0% )</t>
  </si>
  <si>
    <t>■ '호텔 뭄바이' 일자별 통계정보</t>
  </si>
  <si>
    <t>35583500 ( 444.3% )</t>
  </si>
  <si>
    <t>4722 ( 471.7% )</t>
  </si>
  <si>
    <t>-5975400 ( -13.7% )</t>
  </si>
  <si>
    <t>-826 ( -14.4% )</t>
  </si>
  <si>
    <t>8636700 ( 23.0% )</t>
  </si>
  <si>
    <t>419 ( 8.6% )</t>
  </si>
  <si>
    <t>34919100 ( 75.5% )</t>
  </si>
  <si>
    <t>3862 ( 72.6% )</t>
  </si>
  <si>
    <t>-8616600 ( -10.6% )</t>
  </si>
  <si>
    <t>-899 ( -9.8% )</t>
  </si>
  <si>
    <t>-38796800 ( -53.5% )</t>
  </si>
  <si>
    <t>-3961 ( -47.8% )</t>
  </si>
  <si>
    <t>-367200 ( -1.1% )</t>
  </si>
  <si>
    <t>-74 ( -1.7% )</t>
  </si>
  <si>
    <t>-17625600 ( -52.8% )</t>
  </si>
  <si>
    <t>-2114 ( -49.8% )</t>
  </si>
  <si>
    <t>-2411600 ( -15.3% )</t>
  </si>
  <si>
    <t>-413 ( -19.4% )</t>
  </si>
  <si>
    <t>8167900 ( 61.2% )</t>
  </si>
  <si>
    <t>782 ( 45.5% )</t>
  </si>
  <si>
    <t>19125700 ( 88.9% )</t>
  </si>
  <si>
    <t>2117 ( 84.7% )</t>
  </si>
  <si>
    <t>165800 ( 0.4% )</t>
  </si>
  <si>
    <t>-6 ( -0.1% )</t>
  </si>
  <si>
    <t>-27077200 ( -66.3% )</t>
  </si>
  <si>
    <t>-2828 ( -61.3% )</t>
  </si>
  <si>
    <t>8604100 ( 62.6% )</t>
  </si>
  <si>
    <t>1248 ( 70.0% )</t>
  </si>
  <si>
    <t>-13189500 ( -59.0% )</t>
  </si>
  <si>
    <t>-1825 ( -60.2% )</t>
  </si>
  <si>
    <t>-5042600 ( -55.1% )</t>
  </si>
  <si>
    <t>-663 ( -55.0% )</t>
  </si>
  <si>
    <t>1832600 ( 44.6% )</t>
  </si>
  <si>
    <t>135 ( 24.9% )</t>
  </si>
  <si>
    <t>3593200 ( 60.5% )</t>
  </si>
  <si>
    <t>406 ( 60.0% )</t>
  </si>
  <si>
    <t>-1611300 ( -16.9% )</t>
  </si>
  <si>
    <t>-196 ( -18.1% )</t>
  </si>
  <si>
    <t>-3138800 ( -39.6% )</t>
  </si>
  <si>
    <t>-257 ( -29.0% )</t>
  </si>
  <si>
    <t>-510500 ( -10.7% )</t>
  </si>
  <si>
    <t>-73 ( -11.6% )</t>
  </si>
  <si>
    <t>-1351400 ( -31.6% )</t>
  </si>
  <si>
    <t>-142 ( -25.5% )</t>
  </si>
  <si>
    <t>-800600 ( -27.4% )</t>
  </si>
  <si>
    <t>-158 ( -38.1% )</t>
  </si>
  <si>
    <t>296900 ( 14.0% )</t>
  </si>
  <si>
    <t>19 ( 7.4% )</t>
  </si>
  <si>
    <t>521400 ( 21.6% )</t>
  </si>
  <si>
    <t>59 ( 21.4% )</t>
  </si>
  <si>
    <t>-1877500 ( -63.9% )</t>
  </si>
  <si>
    <t>-219 ( -65.4% )</t>
  </si>
  <si>
    <t>-466700 ( -43.9% )</t>
  </si>
  <si>
    <t>-44 ( -37.9% )</t>
  </si>
  <si>
    <t>-104300 ( -17.5% )</t>
  </si>
  <si>
    <t>-5 ( -6.9% )</t>
  </si>
  <si>
    <t>2465200 ( 501.8% )</t>
  </si>
  <si>
    <t>285 ( 425.4% )</t>
  </si>
  <si>
    <t>-828500 ( -28.0% )</t>
  </si>
  <si>
    <t>-109 ( -31.0% )</t>
  </si>
  <si>
    <t>-413000 ( -19.4% )</t>
  </si>
  <si>
    <t>-48 ( -19.8% )</t>
  </si>
  <si>
    <t>-1617000 ( -94.3% )</t>
  </si>
  <si>
    <t>-182 ( -93.3% )</t>
  </si>
  <si>
    <t>219000 ( 223.5% )</t>
  </si>
  <si>
    <t>26 ( 200.0% )</t>
  </si>
  <si>
    <t>-298000 ( -94.0% )</t>
  </si>
  <si>
    <t>-36 ( -92.3% )</t>
  </si>
  <si>
    <t>101200 ( 532.6% )</t>
  </si>
  <si>
    <t>17 ( 566.7% )</t>
  </si>
  <si>
    <t>57000 ( 47.4% )</t>
  </si>
  <si>
    <t>10 ( 50.0% )</t>
  </si>
  <si>
    <t>-135200 ( -76.3% )</t>
  </si>
  <si>
    <t>-23 ( -76.7% )</t>
  </si>
  <si>
    <t>-10000 ( -23.8% )</t>
  </si>
  <si>
    <t>-51000 ( -79.7% )</t>
  </si>
  <si>
    <t>59200 ( 197.3% )</t>
  </si>
  <si>
    <t>13 ( 260.0% )</t>
  </si>
  <si>
    <t>■ '0.0MHz' 일자별 통계정보</t>
  </si>
  <si>
    <t>178979300 ( 1173.4% )</t>
  </si>
  <si>
    <t>29321 ( 1668.8% )</t>
  </si>
  <si>
    <t>-103521500 ( -53.3% )</t>
  </si>
  <si>
    <t>-20109 ( -64.7% )</t>
  </si>
  <si>
    <t>42086640 ( 46.4% )</t>
  </si>
  <si>
    <t>3952 ( 36.0% )</t>
  </si>
  <si>
    <t>87998700 ( 66.3% )</t>
  </si>
  <si>
    <t>11024 ( 73.9% )</t>
  </si>
  <si>
    <t>-33167550 ( -15.0% )</t>
  </si>
  <si>
    <t>-4153 ( -16.0% )</t>
  </si>
  <si>
    <t>-130675030 ( -69.6% )</t>
  </si>
  <si>
    <t>-14905 ( -68.4% )</t>
  </si>
  <si>
    <t>1045940 ( 1.8% )</t>
  </si>
  <si>
    <t>200 ( 2.9% )</t>
  </si>
  <si>
    <t>-39587170 ( -68.3% )</t>
  </si>
  <si>
    <t>-4697 ( -66.3% )</t>
  </si>
  <si>
    <t>4220570 ( 22.9% )</t>
  </si>
  <si>
    <t>609 ( 25.5% )</t>
  </si>
  <si>
    <t>-5278500 ( -23.3% )</t>
  </si>
  <si>
    <t>-820 ( -27.3% )</t>
  </si>
  <si>
    <t>4654900 ( 26.8% )</t>
  </si>
  <si>
    <t>628 ( 28.8% )</t>
  </si>
  <si>
    <t>-5503500 ( -25.0% )</t>
  </si>
  <si>
    <t>-715 ( -25.5% )</t>
  </si>
  <si>
    <t>-11017060 ( -66.7% )</t>
  </si>
  <si>
    <t>-1383 ( -66.1% )</t>
  </si>
  <si>
    <t>-1374960 ( -25.1% )</t>
  </si>
  <si>
    <t>-179 ( -25.2% )</t>
  </si>
  <si>
    <t>-2088980 ( -50.8% )</t>
  </si>
  <si>
    <t>-270 ( -50.9% )</t>
  </si>
  <si>
    <t>2524860 ( 124.7% )</t>
  </si>
  <si>
    <t>314 ( 120.8% )</t>
  </si>
  <si>
    <t>-551920 ( -12.1% )</t>
  </si>
  <si>
    <t>-128 ( -22.3% )</t>
  </si>
  <si>
    <t>-39520 ( -1.0% )</t>
  </si>
  <si>
    <t>58 ( 13.0% )</t>
  </si>
  <si>
    <t>-775820 ( -19.6% )</t>
  </si>
  <si>
    <t>-110 ( -21.8% )</t>
  </si>
  <si>
    <t>-2291740 ( -72.0% )</t>
  </si>
  <si>
    <t>-275 ( -69.8% )</t>
  </si>
  <si>
    <t>317140 ( 35.6% )</t>
  </si>
  <si>
    <t>40 ( 33.6% )</t>
  </si>
  <si>
    <t>-1049800 ( -86.9% )</t>
  </si>
  <si>
    <t>-136 ( -85.5% )</t>
  </si>
  <si>
    <t>-153000 ( -96.8% )</t>
  </si>
  <si>
    <t>-22 ( -95.7% )</t>
  </si>
  <si>
    <t>159000 ( 3180.0% )</t>
  </si>
  <si>
    <t>-55000 ( -33.5% )</t>
  </si>
  <si>
    <t>-7 ( -31.8% )</t>
  </si>
  <si>
    <t>84000 ( 100.0% )</t>
  </si>
  <si>
    <t>■ '교회오빠' 일자별 통계정보</t>
  </si>
  <si>
    <t>24444390 ( 2037.0% )</t>
  </si>
  <si>
    <t>3045 ( 1522.5% )</t>
  </si>
  <si>
    <t>8550790 ( 33.3% )</t>
  </si>
  <si>
    <t>629 ( 19.4% )</t>
  </si>
  <si>
    <t>9827850 ( 28.7% )</t>
  </si>
  <si>
    <t>1089 ( 28.1% )</t>
  </si>
  <si>
    <t>5923620 ( 13.5% )</t>
  </si>
  <si>
    <t>611 ( 12.3% )</t>
  </si>
  <si>
    <t>-23246250 ( -46.5% )</t>
  </si>
  <si>
    <t>-2194 ( -39.4% )</t>
  </si>
  <si>
    <t>10830810 ( 40.6% )</t>
  </si>
  <si>
    <t>1507 ( 44.6% )</t>
  </si>
  <si>
    <t>-12194700 ( -32.5% )</t>
  </si>
  <si>
    <t>-1656 ( -33.9% )</t>
  </si>
  <si>
    <t>-5942930 ( -23.5% )</t>
  </si>
  <si>
    <t>-729 ( -22.6% )</t>
  </si>
  <si>
    <t>3408630 ( 17.6% )</t>
  </si>
  <si>
    <t>94 ( 3.8% )</t>
  </si>
  <si>
    <t>14473550 ( 63.5% )</t>
  </si>
  <si>
    <t>1658 ( 63.9% )</t>
  </si>
  <si>
    <t>8463800 ( 22.7% )</t>
  </si>
  <si>
    <t>1026 ( 24.1% )</t>
  </si>
  <si>
    <t>-24247440 ( -53.0% )</t>
  </si>
  <si>
    <t>-2522 ( -47.8% )</t>
  </si>
  <si>
    <t>1298350 ( 6.0% )</t>
  </si>
  <si>
    <t>190 ( 6.9% )</t>
  </si>
  <si>
    <t>-8051970 ( -35.3% )</t>
  </si>
  <si>
    <t>-826 ( -28.0% )</t>
  </si>
  <si>
    <t>1238420 ( 8.4% )</t>
  </si>
  <si>
    <t>-3 ( -0.1% )</t>
  </si>
  <si>
    <t>-1668020 ( -10.4% )</t>
  </si>
  <si>
    <t>-416 ( -19.6% )</t>
  </si>
  <si>
    <t>6179030 ( 43.2% )</t>
  </si>
  <si>
    <t>669 ( 39.3% )</t>
  </si>
  <si>
    <t>7942430 ( 38.8% )</t>
  </si>
  <si>
    <t>1069 ( 45.1% )</t>
  </si>
  <si>
    <t>-16433140 ( -57.8% )</t>
  </si>
  <si>
    <t>-1859 ( -54.0% )</t>
  </si>
  <si>
    <t>1487010 ( 12.4% )</t>
  </si>
  <si>
    <t>228 ( 14.4% )</t>
  </si>
  <si>
    <t>-5336980 ( -39.6% )</t>
  </si>
  <si>
    <t>-682 ( -37.7% )</t>
  </si>
  <si>
    <t>8834110 ( 108.4% )</t>
  </si>
  <si>
    <t>899 ( 79.7% )</t>
  </si>
  <si>
    <t>-7248660 ( -42.7% )</t>
  </si>
  <si>
    <t>-718 ( -35.4% )</t>
  </si>
  <si>
    <t>-892040 ( -9.2% )</t>
  </si>
  <si>
    <t>-238 ( -18.2% )</t>
  </si>
  <si>
    <t>4446640 ( 50.3% )</t>
  </si>
  <si>
    <t>540 ( 50.4% )</t>
  </si>
  <si>
    <t>-6143650 ( -46.2% )</t>
  </si>
  <si>
    <t>-659 ( -40.9% )</t>
  </si>
  <si>
    <t>259050 ( 3.6% )</t>
  </si>
  <si>
    <t>-6 ( -0.6% )</t>
  </si>
  <si>
    <t>1307100 ( 17.7% )</t>
  </si>
  <si>
    <t>219 ( 23.2% )</t>
  </si>
  <si>
    <t>-4948500 ( -56.8% )</t>
  </si>
  <si>
    <t>-646 ( -55.5% )</t>
  </si>
  <si>
    <t>4749300 ( 126.3% )</t>
  </si>
  <si>
    <t>684 ( 131.8% )</t>
  </si>
  <si>
    <t>-1831540 ( -21.5% )</t>
  </si>
  <si>
    <t>-366 ( -30.4% )</t>
  </si>
  <si>
    <t>7961960 ( 119.2% )</t>
  </si>
  <si>
    <t>1028 ( 122.8% )</t>
  </si>
  <si>
    <t>-10348660 ( -70.7% )</t>
  </si>
  <si>
    <t>-1322 ( -70.9% )</t>
  </si>
  <si>
    <t>1842540 ( 42.9% )</t>
  </si>
  <si>
    <t>325 ( 59.9% )</t>
  </si>
  <si>
    <t>-2457300 ( -40.1% )</t>
  </si>
  <si>
    <t>-375 ( -43.2% )</t>
  </si>
  <si>
    <t>-436100 ( -11.9% )</t>
  </si>
  <si>
    <t>-37 ( -7.5% )</t>
  </si>
  <si>
    <t>699600 ( 21.6% )</t>
  </si>
  <si>
    <t>101 ( 22.1% )</t>
  </si>
  <si>
    <t>1156400 ( 29.3% )</t>
  </si>
  <si>
    <t>94 ( 16.9% )</t>
  </si>
  <si>
    <t>4667800 ( 91.6% )</t>
  </si>
  <si>
    <t>631 ( 96.9% )</t>
  </si>
  <si>
    <t>-7183400 ( -73.6% )</t>
  </si>
  <si>
    <t>-944 ( -73.6% )</t>
  </si>
  <si>
    <t>1844280 ( 71.4% )</t>
  </si>
  <si>
    <t>278 ( 82.2% )</t>
  </si>
  <si>
    <t>-658980 ( -14.9% )</t>
  </si>
  <si>
    <t>-43 ( -7.0% )</t>
  </si>
  <si>
    <t>1950200 ( 51.8% )</t>
  </si>
  <si>
    <t>209 ( 36.5% )</t>
  </si>
  <si>
    <t>437900 ( 7.7% )</t>
  </si>
  <si>
    <t>104 ( 13.3% )</t>
  </si>
  <si>
    <t>-1311300 ( -21.3% )</t>
  </si>
  <si>
    <t>-289 ( -32.6% )</t>
  </si>
  <si>
    <t>12003880 ( 247.8% )</t>
  </si>
  <si>
    <t>1734 ( 290.5% )</t>
  </si>
  <si>
    <t>-14030680 ( -83.3% )</t>
  </si>
  <si>
    <t>-1920 ( -82.4% )</t>
  </si>
  <si>
    <t>423800 ( 15.0% )</t>
  </si>
  <si>
    <t>13 ( 3.2% )</t>
  </si>
  <si>
    <t>-1479700 ( -45.7% )</t>
  </si>
  <si>
    <t>-156 ( -36.8% )</t>
  </si>
  <si>
    <t>-20000 ( -1.1% )</t>
  </si>
  <si>
    <t>25 ( 9.3% )</t>
  </si>
  <si>
    <t>498700 ( 28.6% )</t>
  </si>
  <si>
    <t>17 ( 5.8% )</t>
  </si>
  <si>
    <t>1178700 ( 52.6% )</t>
  </si>
  <si>
    <t>117 ( 37.7% )</t>
  </si>
  <si>
    <t>4087100 ( 119.6% )</t>
  </si>
  <si>
    <t>525 ( 123.0% )</t>
  </si>
  <si>
    <t>-5957300 ( -79.4% )</t>
  </si>
  <si>
    <t>-741 ( -77.8% )</t>
  </si>
  <si>
    <t>627460 ( 40.5% )</t>
  </si>
  <si>
    <t>122 ( 57.8% )</t>
  </si>
  <si>
    <t>-1091460 ( -50.2% )</t>
  </si>
  <si>
    <t>-142 ( -42.6% )</t>
  </si>
  <si>
    <t>129500 ( 11.9% )</t>
  </si>
  <si>
    <t>-16 ( -8.4% )</t>
  </si>
  <si>
    <t>2516000 ( 207.2% )</t>
  </si>
  <si>
    <t>324 ( 185.1% )</t>
  </si>
  <si>
    <t>-1378000 ( -36.9% )</t>
  </si>
  <si>
    <t>-135 ( -27.1% )</t>
  </si>
  <si>
    <t>2181500 ( 92.8% )</t>
  </si>
  <si>
    <t>290 ( 79.7% )</t>
  </si>
  <si>
    <t>-3386500 ( -74.7% )</t>
  </si>
  <si>
    <t>-505 ( -77.2% )</t>
  </si>
  <si>
    <t>2144500 ( 187.0% )</t>
  </si>
  <si>
    <t>298 ( 200.0% )</t>
  </si>
  <si>
    <t>-2159000 ( -65.6% )</t>
  </si>
  <si>
    <t>-284 ( -63.5% )</t>
  </si>
  <si>
    <t>■ '어글리 돌' 일자별 통계정보</t>
  </si>
  <si>
    <t>81562540 ( 1037.3% )</t>
  </si>
  <si>
    <t>11835 ( 1175.3% )</t>
  </si>
  <si>
    <t>-71257540 ( -79.7% )</t>
  </si>
  <si>
    <t>-9974 ( -77.7% )</t>
  </si>
  <si>
    <t>7427850 ( 40.9% )</t>
  </si>
  <si>
    <t>1056 ( 36.8% )</t>
  </si>
  <si>
    <t>23561600 ( 92.1% )</t>
  </si>
  <si>
    <t>2518 ( 64.2% )</t>
  </si>
  <si>
    <t>16764060 ( 34.1% )</t>
  </si>
  <si>
    <t>2027 ( 31.5% )</t>
  </si>
  <si>
    <t>7835160 ( 11.9% )</t>
  </si>
  <si>
    <t>1116 ( 13.2% )</t>
  </si>
  <si>
    <t>-64675200 ( -87.7% )</t>
  </si>
  <si>
    <t>-8223 ( -85.8% )</t>
  </si>
  <si>
    <t>-4694970 ( -51.7% )</t>
  </si>
  <si>
    <t>-734 ( -53.9% )</t>
  </si>
  <si>
    <t>-3566200 ( -81.3% )</t>
  </si>
  <si>
    <t>-491 ( -78.2% )</t>
  </si>
  <si>
    <t>450200 ( 54.9% )</t>
  </si>
  <si>
    <t>70 ( 51.1% )</t>
  </si>
  <si>
    <t>3913000 ( 308.0% )</t>
  </si>
  <si>
    <t>537 ( 259.4% )</t>
  </si>
  <si>
    <t>-827400 ( -16.0% )</t>
  </si>
  <si>
    <t>-132 ( -17.7% )</t>
  </si>
  <si>
    <t>-3556620 ( -81.6% )</t>
  </si>
  <si>
    <t>-467 ( -76.3% )</t>
  </si>
  <si>
    <t>220520 ( 27.6% )</t>
  </si>
  <si>
    <t>30 ( 20.7% )</t>
  </si>
  <si>
    <t>-59000 ( -5.8% )</t>
  </si>
  <si>
    <t>-14 ( -8.0% )</t>
  </si>
  <si>
    <t>-47000 ( -4.9% )</t>
  </si>
  <si>
    <t>-10 ( -6.2% )</t>
  </si>
  <si>
    <t>873000 ( 95.5% )</t>
  </si>
  <si>
    <t>171 ( 113.2% )</t>
  </si>
  <si>
    <t>-1018000 ( -57.0% )</t>
  </si>
  <si>
    <t>-205 ( -63.7% )</t>
  </si>
  <si>
    <t>153000 ( 19.9% )</t>
  </si>
  <si>
    <t>9 ( 7.7% )</t>
  </si>
  <si>
    <t>-692000 ( -75.1% )</t>
  </si>
  <si>
    <t>-85 ( -67.5% )</t>
  </si>
  <si>
    <t>-22000 ( -9.6% )</t>
  </si>
  <si>
    <t>-4 ( -9.8% )</t>
  </si>
  <si>
    <t>519000 ( 249.5% )</t>
  </si>
  <si>
    <t>83 ( 224.3% )</t>
  </si>
  <si>
    <t>-587000 ( -80.7% )</t>
  </si>
  <si>
    <t>-94 ( -78.3% )</t>
  </si>
  <si>
    <t>348000 ( 248.6% )</t>
  </si>
  <si>
    <t>52 ( 200.0% )</t>
  </si>
  <si>
    <t>118000 ( 281.0% )</t>
  </si>
  <si>
    <t>26 ( 433.3% )</t>
  </si>
  <si>
    <t>180000 ( 100.0% )</t>
  </si>
  <si>
    <t>30 ( 100.0% )</t>
  </si>
  <si>
    <t>-100000 ( -55.6% )</t>
  </si>
  <si>
    <t>-14 ( -46.7% )</t>
  </si>
  <si>
    <t>128000 ( 100.0% )</t>
  </si>
  <si>
    <t>120000 ( 93.8% )</t>
  </si>
  <si>
    <t>28 ( 133.3% )</t>
  </si>
  <si>
    <t>184000 ( 100.0% )</t>
  </si>
  <si>
    <t>36 ( 100.0% )</t>
  </si>
  <si>
    <t>■ '서스페리아' 일자별 통계정보</t>
  </si>
  <si>
    <t>35306150 ( 1588.2% )</t>
  </si>
  <si>
    <t>4088 ( 1655.1% )</t>
  </si>
  <si>
    <t>2358600 ( 6.3% )</t>
  </si>
  <si>
    <t>-240 ( -5.5% )</t>
  </si>
  <si>
    <t>11737560 ( 29.4% )</t>
  </si>
  <si>
    <t>1266 ( 30.9% )</t>
  </si>
  <si>
    <t>-13867550 ( -26.9% )</t>
  </si>
  <si>
    <t>-1359 ( -25.3% )</t>
  </si>
  <si>
    <t>-18488120 ( -49.0% )</t>
  </si>
  <si>
    <t>-1725 ( -43.1% )</t>
  </si>
  <si>
    <t>-146310 ( -0.8% )</t>
  </si>
  <si>
    <t>-21 ( -0.9% )</t>
  </si>
  <si>
    <t>-7512140 ( -39.3% )</t>
  </si>
  <si>
    <t>-869 ( -38.5% )</t>
  </si>
  <si>
    <t>-7970690 ( -68.6% )</t>
  </si>
  <si>
    <t>-950 ( -68.5% )</t>
  </si>
  <si>
    <t>2547100 ( 70.0% )</t>
  </si>
  <si>
    <t>237 ( 54.2% )</t>
  </si>
  <si>
    <t>4433880 ( 71.7% )</t>
  </si>
  <si>
    <t>417 ( 61.9% )</t>
  </si>
  <si>
    <t>-391580 ( -3.7% )</t>
  </si>
  <si>
    <t>-25 ( -2.3% )</t>
  </si>
  <si>
    <t>-6691820 ( -65.4% )</t>
  </si>
  <si>
    <t>-634 ( -59.5% )</t>
  </si>
  <si>
    <t>-23380 ( -0.7% )</t>
  </si>
  <si>
    <t>-7 ( -1.6% )</t>
  </si>
  <si>
    <t>-1655720 ( -47.1% )</t>
  </si>
  <si>
    <t>-177 ( -41.6% )</t>
  </si>
  <si>
    <t>-861480 ( -46.3% )</t>
  </si>
  <si>
    <t>-128 ( -51.6% )</t>
  </si>
  <si>
    <t>868615 ( 87.1% )</t>
  </si>
  <si>
    <t>72 ( 60.0% )</t>
  </si>
  <si>
    <t>1502985 ( 80.5% )</t>
  </si>
  <si>
    <t>157 ( 81.8% )</t>
  </si>
  <si>
    <t>-991520 ( -29.4% )</t>
  </si>
  <si>
    <t>-97 ( -27.8% )</t>
  </si>
  <si>
    <t>-1685580 ( -70.9% )</t>
  </si>
  <si>
    <t>-165 ( -65.5% )</t>
  </si>
  <si>
    <t>4106500 ( 593.4% )</t>
  </si>
  <si>
    <t>593 ( 681.6% )</t>
  </si>
  <si>
    <t>-1054300 ( -22.0% )</t>
  </si>
  <si>
    <t>-307 ( -45.1% )</t>
  </si>
  <si>
    <t>-2171200 ( -58.0% )</t>
  </si>
  <si>
    <t>-249 ( -66.8% )</t>
  </si>
  <si>
    <t>-1307000 ( -83.1% )</t>
  </si>
  <si>
    <t>-95 ( -76.6% )</t>
  </si>
  <si>
    <t>533000 ( 200.4% )</t>
  </si>
  <si>
    <t>49 ( 169.0% )</t>
  </si>
  <si>
    <t>381000 ( 47.7% )</t>
  </si>
  <si>
    <t>43 ( 55.1% )</t>
  </si>
  <si>
    <t>-950000 ( -80.5% )</t>
  </si>
  <si>
    <t>-93 ( -76.9% )</t>
  </si>
  <si>
    <t>-83000 ( -36.1% )</t>
  </si>
  <si>
    <t>-11 ( -39.3% )</t>
  </si>
  <si>
    <t>204000 ( 138.8% )</t>
  </si>
  <si>
    <t>24 ( 141.2% )</t>
  </si>
  <si>
    <t>-333000 ( -94.9% )</t>
  </si>
  <si>
    <t>-38 ( -92.7% )</t>
  </si>
  <si>
    <t>375000 ( 2083.3% )</t>
  </si>
  <si>
    <t>46 ( 1533.3% )</t>
  </si>
  <si>
    <t>152000 ( 38.7% )</t>
  </si>
  <si>
    <t>5 ( 10.2% )</t>
  </si>
  <si>
    <t>-193000 ( -35.4% )</t>
  </si>
  <si>
    <t>-11 ( -20.4% )</t>
  </si>
  <si>
    <t>245000 ( 100.0% )</t>
  </si>
  <si>
    <t>106200 ( 100.0% )</t>
  </si>
  <si>
    <t>-19800 ( -18.6% )</t>
  </si>
  <si>
    <t>2 ( 16.7% )</t>
  </si>
  <si>
    <t>163600 ( 189.4% )</t>
  </si>
  <si>
    <t>11 ( 78.6% )</t>
  </si>
  <si>
    <t>-11000 ( -4.4% )</t>
  </si>
  <si>
    <t>-104000 ( -43.5% )</t>
  </si>
  <si>
    <t>-14 ( -48.3% )</t>
  </si>
  <si>
    <t>108000 ( 100.0% )</t>
  </si>
  <si>
    <t>212000 ( 196.3% )</t>
  </si>
  <si>
    <t>2 ( 11.1% )</t>
  </si>
  <si>
    <t>-11000 ( -3.4% )</t>
  </si>
  <si>
    <t>11 ( 55.0% )</t>
  </si>
  <si>
    <t>-190000 ( -61.5% )</t>
  </si>
  <si>
    <t>-19 ( -61.3% )</t>
  </si>
  <si>
    <t>125000 ( 100.0% )</t>
  </si>
  <si>
    <t>14 ( 100.0% )</t>
  </si>
  <si>
    <t>105000 ( 84.0% )</t>
  </si>
  <si>
    <t>9 ( 64.3% )</t>
  </si>
  <si>
    <t>40000 ( 17.4% )</t>
  </si>
  <si>
    <t>7 ( 30.4% )</t>
  </si>
  <si>
    <t>-234000 ( -86.7% )</t>
  </si>
  <si>
    <t>-26 ( -86.7% )</t>
  </si>
  <si>
    <t>123000 ( 100.0% )</t>
  </si>
  <si>
    <t>71000 ( 100.0% )</t>
  </si>
  <si>
    <t>441000 ( 100.0% )</t>
  </si>
  <si>
    <t>■ '안도 타다오' 일자별 통계정보</t>
  </si>
  <si>
    <t>7598000 ( 1112.4% )</t>
  </si>
  <si>
    <t>896 ( 658.8% )</t>
  </si>
  <si>
    <t>4299200 ( 51.9% )</t>
  </si>
  <si>
    <t>391 ( 37.9% )</t>
  </si>
  <si>
    <t>4782850 ( 38.0% )</t>
  </si>
  <si>
    <t>438 ( 30.8% )</t>
  </si>
  <si>
    <t>1914930 ( 11.0% )</t>
  </si>
  <si>
    <t>322 ( 17.3% )</t>
  </si>
  <si>
    <t>-11905680 ( -61.8% )</t>
  </si>
  <si>
    <t>-1253 ( -57.4% )</t>
  </si>
  <si>
    <t>2849230 ( 38.6% )</t>
  </si>
  <si>
    <t>404 ( 43.4% )</t>
  </si>
  <si>
    <t>6566800 ( 64.2% )</t>
  </si>
  <si>
    <t>854 ( 64.0% )</t>
  </si>
  <si>
    <t>-8079650 ( -48.1% )</t>
  </si>
  <si>
    <t>-1000 ( -45.7% )</t>
  </si>
  <si>
    <t>935320 ( 10.7% )</t>
  </si>
  <si>
    <t>-74 ( -6.2% )</t>
  </si>
  <si>
    <t>5332650 ( 55.3% )</t>
  </si>
  <si>
    <t>619 ( 55.6% )</t>
  </si>
  <si>
    <t>616300 ( 4.1% )</t>
  </si>
  <si>
    <t>56 ( 3.2% )</t>
  </si>
  <si>
    <t>-1114420 ( -7.1% )</t>
  </si>
  <si>
    <t>-95 ( -5.3% )</t>
  </si>
  <si>
    <t>-4359930 ( -30.1% )</t>
  </si>
  <si>
    <t>-302 ( -17.8% )</t>
  </si>
  <si>
    <t>-4387220 ( -43.4% )</t>
  </si>
  <si>
    <t>-650 ( -46.7% )</t>
  </si>
  <si>
    <t>-715880 ( -12.5% )</t>
  </si>
  <si>
    <t>-139 ( -18.7% )</t>
  </si>
  <si>
    <t>1309160 ( 26.1% )</t>
  </si>
  <si>
    <t>135 ( 22.4% )</t>
  </si>
  <si>
    <t>3272240 ( 51.7% )</t>
  </si>
  <si>
    <t>349 ( 47.3% )</t>
  </si>
  <si>
    <t>343800 ( 3.6% )</t>
  </si>
  <si>
    <t>97 ( 8.9% )</t>
  </si>
  <si>
    <t>-6544600 ( -65.8% )</t>
  </si>
  <si>
    <t>-739 ( -62.4% )</t>
  </si>
  <si>
    <t>1167900 ( 34.4% )</t>
  </si>
  <si>
    <t>138 ( 31.0% )</t>
  </si>
  <si>
    <t>-834700 ( -18.3% )</t>
  </si>
  <si>
    <t>-86 ( -14.8% )</t>
  </si>
  <si>
    <t>-735800 ( -19.7% )</t>
  </si>
  <si>
    <t>-117 ( -23.5% )</t>
  </si>
  <si>
    <t>1237480 ( 41.3% )</t>
  </si>
  <si>
    <t>124 ( 32.6% )</t>
  </si>
  <si>
    <t>2480520 ( 58.6% )</t>
  </si>
  <si>
    <t>323 ( 64.1% )</t>
  </si>
  <si>
    <t>-509500 ( -7.6% )</t>
  </si>
  <si>
    <t>-83 ( -10.0% )</t>
  </si>
  <si>
    <t>-3904020 ( -62.9% )</t>
  </si>
  <si>
    <t>-451 ( -60.6% )</t>
  </si>
  <si>
    <t>671020 ( 29.2% )</t>
  </si>
  <si>
    <t>136 ( 46.4% )</t>
  </si>
  <si>
    <t>225650 ( 7.6% )</t>
  </si>
  <si>
    <t>14 ( 3.3% )</t>
  </si>
  <si>
    <t>-1540650 ( -48.2% )</t>
  </si>
  <si>
    <t>-227 ( -51.2% )</t>
  </si>
  <si>
    <t>1230000 ( 74.4% )</t>
  </si>
  <si>
    <t>146 ( 67.6% )</t>
  </si>
  <si>
    <t>1012480 ( 35.1% )</t>
  </si>
  <si>
    <t>95 ( 26.2% )</t>
  </si>
  <si>
    <t>593020 ( 15.2% )</t>
  </si>
  <si>
    <t>72 ( 15.8% )</t>
  </si>
  <si>
    <t>-3377000 ( -75.2% )</t>
  </si>
  <si>
    <t>-394 ( -74.5% )</t>
  </si>
  <si>
    <t>388500 ( 34.9% )</t>
  </si>
  <si>
    <t>69 ( 51.1% )</t>
  </si>
  <si>
    <t>-41000 ( -2.7% )</t>
  </si>
  <si>
    <t>30 ( 14.7% )</t>
  </si>
  <si>
    <t>-762000 ( -52.2% )</t>
  </si>
  <si>
    <t>-143 ( -61.1% )</t>
  </si>
  <si>
    <t>213985 ( 30.7% )</t>
  </si>
  <si>
    <t>16 ( 17.6% )</t>
  </si>
  <si>
    <t>1236515 ( 135.6% )</t>
  </si>
  <si>
    <t>168 ( 157.0% )</t>
  </si>
  <si>
    <t>-716500 ( -33.3% )</t>
  </si>
  <si>
    <t>-115 ( -41.8% )</t>
  </si>
  <si>
    <t>-781850 ( -54.6% )</t>
  </si>
  <si>
    <t>-81 ( -50.6% )</t>
  </si>
  <si>
    <t>5350 ( 0.8% )</t>
  </si>
  <si>
    <t>296500 ( 45.2% )</t>
  </si>
  <si>
    <t>42 ( 51.9% )</t>
  </si>
  <si>
    <t>310500 ( 32.6% )</t>
  </si>
  <si>
    <t>8 ( 6.5% )</t>
  </si>
  <si>
    <t>-595500 ( -47.2% )</t>
  </si>
  <si>
    <t>-56 ( -42.7% )</t>
  </si>
  <si>
    <t>954280 ( 143.1% )</t>
  </si>
  <si>
    <t>119 ( 158.7% )</t>
  </si>
  <si>
    <t>-1016280 ( -62.7% )</t>
  </si>
  <si>
    <t>-130 ( -67.0% )</t>
  </si>
  <si>
    <t>160480 ( 26.5% )</t>
  </si>
  <si>
    <t>43 ( 67.2% )</t>
  </si>
  <si>
    <t>-439000 ( -57.3% )</t>
  </si>
  <si>
    <t>-64 ( -59.8% )</t>
  </si>
  <si>
    <t>371520 ( 113.8% )</t>
  </si>
  <si>
    <t>49 ( 114.0% )</t>
  </si>
  <si>
    <t>-487500 ( -69.8% )</t>
  </si>
  <si>
    <t>-68 ( -73.9% )</t>
  </si>
  <si>
    <t>307500 ( 146.1% )</t>
  </si>
  <si>
    <t>47 ( 195.8% )</t>
  </si>
  <si>
    <t>201500 ( 38.9% )</t>
  </si>
  <si>
    <t>20 ( 28.2% )</t>
  </si>
  <si>
    <t>-121500 ( -16.9% )</t>
  </si>
  <si>
    <t>-24 ( -26.4% )</t>
  </si>
  <si>
    <t>-449520 ( -75.2% )</t>
  </si>
  <si>
    <t>-48 ( -71.6% )</t>
  </si>
  <si>
    <t>212520 ( 143.1% )</t>
  </si>
  <si>
    <t>30 ( 157.9% )</t>
  </si>
  <si>
    <t>-142000 ( -39.3% )</t>
  </si>
  <si>
    <t>-21 ( -42.9% )</t>
  </si>
  <si>
    <t>499000 ( 100.0% )</t>
  </si>
  <si>
    <t>52 ( 100.0% )</t>
  </si>
  <si>
    <t>15000 ( 15.2% )</t>
  </si>
  <si>
    <t>196000 ( 171.9% )</t>
  </si>
  <si>
    <t>31 ( 221.4% )</t>
  </si>
  <si>
    <t>264000 ( 100.0% )</t>
  </si>
  <si>
    <t>29 ( 100.0% )</t>
  </si>
  <si>
    <t>238000 ( 90.2% )</t>
  </si>
  <si>
    <t>38 ( 131.0% )</t>
  </si>
  <si>
    <t>65000 ( 100.0% )</t>
  </si>
  <si>
    <t>■ '판의 미로 - 오필리아와 세 개의 열쇠' 일자별 통계정보</t>
  </si>
  <si>
    <t>151450500 ( 100.0% )</t>
  </si>
  <si>
    <t>27159 ( 100.0% )</t>
  </si>
  <si>
    <t>35044500 ( 23.1% )</t>
  </si>
  <si>
    <t>5471 ( 20.1% )</t>
  </si>
  <si>
    <t>244175500 ( 130.9% )</t>
  </si>
  <si>
    <t>37999 ( 116.5% )</t>
  </si>
  <si>
    <t>-37609000 ( -8.7% )</t>
  </si>
  <si>
    <t>-8294 ( -11.7% )</t>
  </si>
  <si>
    <t>-278619000 ( -70.9% )</t>
  </si>
  <si>
    <t>-42060 ( -67.5% )</t>
  </si>
  <si>
    <t>-6828000 ( -6.0% )</t>
  </si>
  <si>
    <t>-1398 ( -6.9% )</t>
  </si>
  <si>
    <t>4023500 ( 3.7% )</t>
  </si>
  <si>
    <t>1340 ( 7.1% )</t>
  </si>
  <si>
    <t>-35807000 ( -32.1% )</t>
  </si>
  <si>
    <t>-6638 ( -32.8% )</t>
  </si>
  <si>
    <t>35799500 ( 47.2% )</t>
  </si>
  <si>
    <t>6067 ( 44.7% )</t>
  </si>
  <si>
    <t>160594000 ( 143.9% )</t>
  </si>
  <si>
    <t>25968 ( 132.2% )</t>
  </si>
  <si>
    <t>-18335000 ( -6.7% )</t>
  </si>
  <si>
    <t>-4655 ( -10.2% )</t>
  </si>
  <si>
    <t>-187472500 ( -73.8% )</t>
  </si>
  <si>
    <t>-29298 ( -71.5% )</t>
  </si>
  <si>
    <t>2447000 ( 3.7% )</t>
  </si>
  <si>
    <t>528 ( 4.5% )</t>
  </si>
  <si>
    <t>-24590500 ( -35.7% )</t>
  </si>
  <si>
    <t>-4185 ( -34.3% )</t>
  </si>
  <si>
    <t>-2592500 ( -5.9% )</t>
  </si>
  <si>
    <t>-688 ( -8.6% )</t>
  </si>
  <si>
    <t>8765000 ( 21.0% )</t>
  </si>
  <si>
    <t>1766 ( 24.1% )</t>
  </si>
  <si>
    <t>62872500 ( 124.6% )</t>
  </si>
  <si>
    <t>10270 ( 113.1% )</t>
  </si>
  <si>
    <t>2972000 ( 2.6% )</t>
  </si>
  <si>
    <t>-290 ( -1.5% )</t>
  </si>
  <si>
    <t>-84127500 ( -72.3% )</t>
  </si>
  <si>
    <t>-13540 ( -71.0% )</t>
  </si>
  <si>
    <t>56500 ( 0.2% )</t>
  </si>
  <si>
    <t>24 ( 0.4% )</t>
  </si>
  <si>
    <t>-29749000 ( -92.3% )</t>
  </si>
  <si>
    <t>-5140 ( -92.7% )</t>
  </si>
  <si>
    <t>-2271500 ( -91.9% )</t>
  </si>
  <si>
    <t>-361 ( -88.9% )</t>
  </si>
  <si>
    <t>709000 ( 356.3% )</t>
  </si>
  <si>
    <t>181 ( 402.2% )</t>
  </si>
  <si>
    <t>183000 ( 20.2% )</t>
  </si>
  <si>
    <t>-23 ( -10.2% )</t>
  </si>
  <si>
    <t>1119000 ( 102.6% )</t>
  </si>
  <si>
    <t>201 ( 99.0% )</t>
  </si>
  <si>
    <t>-406000 ( -18.4% )</t>
  </si>
  <si>
    <t>-76 ( -18.8% )</t>
  </si>
  <si>
    <t>-1739000 ( -96.4% )</t>
  </si>
  <si>
    <t>-315 ( -96.0% )</t>
  </si>
  <si>
    <t>25000 ( 38.5% )</t>
  </si>
  <si>
    <t>6 ( 46.2% )</t>
  </si>
  <si>
    <t>325000 ( 100.0% )</t>
  </si>
  <si>
    <t>-21000 ( -44.7% )</t>
  </si>
  <si>
    <t>187800 ( 722.3% )</t>
  </si>
  <si>
    <t>27 ( 675.0% )</t>
  </si>
  <si>
    <t>-69800 ( -32.6% )</t>
  </si>
  <si>
    <t>-10 ( -32.3% )</t>
  </si>
  <si>
    <t>-69000 ( -47.9% )</t>
  </si>
  <si>
    <t>-10 ( -47.6% )</t>
  </si>
  <si>
    <t>-55500 ( -74.0% )</t>
  </si>
  <si>
    <t>-8 ( -72.7% )</t>
  </si>
  <si>
    <t>70300 ( 360.5% )</t>
  </si>
  <si>
    <t>10 ( 333.3% )</t>
  </si>
  <si>
    <t>-15800 ( -17.6% )</t>
  </si>
  <si>
    <t>56000 ( 75.7% )</t>
  </si>
  <si>
    <t>8 ( 72.7% )</t>
  </si>
  <si>
    <t>184000 ( 141.5% )</t>
  </si>
  <si>
    <t>26 ( 136.8% )</t>
  </si>
  <si>
    <t>-105000 ( -33.4% )</t>
  </si>
  <si>
    <t>-15 ( -33.3% )</t>
  </si>
  <si>
    <t>-35400 ( -16.9% )</t>
  </si>
  <si>
    <t>-5 ( -16.7% )</t>
  </si>
  <si>
    <t>71400 ( 41.1% )</t>
  </si>
  <si>
    <t>10 ( 40.0% )</t>
  </si>
  <si>
    <t>-177000 ( -72.2% )</t>
  </si>
  <si>
    <t>-25 ( -71.4% )</t>
  </si>
  <si>
    <t>161000 ( 100.0% )</t>
  </si>
  <si>
    <t>44 ( 100.0% )</t>
  </si>
  <si>
    <t>56000 ( 100.0% )</t>
  </si>
  <si>
    <t>-2000 ( -3.6% )</t>
  </si>
  <si>
    <t>57000 ( 105.6% )</t>
  </si>
  <si>
    <t>34000 ( 100.0% )</t>
  </si>
  <si>
    <t>130000 ( 100.0% )</t>
  </si>
  <si>
    <t>455000 ( 100.0% )</t>
  </si>
  <si>
    <t>64 ( 100.0% )</t>
  </si>
  <si>
    <t>266000 ( 100.0% )</t>
  </si>
  <si>
    <t>38 ( 100.0% )</t>
  </si>
  <si>
    <t>477000 ( 100.0% )</t>
  </si>
  <si>
    <t>174000 ( 457.9% )</t>
  </si>
  <si>
    <t>19 ( 380.0% )</t>
  </si>
  <si>
    <t>39000 ( 100.0% )</t>
  </si>
  <si>
    <t>174000 ( 100.0% )</t>
  </si>
  <si>
    <t>49000 ( 28.2% )</t>
  </si>
  <si>
    <t>52000 ( 23.3% )</t>
  </si>
  <si>
    <t>6 ( 24.0% )</t>
  </si>
  <si>
    <t>358000 ( 100.0% )</t>
  </si>
  <si>
    <t>206648 ( 100.0% )</t>
  </si>
  <si>
    <t>1206000 ( 100.0% )</t>
  </si>
  <si>
    <t>134 ( 100.0% )</t>
  </si>
  <si>
    <t>30632200 ( 100.0% )</t>
  </si>
  <si>
    <t>3658 ( 100.0% )</t>
  </si>
  <si>
    <t>-15839700 ( -51.7% )</t>
  </si>
  <si>
    <t>-1945 ( -53.2% )</t>
  </si>
  <si>
    <t>6283100 ( 42.5% )</t>
  </si>
  <si>
    <t>720 ( 42.0% )</t>
  </si>
  <si>
    <t>-921300 ( -4.4% )</t>
  </si>
  <si>
    <t>-120 ( -4.9% )</t>
  </si>
  <si>
    <t>-2206200 ( -10.9% )</t>
  </si>
  <si>
    <t>-263 ( -11.4% )</t>
  </si>
  <si>
    <t>-11466100 ( -63.9% )</t>
  </si>
  <si>
    <t>-1198 ( -58.4% )</t>
  </si>
  <si>
    <t>728300 ( 11.2% )</t>
  </si>
  <si>
    <t>46 ( 5.4% )</t>
  </si>
  <si>
    <t>-2092300 ( -29.0% )</t>
  </si>
  <si>
    <t>-284 ( -31.6% )</t>
  </si>
  <si>
    <t>479600 ( 9.4% )</t>
  </si>
  <si>
    <t>22 ( 3.6% )</t>
  </si>
  <si>
    <t>5843000 ( 104.4% )</t>
  </si>
  <si>
    <t>648 ( 101.9% )</t>
  </si>
  <si>
    <t>-2711100 ( -23.7% )</t>
  </si>
  <si>
    <t>-309 ( -24.1% )</t>
  </si>
  <si>
    <t>-5082400 ( -58.2% )</t>
  </si>
  <si>
    <t>-526 ( -53.9% )</t>
  </si>
  <si>
    <t>82800 ( 2.3% )</t>
  </si>
  <si>
    <t>18 ( 4.0% )</t>
  </si>
  <si>
    <t>-337900 ( -9.1% )</t>
  </si>
  <si>
    <t>-62 ( -13.3% )</t>
  </si>
  <si>
    <t>-1701000 ( -50.1% )</t>
  </si>
  <si>
    <t>-195 ( -48.1% )</t>
  </si>
  <si>
    <t>655000 ( 38.7% )</t>
  </si>
  <si>
    <t>64 ( 30.5% )</t>
  </si>
  <si>
    <t>2648500 ( 112.9% )</t>
  </si>
  <si>
    <t>287 ( 104.7% )</t>
  </si>
  <si>
    <t>-584000 ( -11.7% )</t>
  </si>
  <si>
    <t>-67 ( -11.9% )</t>
  </si>
  <si>
    <t>-2840500 ( -64.4% )</t>
  </si>
  <si>
    <t>-298 ( -60.3% )</t>
  </si>
  <si>
    <t>200000 ( 12.7% )</t>
  </si>
  <si>
    <t>21 ( 10.7% )</t>
  </si>
  <si>
    <t>486000 ( 27.5% )</t>
  </si>
  <si>
    <t>53 ( 24.4% )</t>
  </si>
  <si>
    <t>-2016000 ( -89.4% )</t>
  </si>
  <si>
    <t>-242 ( -89.6% )</t>
  </si>
  <si>
    <t>59500 ( 24.8% )</t>
  </si>
  <si>
    <t>7 ( 25.0% )</t>
  </si>
  <si>
    <t>1312500 ( 438.2% )</t>
  </si>
  <si>
    <t>131 ( 374.3% )</t>
  </si>
  <si>
    <t>-518000 ( -32.1% )</t>
  </si>
  <si>
    <t>-54 ( -32.5% )</t>
  </si>
  <si>
    <t>-579000 ( -52.9% )</t>
  </si>
  <si>
    <t>-52 ( -46.4% )</t>
  </si>
  <si>
    <t>679500 ( 131.9% )</t>
  </si>
  <si>
    <t>130 ( 216.7% )</t>
  </si>
  <si>
    <t>-884500 ( -74.0% )</t>
  </si>
  <si>
    <t>-150 ( -78.9% )</t>
  </si>
  <si>
    <t>191000 ( 100.0% )</t>
  </si>
  <si>
    <t>361000 ( 100.0% )</t>
  </si>
  <si>
    <t>109000 ( 100.0% )</t>
  </si>
  <si>
    <t>■ '물의 기억' 일자별 통계정보</t>
  </si>
  <si>
    <t>4123600 ( 100.0% )</t>
  </si>
  <si>
    <t>625 ( 100.0% )</t>
  </si>
  <si>
    <t>-799600 ( -19.4% )</t>
  </si>
  <si>
    <t>-126 ( -20.2% )</t>
  </si>
  <si>
    <t>-1631400 ( -49.1% )</t>
  </si>
  <si>
    <t>-297 ( -59.5% )</t>
  </si>
  <si>
    <t>9576200 ( 565.8% )</t>
  </si>
  <si>
    <t>1821 ( 901.5% )</t>
  </si>
  <si>
    <t>6600 ( 0.1% )</t>
  </si>
  <si>
    <t>-64 ( -3.2% )</t>
  </si>
  <si>
    <t>-2229120 ( -19.8% )</t>
  </si>
  <si>
    <t>-278 ( -14.2% )</t>
  </si>
  <si>
    <t>-111980 ( -1.2% )</t>
  </si>
  <si>
    <t>-43 ( -2.6% )</t>
  </si>
  <si>
    <t>-1122000 ( -12.6% )</t>
  </si>
  <si>
    <t>-179 ( -10.9% )</t>
  </si>
  <si>
    <t>-846800 ( -10.8% )</t>
  </si>
  <si>
    <t>-128 ( -8.8% )</t>
  </si>
  <si>
    <t>1002000 ( 14.4% )</t>
  </si>
  <si>
    <t>137 ( 10.3% )</t>
  </si>
  <si>
    <t>3566600 ( 44.8% )</t>
  </si>
  <si>
    <t>709 ( 48.3% )</t>
  </si>
  <si>
    <t>-1665500 ( -14.4% )</t>
  </si>
  <si>
    <t>-333 ( -15.3% )</t>
  </si>
  <si>
    <t>-9456000 ( -95.8% )</t>
  </si>
  <si>
    <t>-1790 ( -97.1% )</t>
  </si>
  <si>
    <t>26200 ( 6.3% )</t>
  </si>
  <si>
    <t>7 ( 13.0% )</t>
  </si>
  <si>
    <t>-316800 ( -72.2% )</t>
  </si>
  <si>
    <t>-43 ( -70.5% )</t>
  </si>
  <si>
    <t>88800 ( 72.8% )</t>
  </si>
  <si>
    <t>97800 ( 46.4% )</t>
  </si>
  <si>
    <t>6 ( 21.4% )</t>
  </si>
  <si>
    <t>-246100 ( -79.7% )</t>
  </si>
  <si>
    <t>-26 ( -76.5% )</t>
  </si>
  <si>
    <t>306300 ( 490.1% )</t>
  </si>
  <si>
    <t>42 ( 525.0% )</t>
  </si>
  <si>
    <t>-292500 ( -79.3% )</t>
  </si>
  <si>
    <t>-41 ( -82.0% )</t>
  </si>
  <si>
    <t>41700 ( 54.7% )</t>
  </si>
  <si>
    <t>2663000 ( 2256.8% )</t>
  </si>
  <si>
    <t>293 ( 1831.3% )</t>
  </si>
  <si>
    <t>-2652100 ( -95.4% )</t>
  </si>
  <si>
    <t>-295 ( -95.5% )</t>
  </si>
  <si>
    <t>79600 ( 61.8% )</t>
  </si>
  <si>
    <t>8 ( 57.1% )</t>
  </si>
  <si>
    <t>-110000 ( -52.8% )</t>
  </si>
  <si>
    <t>-12 ( -54.5% )</t>
  </si>
  <si>
    <t>23500 ( 23.9% )</t>
  </si>
  <si>
    <t>5 ( 50.0% )</t>
  </si>
  <si>
    <t>307500 ( 252.0% )</t>
  </si>
  <si>
    <t>34 ( 226.7% )</t>
  </si>
  <si>
    <t>-366200 ( -85.3% )</t>
  </si>
  <si>
    <t>-41 ( -83.7% )</t>
  </si>
  <si>
    <t>-51300 ( -81.0% )</t>
  </si>
  <si>
    <t>13000 ( 61.9% )</t>
  </si>
  <si>
    <t>800000 ( 100.0% )</t>
  </si>
  <si>
    <t>-769000 ( -96.1% )</t>
  </si>
  <si>
    <t>■ '미스 스티븐스' 일자별 통계정보</t>
  </si>
  <si>
    <t>5221000 ( 100.0% )</t>
  </si>
  <si>
    <t>1043 ( 100.0% )</t>
  </si>
  <si>
    <t>5932600 ( 100.0% )</t>
  </si>
  <si>
    <t>746 ( 100.0% )</t>
  </si>
  <si>
    <t>5401550 ( 91.0% )</t>
  </si>
  <si>
    <t>736 ( 98.7% )</t>
  </si>
  <si>
    <t>2910940 ( 25.7% )</t>
  </si>
  <si>
    <t>78 ( 5.3% )</t>
  </si>
  <si>
    <t>4155540 ( 29.2% )</t>
  </si>
  <si>
    <t>547 ( 35.1% )</t>
  </si>
  <si>
    <t>-2679550 ( -14.6% )</t>
  </si>
  <si>
    <t>-244 ( -11.6% )</t>
  </si>
  <si>
    <t>3756580 ( 23.9% )</t>
  </si>
  <si>
    <t>407 ( 21.8% )</t>
  </si>
  <si>
    <t>-12288960 ( -63.1% )</t>
  </si>
  <si>
    <t>-1330 ( -58.6% )</t>
  </si>
  <si>
    <t>-18150 ( -0.3% )</t>
  </si>
  <si>
    <t>2 ( 0.2% )</t>
  </si>
  <si>
    <t>-3146270 ( -43.9% )</t>
  </si>
  <si>
    <t>-395 ( -41.9% )</t>
  </si>
  <si>
    <t>326020 ( 8.1% )</t>
  </si>
  <si>
    <t>-18 ( -3.3% )</t>
  </si>
  <si>
    <t>4000300 ( 92.0% )</t>
  </si>
  <si>
    <t>433 ( 81.9% )</t>
  </si>
  <si>
    <t>438380 ( 5.2% )</t>
  </si>
  <si>
    <t>-85 ( -8.8% )</t>
  </si>
  <si>
    <t>-5912580 ( -67.3% )</t>
  </si>
  <si>
    <t>-501 ( -57.1% )</t>
  </si>
  <si>
    <t>98400 ( 3.4% )</t>
  </si>
  <si>
    <t>9 ( 2.4% )</t>
  </si>
  <si>
    <t>1338300 ( 45.0% )</t>
  </si>
  <si>
    <t>139 ( 36.1% )</t>
  </si>
  <si>
    <t>-3054120 ( -70.8% )</t>
  </si>
  <si>
    <t>-362 ( -69.1% )</t>
  </si>
  <si>
    <t>1016770 ( 80.8% )</t>
  </si>
  <si>
    <t>104 ( 64.2% )</t>
  </si>
  <si>
    <t>2037330 ( 89.5% )</t>
  </si>
  <si>
    <t>145 ( 54.5% )</t>
  </si>
  <si>
    <t>-1610980 ( -37.4% )</t>
  </si>
  <si>
    <t>-106 ( -25.8% )</t>
  </si>
  <si>
    <t>-1568600 ( -58.1% )</t>
  </si>
  <si>
    <t>-161 ( -52.8% )</t>
  </si>
  <si>
    <t>319980 ( 28.2% )</t>
  </si>
  <si>
    <t>51 ( 35.4% )</t>
  </si>
  <si>
    <t>9020 ( 0.6% )</t>
  </si>
  <si>
    <t>-12 ( -6.2% )</t>
  </si>
  <si>
    <t>-1059500 ( -72.4% )</t>
  </si>
  <si>
    <t>-120 ( -65.6% )</t>
  </si>
  <si>
    <t>140200 ( 34.8% )</t>
  </si>
  <si>
    <t>15 ( 23.8% )</t>
  </si>
  <si>
    <t>750500 ( 138.2% )</t>
  </si>
  <si>
    <t>127 ( 162.8% )</t>
  </si>
  <si>
    <t>-474300 ( -36.7% )</t>
  </si>
  <si>
    <t>-101 ( -49.3% )</t>
  </si>
  <si>
    <t>-478400 ( -58.4% )</t>
  </si>
  <si>
    <t>-53 ( -51.0% )</t>
  </si>
  <si>
    <t>102000 ( 29.9% )</t>
  </si>
  <si>
    <t>13 ( 25.5% )</t>
  </si>
  <si>
    <t>11200 ( 2.5% )</t>
  </si>
  <si>
    <t>16 ( 25.0% )</t>
  </si>
  <si>
    <t>-370200 ( -81.5% )</t>
  </si>
  <si>
    <t>-68 ( -85.0% )</t>
  </si>
  <si>
    <t>138000 ( 164.3% )</t>
  </si>
  <si>
    <t>-88000 ( -39.6% )</t>
  </si>
  <si>
    <t>-13 ( -37.1% )</t>
  </si>
  <si>
    <t>124000 ( 92.5% )</t>
  </si>
  <si>
    <t>19 ( 86.4% )</t>
  </si>
  <si>
    <t>-163000 ( -63.2% )</t>
  </si>
  <si>
    <t>-26 ( -63.4% )</t>
  </si>
  <si>
    <t>-32000 ( -33.7% )</t>
  </si>
  <si>
    <t>-5 ( -33.3% )</t>
  </si>
  <si>
    <t>113000 ( 100.0% )</t>
  </si>
  <si>
    <t>-106000 ( -93.8% )</t>
  </si>
  <si>
    <t>-11 ( -91.7% )</t>
  </si>
  <si>
    <t>46000 ( 657.1% )</t>
  </si>
  <si>
    <t>83000 ( 156.6% )</t>
  </si>
  <si>
    <t>16 ( 266.7% )</t>
  </si>
  <si>
    <t>80000 ( 58.8% )</t>
  </si>
  <si>
    <t>14 ( 63.6% )</t>
  </si>
  <si>
    <t>-210000 ( -97.2% )</t>
  </si>
  <si>
    <t>-35 ( -97.2% )</t>
  </si>
  <si>
    <t>-17000 ( -25.8% )</t>
  </si>
  <si>
    <t>■ '토이 스토리 4' 일자별 통계정보</t>
  </si>
  <si>
    <t>1230056240 ( 100.0% )</t>
  </si>
  <si>
    <t>141837 ( 100.0% )</t>
  </si>
  <si>
    <t>272850920 ( 22.2% )</t>
  </si>
  <si>
    <t>18982 ( 13.4% )</t>
  </si>
  <si>
    <t>2166629550 ( 144.2% )</t>
  </si>
  <si>
    <t>254984 ( 158.6% )</t>
  </si>
  <si>
    <t>-197831020 ( -5.4% )</t>
  </si>
  <si>
    <t>-19365 ( -4.7% )</t>
  </si>
  <si>
    <t>-2605217630 ( -75.0% )</t>
  </si>
  <si>
    <t>-293904 ( -74.1% )</t>
  </si>
  <si>
    <t>-117416790 ( -13.6% )</t>
  </si>
  <si>
    <t>-13122 ( -12.8% )</t>
  </si>
  <si>
    <t>235918650 ( 31.5% )</t>
  </si>
  <si>
    <t>74274 ( 83.1% )</t>
  </si>
  <si>
    <t>-341014810 ( -34.6% )</t>
  </si>
  <si>
    <t>-87051 ( -53.2% )</t>
  </si>
  <si>
    <t>257331480 ( 40.0% )</t>
  </si>
  <si>
    <t>22410 ( 29.2% )</t>
  </si>
  <si>
    <t>1864840430 ( 206.9% )</t>
  </si>
  <si>
    <t>220036 ( 222.2% )</t>
  </si>
  <si>
    <t>-308939440 ( -11.2% )</t>
  </si>
  <si>
    <t>-34261 ( -10.7% )</t>
  </si>
  <si>
    <t>-1917723040 ( -78.0% )</t>
  </si>
  <si>
    <t>-221067 ( -77.6% )</t>
  </si>
  <si>
    <t>-251016830 ( -46.5% )</t>
  </si>
  <si>
    <t>-27992 ( -43.9% )</t>
  </si>
  <si>
    <t>57465140 ( 19.9% )</t>
  </si>
  <si>
    <t>7848 ( 21.9% )</t>
  </si>
  <si>
    <t>-9212570 ( -2.7% )</t>
  </si>
  <si>
    <t>-1003 ( -2.3% )</t>
  </si>
  <si>
    <t>186518870 ( 55.4% )</t>
  </si>
  <si>
    <t>18703 ( 43.9% )</t>
  </si>
  <si>
    <t>673337780 ( 128.7% )</t>
  </si>
  <si>
    <t>82912 ( 135.2% )</t>
  </si>
  <si>
    <t>-22774830 ( -1.9% )</t>
  </si>
  <si>
    <t>-2612 ( -1.8% )</t>
  </si>
  <si>
    <t>-913310650 ( -77.8% )</t>
  </si>
  <si>
    <t>-109781 ( -77.5% )</t>
  </si>
  <si>
    <t>35487450 ( 13.6% )</t>
  </si>
  <si>
    <t>5117 ( 16.1% )</t>
  </si>
  <si>
    <t>-53698680 ( -18.1% )</t>
  </si>
  <si>
    <t>-6613 ( -17.9% )</t>
  </si>
  <si>
    <t>-40543060 ( -16.7% )</t>
  </si>
  <si>
    <t>-5194 ( -17.1% )</t>
  </si>
  <si>
    <t>72176940 ( 35.8% )</t>
  </si>
  <si>
    <t>7064 ( 28.1% )</t>
  </si>
  <si>
    <t>620254730 ( 226.4% )</t>
  </si>
  <si>
    <t>73293 ( 227.6% )</t>
  </si>
  <si>
    <t>-72550 ( 0.0% )</t>
  </si>
  <si>
    <t>-74 ( -0.1% )</t>
  </si>
  <si>
    <t>-727913760 ( -81.4% )</t>
  </si>
  <si>
    <t>-85210 ( -80.8% )</t>
  </si>
  <si>
    <t>4262590 ( 2.6% )</t>
  </si>
  <si>
    <t>1168 ( 5.8% )</t>
  </si>
  <si>
    <t>-91969410 ( -54.0% )</t>
  </si>
  <si>
    <t>-11338 ( -53.0% )</t>
  </si>
  <si>
    <t>■ '엑스맨: 다크 피닉스' 일자별 통계정보</t>
  </si>
  <si>
    <t>1057908560 ( 19396.9% )</t>
  </si>
  <si>
    <t>122240 ( 40343.2% )</t>
  </si>
  <si>
    <t>1136792890 ( 106.9% )</t>
  </si>
  <si>
    <t>123717 ( 101.0% )</t>
  </si>
  <si>
    <t>-1150272040 ( -52.3% )</t>
  </si>
  <si>
    <t>-128422 ( -52.1% )</t>
  </si>
  <si>
    <t>241421260 ( 23.0% )</t>
  </si>
  <si>
    <t>22093 ( 18.7% )</t>
  </si>
  <si>
    <t>-296767900 ( -23.0% )</t>
  </si>
  <si>
    <t>-29738 ( -21.3% )</t>
  </si>
  <si>
    <t>-734798930 ( -73.9% )</t>
  </si>
  <si>
    <t>-79037 ( -71.7% )</t>
  </si>
  <si>
    <t>-52731650 ( -20.3% )</t>
  </si>
  <si>
    <t>-6189 ( -19.9% )</t>
  </si>
  <si>
    <t>-115077210 ( -55.6% )</t>
  </si>
  <si>
    <t>-13514 ( -54.1% )</t>
  </si>
  <si>
    <t>-28826940 ( -31.4% )</t>
  </si>
  <si>
    <t>-3620 ( -31.6% )</t>
  </si>
  <si>
    <t>11921500 ( 18.9% )</t>
  </si>
  <si>
    <t>1032 ( 13.2% )</t>
  </si>
  <si>
    <t>32924520 ( 43.9% )</t>
  </si>
  <si>
    <t>3599 ( 40.6% )</t>
  </si>
  <si>
    <t>-10693510 ( -9.9% )</t>
  </si>
  <si>
    <t>-1258 ( -10.1% )</t>
  </si>
  <si>
    <t>-55128470 ( -56.7% )</t>
  </si>
  <si>
    <t>-5954 ( -53.1% )</t>
  </si>
  <si>
    <t>-2404310 ( -5.7% )</t>
  </si>
  <si>
    <t>-208 ( -4.0% )</t>
  </si>
  <si>
    <t>-23339400 ( -58.8% )</t>
  </si>
  <si>
    <t>-2901 ( -57.5% )</t>
  </si>
  <si>
    <t>-8241010 ( -50.3% )</t>
  </si>
  <si>
    <t>-1111 ( -51.8% )</t>
  </si>
  <si>
    <t>-1120120 ( -13.8% )</t>
  </si>
  <si>
    <t>-191 ( -18.5% )</t>
  </si>
  <si>
    <t>939260 ( 13.4% )</t>
  </si>
  <si>
    <t>94 ( 11.2% )</t>
  </si>
  <si>
    <t>-2194400 ( -27.6% )</t>
  </si>
  <si>
    <t>-273 ( -29.2% )</t>
  </si>
  <si>
    <t>-1743960 ( -30.2% )</t>
  </si>
  <si>
    <t>-168 ( -25.4% )</t>
  </si>
  <si>
    <t>437880 ( 10.9% )</t>
  </si>
  <si>
    <t>42 ( 8.5% )</t>
  </si>
  <si>
    <t>-3694020 ( -82.8% )</t>
  </si>
  <si>
    <t>-395 ( -73.7% )</t>
  </si>
  <si>
    <t>4194000 ( 100.0% )</t>
  </si>
  <si>
    <t>466 ( 100.0% )</t>
  </si>
  <si>
    <t>824000 ( 100.0% )</t>
  </si>
  <si>
    <t>■ '맨 인 블랙: 인터내셔널' 일자별 통계정보</t>
  </si>
  <si>
    <t>934237390 ( 2548.4% )</t>
  </si>
  <si>
    <t>112009 ( 3567.2% )</t>
  </si>
  <si>
    <t>-309668180 ( -31.9% )</t>
  </si>
  <si>
    <t>-37193 ( -32.3% )</t>
  </si>
  <si>
    <t>273418380 ( 41.4% )</t>
  </si>
  <si>
    <t>23716 ( 30.4% )</t>
  </si>
  <si>
    <t>777453270 ( 83.2% )</t>
  </si>
  <si>
    <t>87002 ( 85.6% )</t>
  </si>
  <si>
    <t>-340130900 ( -19.9% )</t>
  </si>
  <si>
    <t>-37518 ( -19.9% )</t>
  </si>
  <si>
    <t>-1015554630 ( -74.0% )</t>
  </si>
  <si>
    <t>-108512 ( -71.8% )</t>
  </si>
  <si>
    <t>-25819270 ( -7.2% )</t>
  </si>
  <si>
    <t>-3121 ( -7.3% )</t>
  </si>
  <si>
    <t>-115949530 ( -35.1% )</t>
  </si>
  <si>
    <t>-13439 ( -34.0% )</t>
  </si>
  <si>
    <t>-94435300 ( -44.0% )</t>
  </si>
  <si>
    <t>-10967 ( -42.0% )</t>
  </si>
  <si>
    <t>26057980 ( 21.7% )</t>
  </si>
  <si>
    <t>1692 ( 11.2% )</t>
  </si>
  <si>
    <t>44591510 ( 30.5% )</t>
  </si>
  <si>
    <t>4890 ( 29.1% )</t>
  </si>
  <si>
    <t>-43624600 ( -22.9% )</t>
  </si>
  <si>
    <t>-4936 ( -22.7% )</t>
  </si>
  <si>
    <t>-90852350 ( -61.7% )</t>
  </si>
  <si>
    <t>-9897 ( -59.0% )</t>
  </si>
  <si>
    <t>-5109930 ( -9.1% )</t>
  </si>
  <si>
    <t>-484 ( -7.0% )</t>
  </si>
  <si>
    <t>-27136540 ( -52.9% )</t>
  </si>
  <si>
    <t>-1923 ( -30.1% )</t>
  </si>
  <si>
    <t>-17866100 ( -74.0% )</t>
  </si>
  <si>
    <t>-3668 ( -82.3% )</t>
  </si>
  <si>
    <t>-662400 ( -10.6% )</t>
  </si>
  <si>
    <t>-135 ( -17.1% )</t>
  </si>
  <si>
    <t>40234000 ( 717.3% )</t>
  </si>
  <si>
    <t>5032 ( 767.1% )</t>
  </si>
  <si>
    <t>-23298000 ( -50.8% )</t>
  </si>
  <si>
    <t>-3267 ( -57.4% )</t>
  </si>
  <si>
    <t>-18613200 ( -82.6% )</t>
  </si>
  <si>
    <t>-1940 ( -80.1% )</t>
  </si>
  <si>
    <t>-2389050 ( -60.8% )</t>
  </si>
  <si>
    <t>-291 ( -60.5% )</t>
  </si>
  <si>
    <t>1410150 ( 91.4% )</t>
  </si>
  <si>
    <t>204 ( 107.4% )</t>
  </si>
  <si>
    <t>9630200 ( 326.1% )</t>
  </si>
  <si>
    <t>1925 ( 488.6% )</t>
  </si>
  <si>
    <t>-9013700 ( -71.6% )</t>
  </si>
  <si>
    <t>-1905 ( -82.1% )</t>
  </si>
  <si>
    <t>2341800 ( 65.6% )</t>
  </si>
  <si>
    <t>466 ( 112.6% )</t>
  </si>
  <si>
    <t>-68100 ( -1.2% )</t>
  </si>
  <si>
    <t>-22 ( -2.5% )</t>
  </si>
  <si>
    <t>-906000 ( -15.5% )</t>
  </si>
  <si>
    <t>-234 ( -27.3% )</t>
  </si>
  <si>
    <t>-2805600 ( -56.8% )</t>
  </si>
  <si>
    <t>-308 ( -49.4% )</t>
  </si>
  <si>
    <t>-1663700 ( -78.1% )</t>
  </si>
  <si>
    <t>-244 ( -77.2% )</t>
  </si>
  <si>
    <t>223000 ( 47.7% )</t>
  </si>
  <si>
    <t>27 ( 37.5% )</t>
  </si>
  <si>
    <t>-77100 ( -11.2% )</t>
  </si>
  <si>
    <t>-8 ( -8.1% )</t>
  </si>
  <si>
    <t>915100 ( 149.2% )</t>
  </si>
  <si>
    <t>133 ( 146.2% )</t>
  </si>
  <si>
    <t>-329700 ( -21.6% )</t>
  </si>
  <si>
    <t>-47 ( -21.0% )</t>
  </si>
  <si>
    <t>-800600 ( -66.8% )</t>
  </si>
  <si>
    <t>-115 ( -65.0% )</t>
  </si>
  <si>
    <t>138000 ( 34.6% )</t>
  </si>
  <si>
    <t>18 ( 29.0% )</t>
  </si>
  <si>
    <t>■ '존 윅 3: 파라벨룸' 일자별 통계정보</t>
  </si>
  <si>
    <t>337806704 ( 26223.5% )</t>
  </si>
  <si>
    <t>35645 ( 19372.3% )</t>
  </si>
  <si>
    <t>-21201788 ( -6.3% )</t>
  </si>
  <si>
    <t>-2473 ( -6.9% )</t>
  </si>
  <si>
    <t>-310468100 ( -97.7% )</t>
  </si>
  <si>
    <t>-32531 ( -97.5% )</t>
  </si>
  <si>
    <t>-5499000 ( -74.1% )</t>
  </si>
  <si>
    <t>-611 ( -74.1% )</t>
  </si>
  <si>
    <t>846583060 ( 43955.5% )</t>
  </si>
  <si>
    <t>131809 ( 61593.0% )</t>
  </si>
  <si>
    <t>-195691830 ( -23.1% )</t>
  </si>
  <si>
    <t>-52917 ( -40.1% )</t>
  </si>
  <si>
    <t>166082180 ( 25.4% )</t>
  </si>
  <si>
    <t>10295 ( 13.0% )</t>
  </si>
  <si>
    <t>706835110 ( 86.3% )</t>
  </si>
  <si>
    <t>76313 ( 85.4% )</t>
  </si>
  <si>
    <t>-287108470 ( -18.8% )</t>
  </si>
  <si>
    <t>-30335 ( -18.3% )</t>
  </si>
  <si>
    <t>-814762590 ( -65.8% )</t>
  </si>
  <si>
    <t>-83288 ( -61.5% )</t>
  </si>
  <si>
    <t>-245428820 ( -57.9% )</t>
  </si>
  <si>
    <t>-30288 ( -58.1% )</t>
  </si>
  <si>
    <t>-13745540 ( -7.7% )</t>
  </si>
  <si>
    <t>-1675 ( -7.7% )</t>
  </si>
  <si>
    <t>-18325550 ( -11.1% )</t>
  </si>
  <si>
    <t>-2295 ( -11.4% )</t>
  </si>
  <si>
    <t>43914750 ( 30.0% )</t>
  </si>
  <si>
    <t>3144 ( 17.6% )</t>
  </si>
  <si>
    <t>40816970 ( 21.5% )</t>
  </si>
  <si>
    <t>4631 ( 22.1% )</t>
  </si>
  <si>
    <t>-57316040 ( -24.8% )</t>
  </si>
  <si>
    <t>-6241 ( -24.4% )</t>
  </si>
  <si>
    <t>-54482080 ( -31.4% )</t>
  </si>
  <si>
    <t>-4929 ( -25.5% )</t>
  </si>
  <si>
    <t>-10461400 ( -8.8% )</t>
  </si>
  <si>
    <t>-1245 ( -8.6% )</t>
  </si>
  <si>
    <t>-49964370 ( -45.9% )</t>
  </si>
  <si>
    <t>-6124 ( -46.4% )</t>
  </si>
  <si>
    <t>-19919130 ( -33.8% )</t>
  </si>
  <si>
    <t>-2362 ( -33.4% )</t>
  </si>
  <si>
    <t>12919090 ( 33.2% )</t>
  </si>
  <si>
    <t>1013 ( 21.5% )</t>
  </si>
  <si>
    <t>20733110 ( 40.0% )</t>
  </si>
  <si>
    <t>2249 ( 39.3% )</t>
  </si>
  <si>
    <t>-14384060 ( -19.8% )</t>
  </si>
  <si>
    <t>-1606 ( -20.2% )</t>
  </si>
  <si>
    <t>-26903180 ( -46.2% )</t>
  </si>
  <si>
    <t>-2618 ( -41.1% )</t>
  </si>
  <si>
    <t>2189390 ( 7.0% )</t>
  </si>
  <si>
    <t>269 ( 7.2% )</t>
  </si>
  <si>
    <t>-25285880 ( -75.5% )</t>
  </si>
  <si>
    <t>-3005 ( -74.9% )</t>
  </si>
  <si>
    <t>■ '애나벨 집으로' 일자별 통계정보</t>
  </si>
  <si>
    <t>508677940 ( 35923.6% )</t>
  </si>
  <si>
    <t>77850 ( 40128.9% )</t>
  </si>
  <si>
    <t>-181790280 ( -35.6% )</t>
  </si>
  <si>
    <t>-39376 ( -50.5% )</t>
  </si>
  <si>
    <t>100539420 ( 30.6% )</t>
  </si>
  <si>
    <t>7778 ( 20.1% )</t>
  </si>
  <si>
    <t>231879710 ( 54.1% )</t>
  </si>
  <si>
    <t>25879 ( 55.7% )</t>
  </si>
  <si>
    <t>-153674570 ( -23.3% )</t>
  </si>
  <si>
    <t>-16995 ( -23.5% )</t>
  </si>
  <si>
    <t>-307976570 ( -60.7% )</t>
  </si>
  <si>
    <t>-31692 ( -57.3% )</t>
  </si>
  <si>
    <t>-116054620 ( -58.3% )</t>
  </si>
  <si>
    <t>-13617 ( -57.6% )</t>
  </si>
  <si>
    <t>-589700 ( -0.7% )</t>
  </si>
  <si>
    <t>316 ( 3.2% )</t>
  </si>
  <si>
    <t>-4700770 ( -5.7% )</t>
  </si>
  <si>
    <t>-353 ( -3.4% )</t>
  </si>
  <si>
    <t>65231640 ( 83.9% )</t>
  </si>
  <si>
    <t>7472 ( 74.8% )</t>
  </si>
  <si>
    <t>18123520 ( 12.7% )</t>
  </si>
  <si>
    <t>2402 ( 13.8% )</t>
  </si>
  <si>
    <t>-32651920 ( -20.3% )</t>
  </si>
  <si>
    <t>-3986 ( -20.1% )</t>
  </si>
  <si>
    <t>-59673110 ( -46.5% )</t>
  </si>
  <si>
    <t>-7292 ( -45.9% )</t>
  </si>
  <si>
    <t>17956070 ( 26.1% )</t>
  </si>
  <si>
    <t>2448 ( 28.5% )</t>
  </si>
  <si>
    <t>-38227580 ( -44.1% )</t>
  </si>
  <si>
    <t>-4946 ( -44.8% )</t>
  </si>
  <si>
    <t>-15488900 ( -31.9% )</t>
  </si>
  <si>
    <t>-2018 ( -33.2% )</t>
  </si>
  <si>
    <t>22804360 ( 69.1% )</t>
  </si>
  <si>
    <t>2440 ( 60.0% )</t>
  </si>
  <si>
    <t>51286500 ( 91.9% )</t>
  </si>
  <si>
    <t>6320 ( 97.2% )</t>
  </si>
  <si>
    <t>-10970780 ( -10.2% )</t>
  </si>
  <si>
    <t>-1363 ( -10.6% )</t>
  </si>
  <si>
    <t>-68433480 ( -71.2% )</t>
  </si>
  <si>
    <t>-8137 ( -71.0% )</t>
  </si>
  <si>
    <t>2078060 ( 7.5% )</t>
  </si>
  <si>
    <t>322 ( 9.7% )</t>
  </si>
  <si>
    <t>-17917920 ( -60.2% )</t>
  </si>
  <si>
    <t>-1919 ( -52.6% )</t>
  </si>
  <si>
    <t>■ '천로역정: 천국을 찾아서' 일자별 통계정보</t>
  </si>
  <si>
    <t>60091540 ( 4307.6% )</t>
  </si>
  <si>
    <t>7878 ( 4501.7% )</t>
  </si>
  <si>
    <t>-3570340 ( -5.8% )</t>
  </si>
  <si>
    <t>-1023 ( -12.7% )</t>
  </si>
  <si>
    <t>133457010 ( 230.4% )</t>
  </si>
  <si>
    <t>17031 ( 242.3% )</t>
  </si>
  <si>
    <t>9660370 ( 5.0% )</t>
  </si>
  <si>
    <t>1465 ( 6.1% )</t>
  </si>
  <si>
    <t>-142614480 ( -70.9% )</t>
  </si>
  <si>
    <t>-17909 ( -70.2% )</t>
  </si>
  <si>
    <t>6946270 ( 11.9% )</t>
  </si>
  <si>
    <t>1203 ( 15.8% )</t>
  </si>
  <si>
    <t>-21831810 ( -33.4% )</t>
  </si>
  <si>
    <t>-2803 ( -31.8% )</t>
  </si>
  <si>
    <t>-11405980 ( -26.2% )</t>
  </si>
  <si>
    <t>-1671 ( -27.8% )</t>
  </si>
  <si>
    <t>10075680 ( 31.4% )</t>
  </si>
  <si>
    <t>1160 ( 26.7% )</t>
  </si>
  <si>
    <t>82299070 ( 195.0% )</t>
  </si>
  <si>
    <t>10397 ( 188.8% )</t>
  </si>
  <si>
    <t>29012870 ( 23.3% )</t>
  </si>
  <si>
    <t>4181 ( 26.3% )</t>
  </si>
  <si>
    <t>-119691020 ( -78.0% )</t>
  </si>
  <si>
    <t>-15696 ( -78.2% )</t>
  </si>
  <si>
    <t>5542980 ( 16.4% )</t>
  </si>
  <si>
    <t>919 ( 20.9% )</t>
  </si>
  <si>
    <t>-9465820 ( -24.0% )</t>
  </si>
  <si>
    <t>-574 ( -10.8% )</t>
  </si>
  <si>
    <t>892740 ( 3.0% )</t>
  </si>
  <si>
    <t>-395 ( -8.3% )</t>
  </si>
  <si>
    <t>5256390 ( 17.1% )</t>
  </si>
  <si>
    <t>356 ( 8.2% )</t>
  </si>
  <si>
    <t>68608430 ( 190.3% )</t>
  </si>
  <si>
    <t>8780 ( 187.0% )</t>
  </si>
  <si>
    <t>19141400 ( 18.3% )</t>
  </si>
  <si>
    <t>3297 ( 24.5% )</t>
  </si>
  <si>
    <t>-102057520 ( -82.4% )</t>
  </si>
  <si>
    <t>-13954 ( -83.2% )</t>
  </si>
  <si>
    <t>-7036780 ( -32.4% )</t>
  </si>
  <si>
    <t>-804 ( -28.5% )</t>
  </si>
  <si>
    <t>2970420 ( 20.2% )</t>
  </si>
  <si>
    <t>596 ( 29.6% )</t>
  </si>
  <si>
    <t>-2064340 ( -11.7% )</t>
  </si>
  <si>
    <t>-432 ( -16.6% )</t>
  </si>
  <si>
    <t>11459070 ( 73.4% )</t>
  </si>
  <si>
    <t>1358 ( 62.4% )</t>
  </si>
  <si>
    <t>24003550 ( 88.7% )</t>
  </si>
  <si>
    <t>3060 ( 86.6% )</t>
  </si>
  <si>
    <t>11279960 ( 22.1% )</t>
  </si>
  <si>
    <t>2233 ( 33.9% )</t>
  </si>
  <si>
    <t>-49356880 ( -79.2% )</t>
  </si>
  <si>
    <t>-7034 ( -79.7% )</t>
  </si>
  <si>
    <t>1892000 ( 14.6% )</t>
  </si>
  <si>
    <t>377 ( 21.0% )</t>
  </si>
  <si>
    <t>2690240 ( 18.1% )</t>
  </si>
  <si>
    <t>776 ( 35.7% )</t>
  </si>
  <si>
    <t>-3457320 ( -19.7% )</t>
  </si>
  <si>
    <t>-1005 ( -34.1% )</t>
  </si>
  <si>
    <t>24754500 ( 175.3% )</t>
  </si>
  <si>
    <t>4005 ( 206.2% )</t>
  </si>
  <si>
    <t>2557900 ( 6.6% )</t>
  </si>
  <si>
    <t>-285 ( -4.8% )</t>
  </si>
  <si>
    <t>19174340 ( 46.3% )</t>
  </si>
  <si>
    <t>2188 ( 38.6% )</t>
  </si>
  <si>
    <t>-47029240 ( -77.6% )</t>
  </si>
  <si>
    <t>-5947 ( -75.8% )</t>
  </si>
  <si>
    <t>2332900 ( 17.2% )</t>
  </si>
  <si>
    <t>569 ( 29.9% )</t>
  </si>
  <si>
    <t>-10020420 ( -63.0% )</t>
  </si>
  <si>
    <t>-1572 ( -63.6% )</t>
  </si>
  <si>
    <t>■ '비스트' 일자별 통계정보</t>
  </si>
  <si>
    <t>350731190 ( 4320.9% )</t>
  </si>
  <si>
    <t>57574 ( 6625.3% )</t>
  </si>
  <si>
    <t>-135252630 ( -37.7% )</t>
  </si>
  <si>
    <t>-30712 ( -52.6% )</t>
  </si>
  <si>
    <t>-6686810 ( -3.0% )</t>
  </si>
  <si>
    <t>-3357 ( -12.1% )</t>
  </si>
  <si>
    <t>94942080 ( 43.8% )</t>
  </si>
  <si>
    <t>10142 ( 41.6% )</t>
  </si>
  <si>
    <t>-61410120 ( -19.7% )</t>
  </si>
  <si>
    <t>-6554 ( -19.0% )</t>
  </si>
  <si>
    <t>-148981220 ( -59.5% )</t>
  </si>
  <si>
    <t>-15398 ( -55.1% )</t>
  </si>
  <si>
    <t>-75076740 ( -74.0% )</t>
  </si>
  <si>
    <t>-9227 ( -73.4% )</t>
  </si>
  <si>
    <t>-16212730 ( -61.5% )</t>
  </si>
  <si>
    <t>-2056 ( -61.6% )</t>
  </si>
  <si>
    <t>-2082580 ( -20.5% )</t>
  </si>
  <si>
    <t>-214 ( -16.7% )</t>
  </si>
  <si>
    <t>-688300 ( -8.5% )</t>
  </si>
  <si>
    <t>-118 ( -11.1% )</t>
  </si>
  <si>
    <t>2135220 ( 28.9% )</t>
  </si>
  <si>
    <t>313 ( 33.0% )</t>
  </si>
  <si>
    <t>-320300 ( -3.4% )</t>
  </si>
  <si>
    <t>-53 ( -4.2% )</t>
  </si>
  <si>
    <t>-4898180 ( -53.2% )</t>
  </si>
  <si>
    <t>-608 ( -50.3% )</t>
  </si>
  <si>
    <t>-440120 ( -10.2% )</t>
  </si>
  <si>
    <t>-58 ( -9.7% )</t>
  </si>
  <si>
    <t>-2380760 ( -61.4% )</t>
  </si>
  <si>
    <t>-336 ( -61.9% )</t>
  </si>
  <si>
    <t>-1243000 ( -83.1% )</t>
  </si>
  <si>
    <t>-173 ( -83.6% )</t>
  </si>
  <si>
    <t>452000 ( 179.4% )</t>
  </si>
  <si>
    <t>85 ( 250.0% )</t>
  </si>
  <si>
    <t>-60350 ( -8.6% )</t>
  </si>
  <si>
    <t>-23 ( -19.3% )</t>
  </si>
  <si>
    <t>176350 ( 27.4% )</t>
  </si>
  <si>
    <t>15 ( 15.6% )</t>
  </si>
  <si>
    <t>-521000 ( -63.5% )</t>
  </si>
  <si>
    <t>-66 ( -59.5% )</t>
  </si>
  <si>
    <t>9579000 ( 3203.7% )</t>
  </si>
  <si>
    <t>1063 ( 2362.2% )</t>
  </si>
  <si>
    <t>-9656000 ( -97.8% )</t>
  </si>
  <si>
    <t>-1075 ( -97.0% )</t>
  </si>
  <si>
    <t>■ '이웃집 토토로' 일자별 통계정보</t>
  </si>
  <si>
    <t>283898740 ( 7899.2% )</t>
  </si>
  <si>
    <t>34735 ( 6960.9% )</t>
  </si>
  <si>
    <t>-146634040 ( -51.0% )</t>
  </si>
  <si>
    <t>-17964 ( -51.0% )</t>
  </si>
  <si>
    <t>40838320 ( 29.0% )</t>
  </si>
  <si>
    <t>4837 ( 28.0% )</t>
  </si>
  <si>
    <t>13786330 ( 7.6% )</t>
  </si>
  <si>
    <t>1610 ( 7.3% )</t>
  </si>
  <si>
    <t>-157647590 ( -80.6% )</t>
  </si>
  <si>
    <t>-19051 ( -80.3% )</t>
  </si>
  <si>
    <t>542910 ( 1.4% )</t>
  </si>
  <si>
    <t>300 ( 6.4% )</t>
  </si>
  <si>
    <t>-11524040 ( -30.0% )</t>
  </si>
  <si>
    <t>-1537 ( -31.0% )</t>
  </si>
  <si>
    <t>-6760790 ( -25.2% )</t>
  </si>
  <si>
    <t>-879 ( -25.6% )</t>
  </si>
  <si>
    <t>7416820 ( 36.9% )</t>
  </si>
  <si>
    <t>717 ( 28.1% )</t>
  </si>
  <si>
    <t>65234280 ( 237.1% )</t>
  </si>
  <si>
    <t>7825 ( 239.5% )</t>
  </si>
  <si>
    <t>317280 ( 0.3% )</t>
  </si>
  <si>
    <t>97 ( 0.9% )</t>
  </si>
  <si>
    <t>-75974130 ( -81.6% )</t>
  </si>
  <si>
    <t>-9073 ( -81.1% )</t>
  </si>
  <si>
    <t>2595980 ( 15.2% )</t>
  </si>
  <si>
    <t>357 ( 16.9% )</t>
  </si>
  <si>
    <t>-3272090 ( -16.6% )</t>
  </si>
  <si>
    <t>-397 ( -16.1% )</t>
  </si>
  <si>
    <t>-9460520 ( -57.6% )</t>
  </si>
  <si>
    <t>-1206 ( -58.1% )</t>
  </si>
  <si>
    <t>2633700 ( 37.9% )</t>
  </si>
  <si>
    <t>202 ( 23.2% )</t>
  </si>
  <si>
    <t>9028500 ( 94.2% )</t>
  </si>
  <si>
    <t>1096 ( 102.2% )</t>
  </si>
  <si>
    <t>906220 ( 4.9% )</t>
  </si>
  <si>
    <t>126 ( 5.8% )</t>
  </si>
  <si>
    <t>-13665180 ( -70.0% )</t>
  </si>
  <si>
    <t>-1559 ( -68.0% )</t>
  </si>
  <si>
    <t>1660500 ( 28.4% )</t>
  </si>
  <si>
    <t>282 ( 38.4% )</t>
  </si>
  <si>
    <t>-5794200 ( -77.1% )</t>
  </si>
  <si>
    <t>-768 ( -75.5% )</t>
  </si>
  <si>
    <t>725000 ( 42.1% )</t>
  </si>
  <si>
    <t>59 ( 23.7% )</t>
  </si>
  <si>
    <t>-60000 ( -2.5% )</t>
  </si>
  <si>
    <t>-41 ( -13.3% )</t>
  </si>
  <si>
    <t>5319300 ( 222.9% )</t>
  </si>
  <si>
    <t>597 ( 223.6% )</t>
  </si>
  <si>
    <t>-1111000 ( -14.4% )</t>
  </si>
  <si>
    <t>-66 ( -7.6% )</t>
  </si>
  <si>
    <t>-4643800 ( -70.4% )</t>
  </si>
  <si>
    <t>-564 ( -70.7% )</t>
  </si>
  <si>
    <t>-267000 ( -13.7% )</t>
  </si>
  <si>
    <t>-24 ( -10.3% )</t>
  </si>
  <si>
    <t>542000 ( 32.2% )</t>
  </si>
  <si>
    <t>62 ( 29.5% )</t>
  </si>
  <si>
    <t>-1123200 ( -50.5% )</t>
  </si>
  <si>
    <t>-138 ( -50.7% )</t>
  </si>
  <si>
    <t>-246300 ( -22.3% )</t>
  </si>
  <si>
    <t>-39 ( -29.1% )</t>
  </si>
  <si>
    <t>2626500 ( 306.8% )</t>
  </si>
  <si>
    <t>299 ( 314.7% )</t>
  </si>
  <si>
    <t>-136400 ( -3.9% )</t>
  </si>
  <si>
    <t>-18 ( -4.6% )</t>
  </si>
  <si>
    <t>2934900 ( 87.7% )</t>
  </si>
  <si>
    <t>325 ( 86.4% )</t>
  </si>
  <si>
    <t>-5962500 ( -94.9% )</t>
  </si>
  <si>
    <t>-658 ( -93.9% )</t>
  </si>
  <si>
    <t>561000 ( 176.1% )</t>
  </si>
  <si>
    <t>61 ( 141.9% )</t>
  </si>
  <si>
    <t>-602500 ( -68.5% )</t>
  </si>
  <si>
    <t>-75 ( -72.1% )</t>
  </si>
  <si>
    <t>-217000 ( -78.3% )</t>
  </si>
  <si>
    <t>-24 ( -82.8% )</t>
  </si>
  <si>
    <t>935500 ( 1559.2% )</t>
  </si>
  <si>
    <t>103 ( 2060.0% )</t>
  </si>
  <si>
    <t>-427500 ( -42.9% )</t>
  </si>
  <si>
    <t>-57 ( -52.8% )</t>
  </si>
  <si>
    <t>-387000 ( -68.1% )</t>
  </si>
  <si>
    <t>-32 ( -62.7% )</t>
  </si>
  <si>
    <t>-160000 ( -88.4% )</t>
  </si>
  <si>
    <t>-16 ( -84.2% )</t>
  </si>
  <si>
    <t>■ '로켓맨' 일자별 통계정보</t>
  </si>
  <si>
    <t>91918820 ( 3660.6% )</t>
  </si>
  <si>
    <t>11609 ( 4160.9% )</t>
  </si>
  <si>
    <t>77236290 ( 81.8% )</t>
  </si>
  <si>
    <t>7484 ( 63.0% )</t>
  </si>
  <si>
    <t>-71978064 ( -41.9% )</t>
  </si>
  <si>
    <t>-8040 ( -41.5% )</t>
  </si>
  <si>
    <t>28580621 ( 28.7% )</t>
  </si>
  <si>
    <t>2985 ( 26.3% )</t>
  </si>
  <si>
    <t>-6911037 ( -5.4% )</t>
  </si>
  <si>
    <t>-603 ( -4.2% )</t>
  </si>
  <si>
    <t>-57421070 ( -47.3% )</t>
  </si>
  <si>
    <t>-5841 ( -42.6% )</t>
  </si>
  <si>
    <t>2851630 ( 4.5% )</t>
  </si>
  <si>
    <t>308 ( 3.9% )</t>
  </si>
  <si>
    <t>-47046300 ( -70.4% )</t>
  </si>
  <si>
    <t>-5773 ( -70.6% )</t>
  </si>
  <si>
    <t>-6559990 ( -33.2% )</t>
  </si>
  <si>
    <t>-755 ( -31.4% )</t>
  </si>
  <si>
    <t>2766200 ( 21.0% )</t>
  </si>
  <si>
    <t>95 ( 5.7% )</t>
  </si>
  <si>
    <t>5860000 ( 36.7% )</t>
  </si>
  <si>
    <t>594 ( 34.0% )</t>
  </si>
  <si>
    <t>-3151400 ( -14.5% )</t>
  </si>
  <si>
    <t>-295 ( -12.6% )</t>
  </si>
  <si>
    <t>-9661800 ( -51.8% )</t>
  </si>
  <si>
    <t>-921 ( -45.0% )</t>
  </si>
  <si>
    <t>527550 ( 5.9% )</t>
  </si>
  <si>
    <t>114 ( 10.1% )</t>
  </si>
  <si>
    <t>-4676350 ( -49.1% )</t>
  </si>
  <si>
    <t>-639 ( -51.5% )</t>
  </si>
  <si>
    <t>-1641600 ( -33.9% )</t>
  </si>
  <si>
    <t>-198 ( -32.9% )</t>
  </si>
  <si>
    <t>-480100 ( -15.0% )</t>
  </si>
  <si>
    <t>1956900 ( 71.8% )</t>
  </si>
  <si>
    <t>202 ( 63.3% )</t>
  </si>
  <si>
    <t>-1484600 ( -31.7% )</t>
  </si>
  <si>
    <t>-159 ( -30.5% )</t>
  </si>
  <si>
    <t>-880600 ( -27.5% )</t>
  </si>
  <si>
    <t>-77 ( -21.3% )</t>
  </si>
  <si>
    <t>-851000 ( -36.7% )</t>
  </si>
  <si>
    <t>-101 ( -35.4% )</t>
  </si>
  <si>
    <t>-697600 ( -47.6% )</t>
  </si>
  <si>
    <t>-69 ( -37.5% )</t>
  </si>
  <si>
    <t>471400 ( 61.4% )</t>
  </si>
  <si>
    <t>32 ( 27.8% )</t>
  </si>
  <si>
    <t>-39600 ( -3.2% )</t>
  </si>
  <si>
    <t>-17 ( -11.6% )</t>
  </si>
  <si>
    <t>2180900 ( 181.8% )</t>
  </si>
  <si>
    <t>228 ( 175.4% )</t>
  </si>
  <si>
    <t>-565200 ( -16.7% )</t>
  </si>
  <si>
    <t>-43 ( -12.0% )</t>
  </si>
  <si>
    <t>-2124500 ( -75.5% )</t>
  </si>
  <si>
    <t>-234 ( -74.3% )</t>
  </si>
  <si>
    <t>-4000 ( -0.6% )</t>
  </si>
  <si>
    <t>3396400 ( 494.7% )</t>
  </si>
  <si>
    <t>441 ( 531.3% )</t>
  </si>
  <si>
    <t>-3085900 ( -75.6% )</t>
  </si>
  <si>
    <t>-395 ( -75.4% )</t>
  </si>
  <si>
    <t>-307000 ( -30.8% )</t>
  </si>
  <si>
    <t>-51 ( -39.5% )</t>
  </si>
  <si>
    <t>703000 ( 101.9% )</t>
  </si>
  <si>
    <t>58 ( 74.4% )</t>
  </si>
  <si>
    <t>-98500 ( -7.1% )</t>
  </si>
  <si>
    <t>-15 ( -11.0% )</t>
  </si>
  <si>
    <t>5329500 ( 411.7% )</t>
  </si>
  <si>
    <t>614 ( 507.4% )</t>
  </si>
  <si>
    <t>-6301000 ( -95.1% )</t>
  </si>
  <si>
    <t>-698 ( -95.0% )</t>
  </si>
  <si>
    <t>-139000 ( -43.0% )</t>
  </si>
  <si>
    <t>-11 ( -29.7% )</t>
  </si>
  <si>
    <t>-139000 ( -75.5% )</t>
  </si>
  <si>
    <t>2095000 ( 4655.6% )</t>
  </si>
  <si>
    <t>254 ( 5080.0% )</t>
  </si>
  <si>
    <t>-1661500 ( -77.6% )</t>
  </si>
  <si>
    <t>-210 ( -81.1% )</t>
  </si>
  <si>
    <t>-292500 ( -61.1% )</t>
  </si>
  <si>
    <t>-26 ( -53.1% )</t>
  </si>
  <si>
    <t>341000 ( 183.3% )</t>
  </si>
  <si>
    <t>44 ( 191.3% )</t>
  </si>
  <si>
    <t>53000 ( 10.1% )</t>
  </si>
  <si>
    <t>6 ( 9.0% )</t>
  </si>
  <si>
    <t>■ '사탄의 인형' 일자별 통계정보</t>
  </si>
  <si>
    <t>117109700 ( 100.0% )</t>
  </si>
  <si>
    <t>13453 ( 100.0% )</t>
  </si>
  <si>
    <t>-7603880 ( -6.5% )</t>
  </si>
  <si>
    <t>-2091 ( -15.5% )</t>
  </si>
  <si>
    <t>12639690 ( 11.5% )</t>
  </si>
  <si>
    <t>1261 ( 11.1% )</t>
  </si>
  <si>
    <t>-32498010 ( -26.6% )</t>
  </si>
  <si>
    <t>-3515 ( -27.8% )</t>
  </si>
  <si>
    <t>-41610160 ( -46.4% )</t>
  </si>
  <si>
    <t>-3595 ( -39.5% )</t>
  </si>
  <si>
    <t>-2855300 ( -5.9% )</t>
  </si>
  <si>
    <t>-354 ( -6.4% )</t>
  </si>
  <si>
    <t>-39952560 ( -88.4% )</t>
  </si>
  <si>
    <t>-4558 ( -88.4% )</t>
  </si>
  <si>
    <t>-4407980 ( -84.3% )</t>
  </si>
  <si>
    <t>-507 ( -84.4% )</t>
  </si>
  <si>
    <t>159000 ( 19.4% )</t>
  </si>
  <si>
    <t>11 ( 11.7% )</t>
  </si>
  <si>
    <t>-191200 ( -19.5% )</t>
  </si>
  <si>
    <t>-22 ( -21.0% )</t>
  </si>
  <si>
    <t>269300 ( 34.1% )</t>
  </si>
  <si>
    <t>37 ( 44.6% )</t>
  </si>
  <si>
    <t>-74300 ( -7.0% )</t>
  </si>
  <si>
    <t>-10 ( -8.3% )</t>
  </si>
  <si>
    <t>-583300 ( -59.3% )</t>
  </si>
  <si>
    <t>-62 ( -56.4% )</t>
  </si>
  <si>
    <t>-45000 ( -11.2% )</t>
  </si>
  <si>
    <t>88000 ( 366.7% )</t>
  </si>
  <si>
    <t>11 ( 366.7% )</t>
  </si>
  <si>
    <t>5056000 ( 4514.3% )</t>
  </si>
  <si>
    <t>632 ( 4514.3% )</t>
  </si>
  <si>
    <t>872000 ( 16.9% )</t>
  </si>
  <si>
    <t>-42 ( -6.5% )</t>
  </si>
  <si>
    <t>■ '빅샤크2: 해저2만리' 일자별 통계정보</t>
  </si>
  <si>
    <t>137771380 ( 100.0% )</t>
  </si>
  <si>
    <t>18294 ( 100.0% )</t>
  </si>
  <si>
    <t>-78124930 ( -56.7% )</t>
  </si>
  <si>
    <t>-10138 ( -55.4% )</t>
  </si>
  <si>
    <t>565740 ( 0.9% )</t>
  </si>
  <si>
    <t>-31 ( -0.4% )</t>
  </si>
  <si>
    <t>-1920080 ( -3.2% )</t>
  </si>
  <si>
    <t>-418 ( -5.1% )</t>
  </si>
  <si>
    <t>-53123210 ( -91.1% )</t>
  </si>
  <si>
    <t>-6920 ( -89.8% )</t>
  </si>
  <si>
    <t>1950760 ( 37.7% )</t>
  </si>
  <si>
    <t>420 ( 53.4% )</t>
  </si>
  <si>
    <t>-2649060 ( -37.2% )</t>
  </si>
  <si>
    <t>-430 ( -35.6% )</t>
  </si>
  <si>
    <t>-402400 ( -9.0% )</t>
  </si>
  <si>
    <t>-27 ( -3.5% )</t>
  </si>
  <si>
    <t>-621400 ( -15.3% )</t>
  </si>
  <si>
    <t>-99 ( -13.2% )</t>
  </si>
  <si>
    <t>3399980 ( 98.6% )</t>
  </si>
  <si>
    <t>444 ( 68.2% )</t>
  </si>
  <si>
    <t>-1249930 ( -18.3% )</t>
  </si>
  <si>
    <t>-177 ( -16.2% )</t>
  </si>
  <si>
    <t>-4314850 ( -77.1% )</t>
  </si>
  <si>
    <t>-685 ( -74.6% )</t>
  </si>
  <si>
    <t>121000 ( 9.4% )</t>
  </si>
  <si>
    <t>30 ( 12.9% )</t>
  </si>
  <si>
    <t>1145000 ( 81.6% )</t>
  </si>
  <si>
    <t>220 ( 83.7% )</t>
  </si>
  <si>
    <t>-1223000 ( -48.0% )</t>
  </si>
  <si>
    <t>-249 ( -51.6% )</t>
  </si>
  <si>
    <t>-896000 ( -67.6% )</t>
  </si>
  <si>
    <t>-150 ( -64.1% )</t>
  </si>
  <si>
    <t>-169000 ( -39.4% )</t>
  </si>
  <si>
    <t>-36 ( -42.9% )</t>
  </si>
  <si>
    <t>-164000 ( -63.1% )</t>
  </si>
  <si>
    <t>-30 ( -62.5% )</t>
  </si>
  <si>
    <t>396000 ( 412.5% )</t>
  </si>
  <si>
    <t>69 ( 383.3% )</t>
  </si>
  <si>
    <t>-455000 ( -92.5% )</t>
  </si>
  <si>
    <t>-80 ( -92.0% )</t>
  </si>
  <si>
    <t>1068000 ( 2886.5% )</t>
  </si>
  <si>
    <t>198 ( 2828.6% )</t>
  </si>
  <si>
    <t>-378000 ( -34.2% )</t>
  </si>
  <si>
    <t>-37 ( -18.0% )</t>
  </si>
  <si>
    <t>-141000 ( -19.4% )</t>
  </si>
  <si>
    <t>-51 ( -30.4% )</t>
  </si>
  <si>
    <t>-408000 ( -69.6% )</t>
  </si>
  <si>
    <t>-84 ( -71.8% )</t>
  </si>
  <si>
    <t>-88000 ( -49.4% )</t>
  </si>
  <si>
    <t>-16 ( -48.5% )</t>
  </si>
  <si>
    <t>52000 ( 57.8% )</t>
  </si>
  <si>
    <t>9 ( 52.9% )</t>
  </si>
  <si>
    <t>575000 ( 404.9% )</t>
  </si>
  <si>
    <t>114 ( 438.5% )</t>
  </si>
  <si>
    <t>398000 ( 100.0% )</t>
  </si>
  <si>
    <t>170000 ( 100.0% )</t>
  </si>
  <si>
    <t>34 ( 100.0% )</t>
  </si>
  <si>
    <t>140000 ( 82.4% )</t>
  </si>
  <si>
    <t>28 ( 82.4% )</t>
  </si>
  <si>
    <t>-145000 ( -46.8% )</t>
  </si>
  <si>
    <t>-29 ( -46.8% )</t>
  </si>
  <si>
    <t>275000 ( 166.7% )</t>
  </si>
  <si>
    <t>55 ( 166.7% )</t>
  </si>
  <si>
    <t>780000 ( 100.0% )</t>
  </si>
  <si>
    <t>■ '업사이드' 일자별 통계정보</t>
  </si>
  <si>
    <t>36477600 ( 456.9% )</t>
  </si>
  <si>
    <t>4424 ( 443.3% )</t>
  </si>
  <si>
    <t>4638300 ( 10.4% )</t>
  </si>
  <si>
    <t>35 ( 0.6% )</t>
  </si>
  <si>
    <t>15817400 ( 32.2% )</t>
  </si>
  <si>
    <t>1784 ( 32.7% )</t>
  </si>
  <si>
    <t>-3652000 ( -5.6% )</t>
  </si>
  <si>
    <t>-401 ( -5.5% )</t>
  </si>
  <si>
    <t>-32794400 ( -53.5% )</t>
  </si>
  <si>
    <t>-3251 ( -47.5% )</t>
  </si>
  <si>
    <t>-197000 ( -0.7% )</t>
  </si>
  <si>
    <t>45 ( 1.3% )</t>
  </si>
  <si>
    <t>-12720900 ( -45.0% )</t>
  </si>
  <si>
    <t>-1598 ( -44.0% )</t>
  </si>
  <si>
    <t>-9627500 ( -61.9% )</t>
  </si>
  <si>
    <t>-1292 ( -63.5% )</t>
  </si>
  <si>
    <t>1481000 ( 25.0% )</t>
  </si>
  <si>
    <t>104 ( 14.0% )</t>
  </si>
  <si>
    <t>-706000 ( -9.5% )</t>
  </si>
  <si>
    <t>-92 ( -10.8% )</t>
  </si>
  <si>
    <t>-1121900 ( -16.7% )</t>
  </si>
  <si>
    <t>-116 ( -15.3% )</t>
  </si>
  <si>
    <t>-1076600 ( -19.3% )</t>
  </si>
  <si>
    <t>-58 ( -9.1% )</t>
  </si>
  <si>
    <t>108500 ( 2.4% )</t>
  </si>
  <si>
    <t>-2 ( -0.3% )</t>
  </si>
  <si>
    <t>-3386500 ( -73.5% )</t>
  </si>
  <si>
    <t>-403 ( -69.5% )</t>
  </si>
  <si>
    <t>-865000 ( -70.7% )</t>
  </si>
  <si>
    <t>-132 ( -74.6% )</t>
  </si>
  <si>
    <t>-229000 ( -63.8% )</t>
  </si>
  <si>
    <t>-29 ( -64.4% )</t>
  </si>
  <si>
    <t>278600 ( 214.3% )</t>
  </si>
  <si>
    <t>34 ( 212.5% )</t>
  </si>
  <si>
    <t>59400 ( 14.5% )</t>
  </si>
  <si>
    <t>10 ( 20.0% )</t>
  </si>
  <si>
    <t>485000 ( 103.6% )</t>
  </si>
  <si>
    <t>48 ( 80.0% )</t>
  </si>
  <si>
    <t>-87000 ( -9.1% )</t>
  </si>
  <si>
    <t>20 ( 18.5% )</t>
  </si>
  <si>
    <t>-579000 ( -66.9% )</t>
  </si>
  <si>
    <t>-97 ( -75.8% )</t>
  </si>
  <si>
    <t>238000 ( 82.9% )</t>
  </si>
  <si>
    <t>44 ( 141.9% )</t>
  </si>
  <si>
    <t>-510000 ( -97.1% )</t>
  </si>
  <si>
    <t>-73 ( -97.3% )</t>
  </si>
  <si>
    <t>333000 ( 2220.0% )</t>
  </si>
  <si>
    <t>37 ( 1850.0% )</t>
  </si>
  <si>
    <t>-293000 ( -84.2% )</t>
  </si>
  <si>
    <t>-33 ( -84.6% )</t>
  </si>
  <si>
    <t>-37000 ( -67.3% )</t>
  </si>
  <si>
    <t>-4 ( -66.7% )</t>
  </si>
  <si>
    <t>320000 ( 1777.8% )</t>
  </si>
  <si>
    <t>44 ( 2200.0% )</t>
  </si>
  <si>
    <t>-215000 ( -63.6% )</t>
  </si>
  <si>
    <t>-32 ( -69.6% )</t>
  </si>
  <si>
    <t>105000 ( 85.4% )</t>
  </si>
  <si>
    <t>19 ( 135.7% )</t>
  </si>
  <si>
    <t>-122000 ( -53.5% )</t>
  </si>
  <si>
    <t>-17 ( -51.5% )</t>
  </si>
  <si>
    <t>18000 ( 200.0% )</t>
  </si>
  <si>
    <t>9000 ( 33.3% )</t>
  </si>
  <si>
    <t>■ '세상을 바꾼 변호인' 일자별 통계정보</t>
  </si>
  <si>
    <t>24995300 ( 793.0% )</t>
  </si>
  <si>
    <t>3487 ( 917.6% )</t>
  </si>
  <si>
    <t>-1692690 ( -6.0% )</t>
  </si>
  <si>
    <t>-728 ( -18.8% )</t>
  </si>
  <si>
    <t>8811120 ( 33.3% )</t>
  </si>
  <si>
    <t>1004 ( 32.0% )</t>
  </si>
  <si>
    <t>-2779040 ( -7.9% )</t>
  </si>
  <si>
    <t>-276 ( -6.7% )</t>
  </si>
  <si>
    <t>-10729470 ( -33.0% )</t>
  </si>
  <si>
    <t>-975 ( -25.2% )</t>
  </si>
  <si>
    <t>-1054490 ( -4.8% )</t>
  </si>
  <si>
    <t>-140 ( -4.8% )</t>
  </si>
  <si>
    <t>-4684720 ( -22.6% )</t>
  </si>
  <si>
    <t>-589 ( -21.4% )</t>
  </si>
  <si>
    <t>-7465430 ( -46.6% )</t>
  </si>
  <si>
    <t>-1015 ( -46.9% )</t>
  </si>
  <si>
    <t>1609920 ( 18.8% )</t>
  </si>
  <si>
    <t>59 ( 5.1% )</t>
  </si>
  <si>
    <t>7760560 ( 76.4% )</t>
  </si>
  <si>
    <t>1007 ( 83.4% )</t>
  </si>
  <si>
    <t>-2608160 ( -14.6% )</t>
  </si>
  <si>
    <t>-316 ( -14.3% )</t>
  </si>
  <si>
    <t>-6627320 ( -43.3% )</t>
  </si>
  <si>
    <t>-733 ( -38.6% )</t>
  </si>
  <si>
    <t>218820 ( 2.5% )</t>
  </si>
  <si>
    <t>19 ( 1.6% )</t>
  </si>
  <si>
    <t>-2593100 ( -29.1% )</t>
  </si>
  <si>
    <t>-224 ( -18.9% )</t>
  </si>
  <si>
    <t>-1840 ( 0.0% )</t>
  </si>
  <si>
    <t>-102 ( -10.6% )</t>
  </si>
  <si>
    <t>908340 ( 14.4% )</t>
  </si>
  <si>
    <t>34 ( 4.0% )</t>
  </si>
  <si>
    <t>4345300 ( 60.2% )</t>
  </si>
  <si>
    <t>531 ( 59.5% )</t>
  </si>
  <si>
    <t>39580 ( 0.3% )</t>
  </si>
  <si>
    <t>40 ( 2.8% )</t>
  </si>
  <si>
    <t>-2486980 ( -21.4% )</t>
  </si>
  <si>
    <t>-213 ( -14.6% )</t>
  </si>
  <si>
    <t>-3742200 ( -41.0% )</t>
  </si>
  <si>
    <t>-488 ( -39.0% )</t>
  </si>
  <si>
    <t>-1224300 ( -22.8% )</t>
  </si>
  <si>
    <t>-236 ( -31.0% )</t>
  </si>
  <si>
    <t>-1347900 ( -32.5% )</t>
  </si>
  <si>
    <t>-164 ( -31.2% )</t>
  </si>
  <si>
    <t>4173160 ( 148.9% )</t>
  </si>
  <si>
    <t>403 ( 111.3% )</t>
  </si>
  <si>
    <t>695780 ( 10.0% )</t>
  </si>
  <si>
    <t>111 ( 14.5% )</t>
  </si>
  <si>
    <t>-1539760 ( -20.1% )</t>
  </si>
  <si>
    <t>-145 ( -16.6% )</t>
  </si>
  <si>
    <t>-2620400 ( -42.7% )</t>
  </si>
  <si>
    <t>-213 ( -29.1% )</t>
  </si>
  <si>
    <t>-990520 ( -28.2% )</t>
  </si>
  <si>
    <t>-175 ( -33.8% )</t>
  </si>
  <si>
    <t>390140 ( 15.5% )</t>
  </si>
  <si>
    <t>19 ( 5.5% )</t>
  </si>
  <si>
    <t>-2020200 ( -69.4% )</t>
  </si>
  <si>
    <t>-247 ( -68.2% )</t>
  </si>
  <si>
    <t>1745500 ( 195.8% )</t>
  </si>
  <si>
    <t>230 ( 200.0% )</t>
  </si>
  <si>
    <t>-77040 ( -2.9% )</t>
  </si>
  <si>
    <t>-22 ( -6.4% )</t>
  </si>
  <si>
    <t>-274260 ( -10.7% )</t>
  </si>
  <si>
    <t>-46 ( -14.2% )</t>
  </si>
  <si>
    <t>-1442800 ( -63.1% )</t>
  </si>
  <si>
    <t>-169 ( -61.0% )</t>
  </si>
  <si>
    <t>516900 ( 61.3% )</t>
  </si>
  <si>
    <t>75 ( 69.4% )</t>
  </si>
  <si>
    <t>-534360 ( -39.3% )</t>
  </si>
  <si>
    <t>-82 ( -44.8% )</t>
  </si>
  <si>
    <t>■ '마담 싸이코' 일자별 통계정보</t>
  </si>
  <si>
    <t>49387500 ( 944.0% )</t>
  </si>
  <si>
    <t>7944 ( 1143.0% )</t>
  </si>
  <si>
    <t>-10742700 ( -19.7% )</t>
  </si>
  <si>
    <t>-3522 ( -40.8% )</t>
  </si>
  <si>
    <t>6034000 ( 13.8% )</t>
  </si>
  <si>
    <t>205 ( 4.0% )</t>
  </si>
  <si>
    <t>18919300 ( 37.9% )</t>
  </si>
  <si>
    <t>1923 ( 36.1% )</t>
  </si>
  <si>
    <t>-9152100 ( -13.3% )</t>
  </si>
  <si>
    <t>-954 ( -13.2% )</t>
  </si>
  <si>
    <t>-32692500 ( -54.8% )</t>
  </si>
  <si>
    <t>-3149 ( -50.1% )</t>
  </si>
  <si>
    <t>-22470000 ( -83.3% )</t>
  </si>
  <si>
    <t>-2577 ( -82.0% )</t>
  </si>
  <si>
    <t>-2025500 ( -44.9% )</t>
  </si>
  <si>
    <t>-264 ( -46.7% )</t>
  </si>
  <si>
    <t>-814500 ( -32.7% )</t>
  </si>
  <si>
    <t>-94 ( -31.2% )</t>
  </si>
  <si>
    <t>-12500 ( -0.7% )</t>
  </si>
  <si>
    <t>-22 ( -10.6% )</t>
  </si>
  <si>
    <t>12500 ( 0.8% )</t>
  </si>
  <si>
    <t>13 ( 7.0% )</t>
  </si>
  <si>
    <t>-18500 ( -1.1% )</t>
  </si>
  <si>
    <t>-7 ( -3.5% )</t>
  </si>
  <si>
    <t>-866500 ( -52.3% )</t>
  </si>
  <si>
    <t>-94 ( -49.2% )</t>
  </si>
  <si>
    <t>262500 ( 33.2% )</t>
  </si>
  <si>
    <t>36 ( 37.1% )</t>
  </si>
  <si>
    <t>-817000 ( -77.6% )</t>
  </si>
  <si>
    <t>-104 ( -78.2% )</t>
  </si>
  <si>
    <t>-89000 ( -37.7% )</t>
  </si>
  <si>
    <t>-10 ( -34.5% )</t>
  </si>
  <si>
    <t>121000 ( 82.3% )</t>
  </si>
  <si>
    <t>14 ( 73.7% )</t>
  </si>
  <si>
    <t>29000 ( 10.8% )</t>
  </si>
  <si>
    <t>4 ( 12.1% )</t>
  </si>
  <si>
    <t>-57000 ( -19.2% )</t>
  </si>
  <si>
    <t>-10 ( -27.0% )</t>
  </si>
  <si>
    <t>-116000 ( -48.3% )</t>
  </si>
  <si>
    <t>-11 ( -40.7% )</t>
  </si>
  <si>
    <t>7000 ( 5.6% )</t>
  </si>
  <si>
    <t>-1 ( -6.3% )</t>
  </si>
  <si>
    <t>-71000 ( -54.2% )</t>
  </si>
  <si>
    <t>-6 ( -40.0% )</t>
  </si>
  <si>
    <t>=SUM('C:\EX\R\[movie.xlsm]91'!K5:K6)</t>
  </si>
  <si>
    <t>=SUM('C:\EX\R\[movie.xlsm]91'!N13)</t>
  </si>
  <si>
    <t xml:space="preserve">좌석판매율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</si>
</sst>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76" formatCode="#,##0_ "/>
    <numFmt numFmtId="177" formatCode="0.0%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Courier New"/>
      <family val="3"/>
    </font>
    <font>
      <b/>
      <sz val="13"/>
      <color rgb="FFFFFFFF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0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FFFF"/>
      </right>
      <top style="thin">
        <color rgb="FF000000"/>
      </top>
      <bottom style="thin">
        <color rgb="FF000000"/>
      </bottom>
      <diagonal/>
    </border>
    <border>
      <left style="medium">
        <color rgb="FFFFFFFF"/>
      </left>
      <right style="medium">
        <color rgb="FFFFFFFF"/>
      </right>
      <top style="thin">
        <color rgb="FF000000"/>
      </top>
      <bottom style="thin">
        <color rgb="FF000000"/>
      </bottom>
      <diagonal/>
    </border>
    <border>
      <left style="medium">
        <color rgb="FFFFFFFF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2" borderId="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8" fillId="7" borderId="10" applyNumberFormat="0" applyAlignment="0" applyProtection="0">
      <alignment vertical="center"/>
    </xf>
    <xf numFmtId="0" fontId="19" fillId="8" borderId="11" applyNumberFormat="0" applyAlignment="0" applyProtection="0">
      <alignment vertical="center"/>
    </xf>
    <xf numFmtId="0" fontId="20" fillId="8" borderId="10" applyNumberFormat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" fillId="9" borderId="13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14" applyNumberFormat="0" applyFill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0" fontId="4" fillId="2" borderId="1" xfId="3">
      <alignment vertical="center"/>
    </xf>
    <xf numFmtId="0" fontId="5" fillId="0" borderId="2" xfId="0" applyFont="1" applyBorder="1" applyAlignment="1">
      <alignment horizontal="left" vertical="center" wrapText="1"/>
    </xf>
    <xf numFmtId="3" fontId="0" fillId="0" borderId="0" xfId="0" applyNumberFormat="1">
      <alignment vertical="center"/>
    </xf>
    <xf numFmtId="176" fontId="6" fillId="0" borderId="0" xfId="0" applyNumberFormat="1" applyFont="1" applyAlignment="1">
      <alignment horizontal="left" vertical="center"/>
    </xf>
    <xf numFmtId="0" fontId="0" fillId="0" borderId="2" xfId="0" applyBorder="1">
      <alignment vertical="center"/>
    </xf>
    <xf numFmtId="0" fontId="10" fillId="3" borderId="3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6" xfId="0" applyFont="1" applyBorder="1" applyAlignment="1">
      <alignment vertical="center" wrapText="1"/>
    </xf>
  </cellXfs>
  <cellStyles count="44">
    <cellStyle name="20% - 강조색1" xfId="21" builtinId="30" customBuiltin="1"/>
    <cellStyle name="20% - 강조색2" xfId="25" builtinId="34" customBuiltin="1"/>
    <cellStyle name="20% - 강조색3" xfId="29" builtinId="38" customBuiltin="1"/>
    <cellStyle name="20% - 강조색4" xfId="33" builtinId="42" customBuiltin="1"/>
    <cellStyle name="20% - 강조색5" xfId="37" builtinId="46" customBuiltin="1"/>
    <cellStyle name="20% - 강조색6" xfId="41" builtinId="50" customBuiltin="1"/>
    <cellStyle name="40% - 강조색1" xfId="22" builtinId="31" customBuiltin="1"/>
    <cellStyle name="40% - 강조색2" xfId="26" builtinId="35" customBuiltin="1"/>
    <cellStyle name="40% - 강조색3" xfId="30" builtinId="39" customBuiltin="1"/>
    <cellStyle name="40% - 강조색4" xfId="34" builtinId="43" customBuiltin="1"/>
    <cellStyle name="40% - 강조색5" xfId="38" builtinId="47" customBuiltin="1"/>
    <cellStyle name="40% - 강조색6" xfId="42" builtinId="51" customBuiltin="1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4" builtinId="22" customBuiltin="1"/>
    <cellStyle name="나쁨" xfId="10" builtinId="27" customBuiltin="1"/>
    <cellStyle name="메모" xfId="17" builtinId="10" customBuiltin="1"/>
    <cellStyle name="보통" xfId="11" builtinId="28" customBuiltin="1"/>
    <cellStyle name="설명 텍스트" xfId="18" builtinId="53" customBuiltin="1"/>
    <cellStyle name="셀 확인" xfId="3" builtinId="23" customBuiltin="1"/>
    <cellStyle name="쉼표 [0] 2" xfId="1" xr:uid="{00000000-0005-0000-0000-000000000000}"/>
    <cellStyle name="연결된 셀" xfId="15" builtinId="24" customBuiltin="1"/>
    <cellStyle name="요약" xfId="19" builtinId="25" customBuiltin="1"/>
    <cellStyle name="입력" xfId="12" builtinId="20" customBuiltin="1"/>
    <cellStyle name="제목" xfId="4" builtinId="15" customBuiltin="1"/>
    <cellStyle name="제목 1" xfId="5" builtinId="16" customBuiltin="1"/>
    <cellStyle name="제목 2" xfId="6" builtinId="17" customBuiltin="1"/>
    <cellStyle name="제목 3" xfId="7" builtinId="18" customBuiltin="1"/>
    <cellStyle name="제목 4" xfId="8" builtinId="19" customBuiltin="1"/>
    <cellStyle name="좋음" xfId="9" builtinId="26" customBuiltin="1"/>
    <cellStyle name="출력" xfId="13" builtinId="21" customBuiltin="1"/>
    <cellStyle name="표준" xfId="0" builtinId="0"/>
    <cellStyle name="표준 2" xfId="2" xr:uid="{00000000-0005-0000-0000-000002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F8AD2BC-08B4-4445-98F4-8CCF065034A2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2</xdr:col>
      <xdr:colOff>666750</xdr:colOff>
      <xdr:row>5</xdr:row>
      <xdr:rowOff>0</xdr:rowOff>
    </xdr:to>
    <xdr:sp macro="[0]!MergeExcelFil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" y="219075"/>
          <a:ext cx="1352550" cy="82867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엑셀 파일</a:t>
          </a:r>
          <a:br>
            <a:rPr lang="en-US" altLang="ko-KR" sz="1100"/>
          </a:br>
          <a:r>
            <a:rPr lang="ko-KR" altLang="en-US" sz="1100"/>
            <a:t>합치기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8" sqref="D8"/>
    </sheetView>
  </sheetViews>
  <sheetFormatPr defaultRowHeight="16.5" x14ac:dyDescent="0.3"/>
  <sheetData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26E3E-FC66-46D6-9289-81F490196645}">
  <dimension ref="A1:E105"/>
  <sheetViews>
    <sheetView tabSelected="1" zoomScaleNormal="100" workbookViewId="0">
      <selection activeCell="E2" sqref="E2"/>
    </sheetView>
  </sheetViews>
  <sheetFormatPr defaultRowHeight="16.5" x14ac:dyDescent="0.3"/>
  <cols>
    <col min="1" max="1" width="45.875" customWidth="1"/>
    <col min="2" max="2" width="26.625" customWidth="1"/>
    <col min="3" max="3" width="42.75" customWidth="1"/>
    <col min="4" max="4" width="35.875" customWidth="1"/>
    <col min="5" max="5" width="31.75" customWidth="1"/>
  </cols>
  <sheetData>
    <row r="1" spans="1:5" ht="18" thickTop="1" thickBot="1" x14ac:dyDescent="0.35">
      <c r="A1" s="1" t="s">
        <v>0</v>
      </c>
      <c r="B1" t="s">
        <v>1</v>
      </c>
      <c r="C1" t="s">
        <v>2</v>
      </c>
      <c r="D1" t="s">
        <v>3</v>
      </c>
      <c r="E1" t="s">
        <v>9538</v>
      </c>
    </row>
    <row r="2" spans="1:5" ht="17.25" thickTop="1" x14ac:dyDescent="0.3">
      <c r="A2" s="2" t="s">
        <v>4</v>
      </c>
      <c r="B2" s="3">
        <v>1</v>
      </c>
      <c r="C2" s="3">
        <f>SUM('1'!K5:K6)</f>
        <v>700506</v>
      </c>
      <c r="D2" s="3">
        <f>SUM('1'!N13)</f>
        <v>4810447</v>
      </c>
      <c r="E2" s="4"/>
    </row>
    <row r="3" spans="1:5" x14ac:dyDescent="0.3">
      <c r="A3" s="2" t="s">
        <v>5</v>
      </c>
      <c r="B3" s="3">
        <v>2</v>
      </c>
      <c r="C3" s="3">
        <f>SUM('2'!K5:K6)</f>
        <v>90958</v>
      </c>
      <c r="D3" s="3">
        <f>SUM('2'!N13)</f>
        <v>1184919</v>
      </c>
      <c r="E3" s="4"/>
    </row>
    <row r="4" spans="1:5" x14ac:dyDescent="0.3">
      <c r="A4" s="2" t="s">
        <v>6</v>
      </c>
      <c r="B4" s="3">
        <v>3</v>
      </c>
      <c r="C4" s="3">
        <f>SUM('3'!K5:K6)</f>
        <v>174098</v>
      </c>
      <c r="D4" s="3">
        <f>SUM('3'!N13)</f>
        <v>1119441</v>
      </c>
      <c r="E4" s="4"/>
    </row>
    <row r="5" spans="1:5" x14ac:dyDescent="0.3">
      <c r="A5" s="2" t="s">
        <v>7</v>
      </c>
      <c r="B5" s="3">
        <v>4</v>
      </c>
      <c r="C5" s="3">
        <f>SUM('4'!K5:K6)</f>
        <v>240237</v>
      </c>
      <c r="D5" s="3">
        <f>SUM('4'!N13)</f>
        <v>1085544</v>
      </c>
      <c r="E5" s="4"/>
    </row>
    <row r="6" spans="1:5" x14ac:dyDescent="0.3">
      <c r="A6" s="2" t="s">
        <v>8</v>
      </c>
      <c r="B6" s="3">
        <v>5</v>
      </c>
      <c r="C6" s="3">
        <f>SUM('5'!K5:K6)</f>
        <v>278019</v>
      </c>
      <c r="D6" s="3">
        <f>SUM('5'!N13)</f>
        <v>2382491</v>
      </c>
      <c r="E6" s="4"/>
    </row>
    <row r="7" spans="1:5" x14ac:dyDescent="0.3">
      <c r="A7" s="2" t="s">
        <v>9</v>
      </c>
      <c r="B7" s="3">
        <v>6</v>
      </c>
      <c r="C7" s="3">
        <f>SUM('6'!K5:K6)</f>
        <v>175949</v>
      </c>
      <c r="D7" s="3">
        <f>SUM('6'!N13)</f>
        <v>1059070</v>
      </c>
      <c r="E7" s="4"/>
    </row>
    <row r="8" spans="1:5" x14ac:dyDescent="0.3">
      <c r="A8" s="2" t="s">
        <v>10</v>
      </c>
      <c r="B8" s="3">
        <v>7</v>
      </c>
      <c r="C8" s="3">
        <f>SUM('7'!K5:K6)</f>
        <v>349881</v>
      </c>
      <c r="D8" s="3">
        <f>SUM('7'!N13)</f>
        <v>1459699</v>
      </c>
      <c r="E8" s="4"/>
    </row>
    <row r="9" spans="1:5" x14ac:dyDescent="0.3">
      <c r="A9" s="2" t="s">
        <v>11</v>
      </c>
      <c r="B9" s="3">
        <v>8</v>
      </c>
      <c r="C9" s="3">
        <f>SUM('8'!K5:K6)</f>
        <v>136220</v>
      </c>
      <c r="D9" s="3">
        <f>SUM('8'!N13)</f>
        <v>426972</v>
      </c>
      <c r="E9" s="4"/>
    </row>
    <row r="10" spans="1:5" x14ac:dyDescent="0.3">
      <c r="A10" s="2" t="s">
        <v>12</v>
      </c>
      <c r="B10" s="3">
        <v>9</v>
      </c>
      <c r="C10" s="3">
        <f>SUM('9'!K5:K6)</f>
        <v>87869</v>
      </c>
      <c r="D10" s="3">
        <f>SUM('9'!N13)</f>
        <v>330474</v>
      </c>
      <c r="E10" s="4"/>
    </row>
    <row r="11" spans="1:5" x14ac:dyDescent="0.3">
      <c r="A11" s="2" t="s">
        <v>13</v>
      </c>
      <c r="B11" s="3">
        <v>10</v>
      </c>
      <c r="C11" s="3">
        <f>SUM('10'!K5:K6)</f>
        <v>527168</v>
      </c>
      <c r="D11" s="3">
        <f>SUM('10'!N13)</f>
        <v>1299768</v>
      </c>
      <c r="E11" s="4"/>
    </row>
    <row r="12" spans="1:5" x14ac:dyDescent="0.3">
      <c r="A12" s="2" t="s">
        <v>14</v>
      </c>
      <c r="B12" s="3">
        <v>11</v>
      </c>
      <c r="C12" s="3">
        <f>SUM('11'!K5:K6)</f>
        <v>376475</v>
      </c>
      <c r="D12" s="3">
        <f>SUM('11'!N13)</f>
        <v>1516473</v>
      </c>
      <c r="E12" s="4"/>
    </row>
    <row r="13" spans="1:5" x14ac:dyDescent="0.3">
      <c r="A13" s="2" t="s">
        <v>15</v>
      </c>
      <c r="B13" s="3">
        <v>12</v>
      </c>
      <c r="C13" s="3">
        <f>SUM('12'!K5:K6)</f>
        <v>182103</v>
      </c>
      <c r="D13" s="3">
        <f>SUM('12'!N13)</f>
        <v>299207</v>
      </c>
      <c r="E13" s="4"/>
    </row>
    <row r="14" spans="1:5" x14ac:dyDescent="0.3">
      <c r="A14" s="2" t="s">
        <v>16</v>
      </c>
      <c r="B14" s="3">
        <v>13</v>
      </c>
      <c r="C14" s="3">
        <f>SUM('13'!K5:K6)</f>
        <v>23877</v>
      </c>
      <c r="D14" s="3">
        <f>SUM('13'!N13)</f>
        <v>137564</v>
      </c>
      <c r="E14" s="4"/>
    </row>
    <row r="15" spans="1:5" x14ac:dyDescent="0.3">
      <c r="A15" s="2" t="s">
        <v>17</v>
      </c>
      <c r="B15" s="3">
        <v>14</v>
      </c>
      <c r="C15" s="3">
        <f>SUM('14'!K5:K6)</f>
        <v>40755</v>
      </c>
      <c r="D15" s="3">
        <f>SUM('14'!N13)</f>
        <v>525395</v>
      </c>
      <c r="E15" s="4"/>
    </row>
    <row r="16" spans="1:5" x14ac:dyDescent="0.3">
      <c r="A16" s="2" t="s">
        <v>18</v>
      </c>
      <c r="B16" s="3">
        <v>15</v>
      </c>
      <c r="C16" s="3">
        <f>SUM('15'!K5:K6)</f>
        <v>193351</v>
      </c>
      <c r="D16" s="3">
        <f>SUM('15'!N13)</f>
        <v>980143</v>
      </c>
      <c r="E16" s="4"/>
    </row>
    <row r="17" spans="1:5" x14ac:dyDescent="0.3">
      <c r="A17" s="2" t="s">
        <v>19</v>
      </c>
      <c r="B17" s="3">
        <v>16</v>
      </c>
      <c r="C17" s="3">
        <f>SUM('16'!K5:K6)</f>
        <v>91531</v>
      </c>
      <c r="D17" s="3">
        <f>SUM('16'!N13)</f>
        <v>192942</v>
      </c>
      <c r="E17" s="4"/>
    </row>
    <row r="18" spans="1:5" x14ac:dyDescent="0.3">
      <c r="A18" s="2" t="s">
        <v>20</v>
      </c>
      <c r="B18" s="3">
        <v>17</v>
      </c>
      <c r="C18" s="3">
        <f>SUM('17'!K5:K6)</f>
        <v>32537</v>
      </c>
      <c r="D18" s="3">
        <f>SUM('17'!N13)</f>
        <v>152647</v>
      </c>
      <c r="E18" s="4"/>
    </row>
    <row r="19" spans="1:5" x14ac:dyDescent="0.3">
      <c r="A19" s="2" t="s">
        <v>21</v>
      </c>
      <c r="B19" s="3">
        <v>18</v>
      </c>
      <c r="C19" s="3">
        <f>SUM('18'!K5:K6)</f>
        <v>170039</v>
      </c>
      <c r="D19" s="3">
        <f>SUM('18'!N13)</f>
        <v>457111</v>
      </c>
      <c r="E19" s="4"/>
    </row>
    <row r="20" spans="1:5" x14ac:dyDescent="0.3">
      <c r="A20" s="2" t="s">
        <v>22</v>
      </c>
      <c r="B20" s="3">
        <v>19</v>
      </c>
      <c r="C20" s="3">
        <f>SUM('19'!K5:K6)</f>
        <v>27339</v>
      </c>
      <c r="D20" s="3">
        <f>SUM('19'!N13)</f>
        <v>95309</v>
      </c>
      <c r="E20" s="4"/>
    </row>
    <row r="21" spans="1:5" x14ac:dyDescent="0.3">
      <c r="A21" s="2" t="s">
        <v>23</v>
      </c>
      <c r="B21" s="3">
        <v>20</v>
      </c>
      <c r="C21" s="3">
        <f>SUM('20'!K5:K6)</f>
        <v>18236</v>
      </c>
      <c r="D21" s="3">
        <f>SUM('20'!N13)</f>
        <v>75576</v>
      </c>
      <c r="E21" s="4"/>
    </row>
    <row r="22" spans="1:5" x14ac:dyDescent="0.3">
      <c r="A22" s="2" t="s">
        <v>24</v>
      </c>
      <c r="B22" s="3">
        <v>21</v>
      </c>
      <c r="C22" s="3">
        <f>SUM('21'!K5:K6)</f>
        <v>23799</v>
      </c>
      <c r="D22" s="3">
        <f>SUM('21'!N13)</f>
        <v>83631</v>
      </c>
      <c r="E22" s="4"/>
    </row>
    <row r="23" spans="1:5" x14ac:dyDescent="0.3">
      <c r="A23" s="2" t="s">
        <v>25</v>
      </c>
      <c r="B23" s="3">
        <v>22</v>
      </c>
      <c r="C23" s="3">
        <f>SUM('22'!K5:K6)</f>
        <v>10203</v>
      </c>
      <c r="D23" s="3">
        <f>SUM('22'!N13)</f>
        <v>203026</v>
      </c>
      <c r="E23" s="4"/>
    </row>
    <row r="24" spans="1:5" x14ac:dyDescent="0.3">
      <c r="A24" s="2" t="s">
        <v>26</v>
      </c>
      <c r="B24" s="3">
        <v>23</v>
      </c>
      <c r="C24" s="3">
        <f>SUM('23'!K5:K6)</f>
        <v>12165</v>
      </c>
      <c r="D24" s="3">
        <f>SUM('23'!N13)</f>
        <v>463335</v>
      </c>
      <c r="E24" s="4"/>
    </row>
    <row r="25" spans="1:5" x14ac:dyDescent="0.3">
      <c r="A25" s="2" t="s">
        <v>27</v>
      </c>
      <c r="B25" s="3">
        <v>24</v>
      </c>
      <c r="C25" s="3">
        <f>SUM('24'!K5:K6)</f>
        <v>32286</v>
      </c>
      <c r="D25" s="3">
        <f>SUM('24'!N13)</f>
        <v>379004</v>
      </c>
      <c r="E25" s="4"/>
    </row>
    <row r="26" spans="1:5" x14ac:dyDescent="0.3">
      <c r="A26" s="2" t="s">
        <v>28</v>
      </c>
      <c r="B26" s="3">
        <v>25</v>
      </c>
      <c r="C26" s="3">
        <f>SUM('25'!K5:K6)</f>
        <v>77778</v>
      </c>
      <c r="D26" s="3">
        <f>SUM('25'!N13)</f>
        <v>456319</v>
      </c>
      <c r="E26" s="4"/>
    </row>
    <row r="27" spans="1:5" x14ac:dyDescent="0.3">
      <c r="A27" s="2" t="s">
        <v>29</v>
      </c>
      <c r="B27" s="3">
        <v>26</v>
      </c>
      <c r="C27" s="3">
        <f>SUM('26'!K5:K6)</f>
        <v>435538</v>
      </c>
      <c r="D27" s="3">
        <f>SUM('26'!N13)</f>
        <v>1694380</v>
      </c>
      <c r="E27" s="4"/>
    </row>
    <row r="28" spans="1:5" x14ac:dyDescent="0.3">
      <c r="A28" s="2" t="s">
        <v>30</v>
      </c>
      <c r="B28" s="3">
        <v>27</v>
      </c>
      <c r="C28" s="3">
        <f>SUM('27'!K5:K6)</f>
        <v>546693</v>
      </c>
      <c r="D28" s="3">
        <f>SUM('27'!N13)</f>
        <v>1434585</v>
      </c>
      <c r="E28" s="4"/>
    </row>
    <row r="29" spans="1:5" x14ac:dyDescent="0.3">
      <c r="A29" s="2" t="s">
        <v>31</v>
      </c>
      <c r="B29" s="3">
        <v>28</v>
      </c>
      <c r="C29" s="3">
        <f>SUM('28'!K5:K6)</f>
        <v>167324</v>
      </c>
      <c r="D29" s="3">
        <f>SUM('28'!N13)</f>
        <v>1106225</v>
      </c>
      <c r="E29" s="4"/>
    </row>
    <row r="30" spans="1:5" x14ac:dyDescent="0.3">
      <c r="A30" s="2" t="s">
        <v>32</v>
      </c>
      <c r="B30" s="3">
        <v>29</v>
      </c>
      <c r="C30" s="3">
        <f>SUM('29'!K5:K6)</f>
        <v>329503</v>
      </c>
      <c r="D30" s="3">
        <f>SUM('29'!N13)</f>
        <v>1677383</v>
      </c>
      <c r="E30" s="4"/>
    </row>
    <row r="31" spans="1:5" x14ac:dyDescent="0.3">
      <c r="A31" s="2" t="s">
        <v>33</v>
      </c>
      <c r="B31" s="3">
        <v>30</v>
      </c>
      <c r="C31" s="3">
        <f>SUM('30'!K5:K6)</f>
        <v>130156</v>
      </c>
      <c r="D31" s="3">
        <f>SUM('30'!N13)</f>
        <v>371699</v>
      </c>
      <c r="E31" s="4"/>
    </row>
    <row r="32" spans="1:5" x14ac:dyDescent="0.3">
      <c r="A32" s="2" t="s">
        <v>34</v>
      </c>
      <c r="B32" s="3">
        <v>31</v>
      </c>
      <c r="C32" s="3">
        <f>SUM('31'!K5:K6)</f>
        <v>79307</v>
      </c>
      <c r="D32" s="3">
        <f>SUM('31'!N13)</f>
        <v>251719</v>
      </c>
      <c r="E32" s="4"/>
    </row>
    <row r="33" spans="1:5" x14ac:dyDescent="0.3">
      <c r="A33" s="2" t="s">
        <v>35</v>
      </c>
      <c r="B33" s="3">
        <v>32</v>
      </c>
      <c r="C33" s="3">
        <f>SUM('32'!K5:K6)</f>
        <v>49189</v>
      </c>
      <c r="D33" s="3">
        <f>SUM('32'!N13)</f>
        <v>178990</v>
      </c>
      <c r="E33" s="4"/>
    </row>
    <row r="34" spans="1:5" x14ac:dyDescent="0.3">
      <c r="A34" s="2" t="s">
        <v>36</v>
      </c>
      <c r="B34" s="3">
        <v>33</v>
      </c>
      <c r="C34" s="3">
        <f>SUM('33'!K5:K6)</f>
        <v>29724</v>
      </c>
      <c r="D34" s="3">
        <f>SUM('33'!N13)</f>
        <v>206681</v>
      </c>
      <c r="E34" s="4"/>
    </row>
    <row r="35" spans="1:5" x14ac:dyDescent="0.3">
      <c r="A35" s="2" t="s">
        <v>37</v>
      </c>
      <c r="B35" s="3">
        <v>34</v>
      </c>
      <c r="C35" s="3">
        <f>SUM('34'!K5:K6)</f>
        <v>181986</v>
      </c>
      <c r="D35" s="3">
        <f>SUM('34'!N13)</f>
        <v>911119</v>
      </c>
      <c r="E35" s="4"/>
    </row>
    <row r="36" spans="1:5" x14ac:dyDescent="0.3">
      <c r="A36" s="2" t="s">
        <v>38</v>
      </c>
      <c r="B36" s="3">
        <v>35</v>
      </c>
      <c r="C36" s="3">
        <f>SUM('35'!K5:K6)</f>
        <v>39813</v>
      </c>
      <c r="D36" s="3">
        <f>SUM('35'!N13)</f>
        <v>101749</v>
      </c>
      <c r="E36" s="4"/>
    </row>
    <row r="37" spans="1:5" x14ac:dyDescent="0.3">
      <c r="A37" s="2" t="s">
        <v>39</v>
      </c>
      <c r="B37" s="3">
        <v>36</v>
      </c>
      <c r="C37" s="3">
        <f>SUM('36'!K5:K6)</f>
        <v>4004</v>
      </c>
      <c r="D37" s="3">
        <f>SUM('36'!N13)</f>
        <v>93935</v>
      </c>
      <c r="E37" s="4"/>
    </row>
    <row r="38" spans="1:5" x14ac:dyDescent="0.3">
      <c r="A38" s="2" t="s">
        <v>40</v>
      </c>
      <c r="B38" s="3">
        <v>37</v>
      </c>
      <c r="C38" s="3">
        <f>SUM('37'!K5:K6)</f>
        <v>32936</v>
      </c>
      <c r="D38" s="3">
        <f>SUM('37'!N13)</f>
        <v>91482</v>
      </c>
      <c r="E38" s="4"/>
    </row>
    <row r="39" spans="1:5" x14ac:dyDescent="0.3">
      <c r="A39" s="2" t="s">
        <v>41</v>
      </c>
      <c r="B39" s="3">
        <v>38</v>
      </c>
      <c r="C39" s="3">
        <f>SUM('38'!K5:K6)</f>
        <v>8002</v>
      </c>
      <c r="D39" s="3">
        <f>SUM('38'!N13)</f>
        <v>42294</v>
      </c>
      <c r="E39" s="4"/>
    </row>
    <row r="40" spans="1:5" x14ac:dyDescent="0.3">
      <c r="A40" s="2" t="s">
        <v>42</v>
      </c>
      <c r="B40" s="3">
        <v>39</v>
      </c>
      <c r="C40" s="3">
        <f>SUM('39'!K5:K6)</f>
        <v>28684</v>
      </c>
      <c r="D40" s="3">
        <f>SUM('39'!N13)</f>
        <v>80419</v>
      </c>
      <c r="E40" s="4"/>
    </row>
    <row r="41" spans="1:5" x14ac:dyDescent="0.3">
      <c r="A41" s="2" t="s">
        <v>43</v>
      </c>
      <c r="B41" s="3">
        <v>40</v>
      </c>
      <c r="C41" s="3">
        <f>SUM('40'!K5:K6)</f>
        <v>65534</v>
      </c>
      <c r="D41" s="3">
        <f>SUM('40'!N13)</f>
        <v>166947</v>
      </c>
      <c r="E41" s="4"/>
    </row>
    <row r="42" spans="1:5" x14ac:dyDescent="0.3">
      <c r="A42" s="2" t="s">
        <v>44</v>
      </c>
      <c r="B42" s="3">
        <v>41</v>
      </c>
      <c r="C42" s="3">
        <f>SUM('41'!K5:K6)</f>
        <v>773828</v>
      </c>
      <c r="D42" s="3">
        <f>SUM('41'!N13)</f>
        <v>3588100</v>
      </c>
    </row>
    <row r="43" spans="1:5" x14ac:dyDescent="0.3">
      <c r="A43" s="2" t="s">
        <v>45</v>
      </c>
      <c r="B43" s="3">
        <v>42</v>
      </c>
      <c r="C43" s="3">
        <f>SUM('42'!K5:K6)</f>
        <v>336658</v>
      </c>
      <c r="D43" s="3">
        <f>SUM('42'!N13)</f>
        <v>2067735</v>
      </c>
    </row>
    <row r="44" spans="1:5" x14ac:dyDescent="0.3">
      <c r="A44" s="2" t="s">
        <v>46</v>
      </c>
      <c r="B44" s="3">
        <v>43</v>
      </c>
      <c r="C44" s="3">
        <f>SUM('43'!K5:K6)</f>
        <v>307397</v>
      </c>
      <c r="D44" s="3">
        <f>SUM('43'!N13)</f>
        <v>1133912</v>
      </c>
    </row>
    <row r="45" spans="1:5" x14ac:dyDescent="0.3">
      <c r="A45" s="2" t="s">
        <v>47</v>
      </c>
      <c r="B45" s="3">
        <v>44</v>
      </c>
      <c r="C45" s="3">
        <f>SUM('44'!K5:K6)</f>
        <v>71596</v>
      </c>
      <c r="D45" s="3">
        <f>SUM('44'!N13)</f>
        <v>480562</v>
      </c>
    </row>
    <row r="46" spans="1:5" x14ac:dyDescent="0.3">
      <c r="A46" s="2" t="s">
        <v>48</v>
      </c>
      <c r="B46" s="3">
        <v>45</v>
      </c>
      <c r="C46" s="3">
        <f>SUM('45'!K5:K6)</f>
        <v>62347</v>
      </c>
      <c r="D46" s="3">
        <f>SUM('45'!N13)</f>
        <v>237157</v>
      </c>
    </row>
    <row r="47" spans="1:5" x14ac:dyDescent="0.3">
      <c r="A47" s="2" t="s">
        <v>49</v>
      </c>
      <c r="B47" s="3">
        <v>46</v>
      </c>
      <c r="C47" s="3">
        <f>SUM('46'!K5:K6)</f>
        <v>36825</v>
      </c>
      <c r="D47" s="3">
        <f>SUM('46'!N13)</f>
        <v>239393</v>
      </c>
    </row>
    <row r="48" spans="1:5" x14ac:dyDescent="0.3">
      <c r="A48" s="2" t="s">
        <v>50</v>
      </c>
      <c r="B48" s="3">
        <v>47</v>
      </c>
      <c r="C48" s="3">
        <f>SUM('47'!K5:K6)</f>
        <v>47724</v>
      </c>
      <c r="D48" s="3">
        <f>SUM('47'!N13)</f>
        <v>164776</v>
      </c>
    </row>
    <row r="49" spans="1:4" x14ac:dyDescent="0.3">
      <c r="A49" s="2" t="s">
        <v>51</v>
      </c>
      <c r="B49" s="3">
        <v>48</v>
      </c>
      <c r="C49" s="3">
        <f>SUM('48'!K5:K6)</f>
        <v>45500</v>
      </c>
      <c r="D49" s="3">
        <f>SUM('48'!N13)</f>
        <v>230090</v>
      </c>
    </row>
    <row r="50" spans="1:4" x14ac:dyDescent="0.3">
      <c r="A50" s="2" t="s">
        <v>52</v>
      </c>
      <c r="B50" s="3">
        <v>49</v>
      </c>
      <c r="C50" s="3">
        <f>SUM('49'!K5:K6)</f>
        <v>23171</v>
      </c>
      <c r="D50" s="3">
        <f>SUM('49'!N13)</f>
        <v>86330</v>
      </c>
    </row>
    <row r="51" spans="1:4" x14ac:dyDescent="0.3">
      <c r="A51" s="2" t="s">
        <v>53</v>
      </c>
      <c r="B51" s="3">
        <v>50</v>
      </c>
      <c r="C51">
        <f>SUM('50'!K5:K6)</f>
        <v>1503</v>
      </c>
      <c r="D51" s="3">
        <f>SUM('50'!N13)</f>
        <v>12999</v>
      </c>
    </row>
    <row r="52" spans="1:4" x14ac:dyDescent="0.3">
      <c r="A52" s="2" t="s">
        <v>54</v>
      </c>
      <c r="B52" s="3">
        <v>51</v>
      </c>
      <c r="C52" s="3">
        <f>SUM('51'!K5:K6)</f>
        <v>5607</v>
      </c>
      <c r="D52" s="3">
        <f>SUM('51'!N13)</f>
        <v>23167</v>
      </c>
    </row>
    <row r="53" spans="1:4" x14ac:dyDescent="0.3">
      <c r="A53" s="2" t="s">
        <v>55</v>
      </c>
      <c r="B53" s="3">
        <v>52</v>
      </c>
      <c r="C53" s="3">
        <f>SUM('52'!K5:K6)</f>
        <v>35818</v>
      </c>
      <c r="D53" s="3">
        <f>SUM('52'!N13)</f>
        <v>75883</v>
      </c>
    </row>
    <row r="54" spans="1:4" x14ac:dyDescent="0.3">
      <c r="A54" s="2" t="s">
        <v>56</v>
      </c>
      <c r="B54" s="3">
        <v>53</v>
      </c>
      <c r="C54" s="3">
        <f>SUM('53'!K5:K6)</f>
        <v>2170909</v>
      </c>
      <c r="D54" s="3">
        <f>SUM('53'!N13)</f>
        <v>8619354</v>
      </c>
    </row>
    <row r="55" spans="1:4" x14ac:dyDescent="0.3">
      <c r="A55" s="2" t="s">
        <v>57</v>
      </c>
      <c r="B55" s="3">
        <v>54</v>
      </c>
      <c r="C55" s="3">
        <f>SUM('54'!K5:K6)</f>
        <v>89033</v>
      </c>
      <c r="D55" s="3">
        <f>SUM('54'!N13)</f>
        <v>530691</v>
      </c>
    </row>
    <row r="56" spans="1:4" x14ac:dyDescent="0.3">
      <c r="A56" s="2" t="s">
        <v>58</v>
      </c>
      <c r="B56" s="3">
        <v>55</v>
      </c>
      <c r="C56" s="3">
        <f>SUM('55'!K5:K6)</f>
        <v>142616</v>
      </c>
      <c r="D56" s="3">
        <f>SUM('55'!N13)</f>
        <v>578185</v>
      </c>
    </row>
    <row r="57" spans="1:4" x14ac:dyDescent="0.3">
      <c r="A57" s="2" t="s">
        <v>59</v>
      </c>
      <c r="B57" s="3">
        <v>56</v>
      </c>
      <c r="C57" s="3">
        <f>SUM('56'!K5:K6)</f>
        <v>64295</v>
      </c>
      <c r="D57" s="3">
        <f>SUM('56'!N13)</f>
        <v>270478</v>
      </c>
    </row>
    <row r="58" spans="1:4" x14ac:dyDescent="0.3">
      <c r="A58" s="2" t="s">
        <v>60</v>
      </c>
      <c r="B58" s="3">
        <v>57</v>
      </c>
      <c r="C58" s="3">
        <f>SUM('57'!K5:K6)</f>
        <v>32211</v>
      </c>
      <c r="D58" s="3">
        <f>SUM('57'!N13)</f>
        <v>424181</v>
      </c>
    </row>
    <row r="59" spans="1:4" x14ac:dyDescent="0.3">
      <c r="A59" s="2" t="s">
        <v>61</v>
      </c>
      <c r="B59" s="3">
        <v>58</v>
      </c>
      <c r="C59" s="3">
        <f>SUM('58'!K5:K6)</f>
        <v>52175</v>
      </c>
      <c r="D59" s="3">
        <f>SUM('58'!N13)</f>
        <v>207929</v>
      </c>
    </row>
    <row r="60" spans="1:4" x14ac:dyDescent="0.3">
      <c r="A60" s="2" t="s">
        <v>62</v>
      </c>
      <c r="B60" s="3">
        <v>59</v>
      </c>
      <c r="C60" s="3">
        <f>SUM('59'!K5:K6)</f>
        <v>43688</v>
      </c>
      <c r="D60" s="3">
        <f>SUM('59'!N13)</f>
        <v>189697</v>
      </c>
    </row>
    <row r="61" spans="1:4" x14ac:dyDescent="0.3">
      <c r="A61" s="2" t="s">
        <v>63</v>
      </c>
      <c r="B61" s="3">
        <v>60</v>
      </c>
      <c r="C61" s="3">
        <f>SUM('60'!K5:K6)</f>
        <v>24510</v>
      </c>
      <c r="D61" s="3">
        <f>SUM('60'!N13)</f>
        <v>104471</v>
      </c>
    </row>
    <row r="62" spans="1:4" x14ac:dyDescent="0.3">
      <c r="A62" s="2" t="s">
        <v>64</v>
      </c>
      <c r="B62" s="3">
        <v>61</v>
      </c>
      <c r="C62" s="3">
        <f>SUM('61'!K5:K6)</f>
        <v>31595</v>
      </c>
      <c r="D62" s="3">
        <f>SUM('61'!N13)</f>
        <v>98347</v>
      </c>
    </row>
    <row r="63" spans="1:4" x14ac:dyDescent="0.3">
      <c r="A63" s="2" t="s">
        <v>65</v>
      </c>
      <c r="B63" s="3">
        <v>62</v>
      </c>
      <c r="C63" s="3">
        <f>SUM('62'!K5:K6)</f>
        <v>182685</v>
      </c>
      <c r="D63" s="3">
        <f>SUM('62'!N13)</f>
        <v>1536234</v>
      </c>
    </row>
    <row r="64" spans="1:4" x14ac:dyDescent="0.3">
      <c r="A64" s="2" t="s">
        <v>66</v>
      </c>
      <c r="B64" s="3">
        <v>63</v>
      </c>
      <c r="C64" s="3">
        <f>SUM('63'!K5:K6)</f>
        <v>27298</v>
      </c>
      <c r="D64" s="3">
        <f>SUM('63'!N13)</f>
        <v>87318</v>
      </c>
    </row>
    <row r="65" spans="1:4" x14ac:dyDescent="0.3">
      <c r="A65" s="2" t="s">
        <v>67</v>
      </c>
      <c r="B65" s="3">
        <v>64</v>
      </c>
      <c r="C65" s="3">
        <f>SUM('64'!K5:K6)</f>
        <v>18172</v>
      </c>
      <c r="D65" s="3">
        <f>SUM('64'!N13)</f>
        <v>72630</v>
      </c>
    </row>
    <row r="66" spans="1:4" x14ac:dyDescent="0.3">
      <c r="A66" s="2" t="s">
        <v>68</v>
      </c>
      <c r="B66" s="3">
        <v>65</v>
      </c>
      <c r="C66" s="3">
        <f>SUM('65'!K5:K6)</f>
        <v>18048</v>
      </c>
      <c r="D66" s="3">
        <f>SUM('65'!N13)</f>
        <v>85265</v>
      </c>
    </row>
    <row r="67" spans="1:4" x14ac:dyDescent="0.3">
      <c r="A67" s="2" t="s">
        <v>69</v>
      </c>
      <c r="B67" s="3">
        <v>66</v>
      </c>
      <c r="C67" s="3">
        <f>SUM('66'!K5:K6)</f>
        <v>15163</v>
      </c>
      <c r="D67" s="3">
        <f>SUM('66'!N13)</f>
        <v>62089</v>
      </c>
    </row>
    <row r="68" spans="1:4" x14ac:dyDescent="0.3">
      <c r="A68" s="2" t="s">
        <v>70</v>
      </c>
      <c r="B68" s="3">
        <v>67</v>
      </c>
      <c r="C68" s="3">
        <f>SUM('67'!K5:K6)</f>
        <v>14306</v>
      </c>
      <c r="D68" s="3">
        <f>SUM('67'!N13)</f>
        <v>54031</v>
      </c>
    </row>
    <row r="69" spans="1:4" x14ac:dyDescent="0.3">
      <c r="A69" s="2" t="s">
        <v>71</v>
      </c>
      <c r="B69" s="3">
        <v>68</v>
      </c>
      <c r="C69" s="3">
        <f>SUM('68'!K5:K6)</f>
        <v>205367</v>
      </c>
      <c r="D69" s="3">
        <f>SUM('68'!N13)</f>
        <v>1017310</v>
      </c>
    </row>
    <row r="70" spans="1:4" x14ac:dyDescent="0.3">
      <c r="A70" s="2" t="s">
        <v>72</v>
      </c>
      <c r="B70" s="3">
        <v>69</v>
      </c>
      <c r="C70" s="3">
        <f>SUM('69'!K5:K6)</f>
        <v>7431</v>
      </c>
      <c r="D70" s="3">
        <f>SUM('69'!N13)</f>
        <v>30727</v>
      </c>
    </row>
    <row r="71" spans="1:4" x14ac:dyDescent="0.3">
      <c r="A71" s="2" t="s">
        <v>73</v>
      </c>
      <c r="B71" s="3">
        <v>70</v>
      </c>
      <c r="C71" s="3">
        <f>SUM('70'!K5:K6)</f>
        <v>7420</v>
      </c>
      <c r="D71" s="3">
        <f>SUM('70'!N13)</f>
        <v>25622</v>
      </c>
    </row>
    <row r="72" spans="1:4" x14ac:dyDescent="0.3">
      <c r="A72" s="2" t="s">
        <v>74</v>
      </c>
      <c r="B72" s="3">
        <v>71</v>
      </c>
      <c r="C72" s="3">
        <f>SUM('71'!K5:K6)</f>
        <v>5489</v>
      </c>
      <c r="D72" s="3">
        <f>SUM('71'!N13)</f>
        <v>18413</v>
      </c>
    </row>
    <row r="73" spans="1:4" x14ac:dyDescent="0.3">
      <c r="A73" s="2" t="s">
        <v>75</v>
      </c>
      <c r="B73" s="3">
        <v>72</v>
      </c>
      <c r="C73" s="3">
        <f>SUM('72'!K5:K6)</f>
        <v>345940</v>
      </c>
      <c r="D73" s="3">
        <f>SUM('72'!N13)</f>
        <v>2029186</v>
      </c>
    </row>
    <row r="74" spans="1:4" x14ac:dyDescent="0.3">
      <c r="A74" s="2" t="s">
        <v>76</v>
      </c>
      <c r="B74" s="3">
        <v>73</v>
      </c>
      <c r="C74" s="3">
        <f>SUM('73'!K5:K6)</f>
        <v>175267</v>
      </c>
      <c r="D74" s="3">
        <f>SUM('73'!N13)</f>
        <v>926765</v>
      </c>
    </row>
    <row r="75" spans="1:4" x14ac:dyDescent="0.3">
      <c r="A75" s="2" t="s">
        <v>77</v>
      </c>
      <c r="B75" s="3">
        <v>74</v>
      </c>
      <c r="C75" s="3">
        <f>SUM('74'!K5:K6)</f>
        <v>182685</v>
      </c>
      <c r="D75" s="3">
        <f>SUM('74'!N13)</f>
        <v>1536234</v>
      </c>
    </row>
    <row r="76" spans="1:4" x14ac:dyDescent="0.3">
      <c r="A76" s="2" t="s">
        <v>78</v>
      </c>
      <c r="B76" s="3">
        <v>75</v>
      </c>
      <c r="C76" s="3">
        <f>SUM('75'!K5:K6)</f>
        <v>1235869</v>
      </c>
      <c r="D76" s="3">
        <f>SUM('75'!N13)</f>
        <v>5874754</v>
      </c>
    </row>
    <row r="77" spans="1:4" x14ac:dyDescent="0.3">
      <c r="A77" s="2" t="s">
        <v>79</v>
      </c>
      <c r="B77" s="3">
        <v>76</v>
      </c>
      <c r="C77" s="3">
        <f>SUM('76'!K5:K6)</f>
        <v>117534</v>
      </c>
      <c r="D77" s="3">
        <f>SUM('76'!N13)</f>
        <v>491059</v>
      </c>
    </row>
    <row r="78" spans="1:4" x14ac:dyDescent="0.3">
      <c r="A78" s="2" t="s">
        <v>80</v>
      </c>
      <c r="B78" s="3">
        <v>77</v>
      </c>
      <c r="C78" s="3">
        <f>SUM('77'!K5:K6)</f>
        <v>12682</v>
      </c>
      <c r="D78" s="3">
        <f>SUM('77'!N13)</f>
        <v>192178</v>
      </c>
    </row>
    <row r="79" spans="1:4" x14ac:dyDescent="0.3">
      <c r="A79" s="2" t="s">
        <v>81</v>
      </c>
      <c r="B79" s="3">
        <v>78</v>
      </c>
      <c r="C79" s="3">
        <f>SUM('78'!K5:K6)</f>
        <v>37605</v>
      </c>
      <c r="D79" s="3">
        <f>SUM('78'!N13)</f>
        <v>186878</v>
      </c>
    </row>
    <row r="80" spans="1:4" x14ac:dyDescent="0.3">
      <c r="A80" s="2" t="s">
        <v>82</v>
      </c>
      <c r="B80" s="3">
        <v>79</v>
      </c>
      <c r="C80" s="3">
        <f>SUM('79'!K5:K6)</f>
        <v>116478</v>
      </c>
      <c r="D80" s="3">
        <f>SUM('79'!N13)</f>
        <v>339162</v>
      </c>
    </row>
    <row r="81" spans="1:4" x14ac:dyDescent="0.3">
      <c r="A81" s="2" t="s">
        <v>83</v>
      </c>
      <c r="B81" s="3">
        <v>80</v>
      </c>
      <c r="C81" s="3">
        <f>SUM('80'!K5:K6)</f>
        <v>33183</v>
      </c>
      <c r="D81" s="3">
        <f>SUM('80'!N13)</f>
        <v>88081</v>
      </c>
    </row>
    <row r="82" spans="1:4" x14ac:dyDescent="0.3">
      <c r="A82" s="2" t="s">
        <v>84</v>
      </c>
      <c r="B82" s="3">
        <v>81</v>
      </c>
      <c r="C82" s="3">
        <f>SUM('81'!K5:K6)</f>
        <v>10620</v>
      </c>
      <c r="D82" s="3">
        <f>SUM('81'!N13)</f>
        <v>49438</v>
      </c>
    </row>
    <row r="83" spans="1:4" x14ac:dyDescent="0.3">
      <c r="A83" s="2" t="s">
        <v>85</v>
      </c>
      <c r="B83" s="3">
        <v>82</v>
      </c>
      <c r="C83" s="3">
        <f>SUM('82'!K5:K6)</f>
        <v>42047</v>
      </c>
      <c r="D83" s="3">
        <f>SUM('82'!N13)</f>
        <v>126444</v>
      </c>
    </row>
    <row r="84" spans="1:4" x14ac:dyDescent="0.3">
      <c r="A84" s="2" t="s">
        <v>86</v>
      </c>
      <c r="B84" s="3">
        <v>83</v>
      </c>
      <c r="C84" s="3">
        <f>SUM('83'!K5:K6)</f>
        <v>7119</v>
      </c>
      <c r="D84" s="3">
        <f>SUM('83'!N13)</f>
        <v>38402</v>
      </c>
    </row>
    <row r="85" spans="1:4" x14ac:dyDescent="0.3">
      <c r="A85" s="2" t="s">
        <v>87</v>
      </c>
      <c r="B85" s="3">
        <v>84</v>
      </c>
      <c r="C85" s="3">
        <f>SUM('84'!K5:K6)</f>
        <v>15710</v>
      </c>
      <c r="D85" s="3">
        <f>SUM('84'!N13)</f>
        <v>49253</v>
      </c>
    </row>
    <row r="86" spans="1:4" x14ac:dyDescent="0.3">
      <c r="A86" s="2" t="s">
        <v>88</v>
      </c>
      <c r="B86" s="3">
        <v>85</v>
      </c>
      <c r="C86" s="3">
        <f>SUM('85'!K5:K6)</f>
        <v>8430</v>
      </c>
      <c r="D86" s="3">
        <f>SUM('85'!N13)</f>
        <v>26715</v>
      </c>
    </row>
    <row r="87" spans="1:4" x14ac:dyDescent="0.3">
      <c r="A87" s="2" t="s">
        <v>89</v>
      </c>
      <c r="B87" s="3">
        <v>86</v>
      </c>
      <c r="C87" s="3">
        <f>SUM('86'!K5:K6)</f>
        <v>2455</v>
      </c>
      <c r="D87" s="3">
        <f>SUM('86'!N13)</f>
        <v>14578</v>
      </c>
    </row>
    <row r="88" spans="1:4" x14ac:dyDescent="0.3">
      <c r="A88" s="2" t="s">
        <v>90</v>
      </c>
      <c r="B88" s="3">
        <v>87</v>
      </c>
      <c r="C88" s="3">
        <f>SUM('87'!K5:K6)</f>
        <v>59789</v>
      </c>
      <c r="D88" s="3">
        <f>SUM('87'!N13)</f>
        <v>285347</v>
      </c>
    </row>
    <row r="89" spans="1:4" x14ac:dyDescent="0.3">
      <c r="A89" s="2" t="s">
        <v>91</v>
      </c>
      <c r="B89" s="3">
        <v>88</v>
      </c>
      <c r="C89">
        <f>SUM('88'!K5:K6)</f>
        <v>1124</v>
      </c>
      <c r="D89" s="3">
        <f>SUM('88'!N13)</f>
        <v>13143</v>
      </c>
    </row>
    <row r="90" spans="1:4" x14ac:dyDescent="0.3">
      <c r="A90" s="2" t="s">
        <v>92</v>
      </c>
      <c r="B90" s="3">
        <v>89</v>
      </c>
      <c r="C90" s="3">
        <f>SUM('89'!K5:K6)</f>
        <v>1789</v>
      </c>
      <c r="D90" s="3">
        <f>SUM('89'!N13)</f>
        <v>13095</v>
      </c>
    </row>
    <row r="91" spans="1:4" x14ac:dyDescent="0.3">
      <c r="A91" s="5" t="s">
        <v>93</v>
      </c>
      <c r="B91" s="3">
        <v>90</v>
      </c>
      <c r="C91" s="3">
        <f>SUM('90'!K5:K6)</f>
        <v>302656</v>
      </c>
      <c r="D91" s="3">
        <f>SUM('90'!N13)</f>
        <v>1646933</v>
      </c>
    </row>
    <row r="92" spans="1:4" x14ac:dyDescent="0.3">
      <c r="A92" s="5" t="s">
        <v>94</v>
      </c>
      <c r="B92" s="3">
        <v>91</v>
      </c>
      <c r="C92" t="s">
        <v>9536</v>
      </c>
      <c r="D92" t="s">
        <v>9537</v>
      </c>
    </row>
    <row r="93" spans="1:4" x14ac:dyDescent="0.3">
      <c r="A93" s="5" t="s">
        <v>95</v>
      </c>
      <c r="B93" s="3">
        <v>92</v>
      </c>
      <c r="C93" s="3">
        <f>SUM('92'!K5:K6)</f>
        <v>368803</v>
      </c>
      <c r="D93" s="3">
        <f>SUM('92'!N13)</f>
        <v>812477</v>
      </c>
    </row>
    <row r="94" spans="1:4" x14ac:dyDescent="0.3">
      <c r="A94" s="5" t="s">
        <v>96</v>
      </c>
      <c r="B94" s="3">
        <v>93</v>
      </c>
      <c r="C94" s="3">
        <f>SUM('93'!K5:K6)</f>
        <v>193105</v>
      </c>
      <c r="D94" s="3">
        <f>SUM('93'!N13)</f>
        <v>761115</v>
      </c>
    </row>
    <row r="95" spans="1:4" x14ac:dyDescent="0.3">
      <c r="A95" s="5" t="s">
        <v>97</v>
      </c>
      <c r="B95" s="3">
        <v>94</v>
      </c>
      <c r="C95" s="3">
        <f>SUM('94'!K5:K6)</f>
        <v>69185</v>
      </c>
      <c r="D95" s="3">
        <f>SUM('94'!N13)</f>
        <v>675800</v>
      </c>
    </row>
    <row r="96" spans="1:4" x14ac:dyDescent="0.3">
      <c r="A96" s="5" t="s">
        <v>98</v>
      </c>
      <c r="B96" s="3">
        <v>95</v>
      </c>
      <c r="C96" s="3">
        <f>SUM('95'!K5:K6)</f>
        <v>116712</v>
      </c>
      <c r="D96" s="3">
        <f>SUM('95'!N13)</f>
        <v>345308</v>
      </c>
    </row>
    <row r="97" spans="1:4" x14ac:dyDescent="0.3">
      <c r="A97" s="5" t="s">
        <v>99</v>
      </c>
      <c r="B97" s="3">
        <v>96</v>
      </c>
      <c r="C97" s="3">
        <f>SUM('96'!K5:K6)</f>
        <v>15083</v>
      </c>
      <c r="D97" s="3">
        <f>SUM('96'!N13)</f>
        <v>110099</v>
      </c>
    </row>
    <row r="98" spans="1:4" x14ac:dyDescent="0.3">
      <c r="A98" s="5" t="s">
        <v>100</v>
      </c>
      <c r="B98" s="3">
        <v>97</v>
      </c>
      <c r="C98" s="3">
        <f>SUM('97'!K5:K6)</f>
        <v>86174</v>
      </c>
      <c r="D98" s="3">
        <f>SUM('97'!N13)</f>
        <v>195589</v>
      </c>
    </row>
    <row r="99" spans="1:4" x14ac:dyDescent="0.3">
      <c r="A99" s="5" t="s">
        <v>101</v>
      </c>
      <c r="B99" s="3">
        <v>98</v>
      </c>
      <c r="C99" s="3">
        <f>SUM('98'!K5:K6)</f>
        <v>52504</v>
      </c>
      <c r="D99" s="3">
        <f>SUM('98'!N13)</f>
        <v>120091</v>
      </c>
    </row>
    <row r="100" spans="1:4" x14ac:dyDescent="0.3">
      <c r="A100" s="5" t="s">
        <v>102</v>
      </c>
      <c r="B100" s="3">
        <v>99</v>
      </c>
      <c r="C100" s="3">
        <f>SUM('99'!K5:K6)</f>
        <v>31260</v>
      </c>
      <c r="D100" s="3">
        <f>SUM('99'!N13)</f>
        <v>92566</v>
      </c>
    </row>
    <row r="101" spans="1:4" x14ac:dyDescent="0.3">
      <c r="A101" s="5" t="s">
        <v>103</v>
      </c>
      <c r="B101" s="3">
        <v>100</v>
      </c>
      <c r="C101" s="3">
        <f>SUM('100'!K5:K6)</f>
        <v>24815</v>
      </c>
      <c r="D101" s="3">
        <f>SUM('100'!N13)</f>
        <v>58018</v>
      </c>
    </row>
    <row r="102" spans="1:4" x14ac:dyDescent="0.3">
      <c r="A102" s="5" t="s">
        <v>104</v>
      </c>
      <c r="B102" s="3">
        <v>101</v>
      </c>
      <c r="C102" s="3">
        <f>SUM('101'!K5:K6)</f>
        <v>26450</v>
      </c>
      <c r="D102" s="3">
        <f>SUM('101'!N13)</f>
        <v>48361</v>
      </c>
    </row>
    <row r="103" spans="1:4" x14ac:dyDescent="0.3">
      <c r="A103" s="5" t="s">
        <v>105</v>
      </c>
      <c r="B103" s="3">
        <v>102</v>
      </c>
      <c r="C103" s="3">
        <f>SUM('102'!K5:K6)</f>
        <v>10879</v>
      </c>
      <c r="D103" s="3">
        <f>SUM('102'!N13)</f>
        <v>41095</v>
      </c>
    </row>
    <row r="104" spans="1:4" x14ac:dyDescent="0.3">
      <c r="A104" s="5" t="s">
        <v>106</v>
      </c>
      <c r="B104" s="3">
        <v>103</v>
      </c>
      <c r="C104" s="3">
        <f>SUM('103'!K5:K6)</f>
        <v>7006</v>
      </c>
      <c r="D104" s="3">
        <f>SUM('103'!N13)</f>
        <v>27267</v>
      </c>
    </row>
    <row r="105" spans="1:4" x14ac:dyDescent="0.3">
      <c r="A105" s="5" t="s">
        <v>107</v>
      </c>
      <c r="B105" s="3">
        <v>104</v>
      </c>
      <c r="C105" s="3">
        <f>SUM('104'!K5:K6)</f>
        <v>13756</v>
      </c>
      <c r="D105" s="3">
        <f>SUM('104'!N13)</f>
        <v>41652</v>
      </c>
    </row>
  </sheetData>
  <phoneticPr fontId="2" type="noConversion"/>
  <conditionalFormatting sqref="A2:A105">
    <cfRule type="duplicateValues" dxfId="1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5D873-D95A-4432-85FE-3E7147B028A2}">
  <dimension ref="A1:O114"/>
  <sheetViews>
    <sheetView workbookViewId="0">
      <selection activeCell="R60" sqref="R60"/>
    </sheetView>
  </sheetViews>
  <sheetFormatPr defaultRowHeight="16.5" x14ac:dyDescent="0.3"/>
  <sheetData>
    <row r="1" spans="1:15" ht="19.5" x14ac:dyDescent="0.3">
      <c r="A1" s="197" t="s">
        <v>108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43488</v>
      </c>
      <c r="B5" s="10">
        <v>1553</v>
      </c>
      <c r="C5" s="11">
        <v>0.254</v>
      </c>
      <c r="D5" s="10">
        <v>8463</v>
      </c>
      <c r="E5" s="11">
        <v>0.45800000000000002</v>
      </c>
      <c r="F5" s="10">
        <v>1557839</v>
      </c>
      <c r="G5" s="11">
        <v>0.53300000000000003</v>
      </c>
      <c r="H5" s="11">
        <v>0.23699999999999999</v>
      </c>
      <c r="I5" s="10">
        <v>3004762990</v>
      </c>
      <c r="J5" s="12" t="s">
        <v>126</v>
      </c>
      <c r="K5" s="10">
        <v>368582</v>
      </c>
      <c r="L5" s="12" t="s">
        <v>127</v>
      </c>
      <c r="M5" s="10">
        <v>3227938890</v>
      </c>
      <c r="N5" s="10">
        <v>392773</v>
      </c>
      <c r="O5" s="12">
        <v>1</v>
      </c>
    </row>
    <row r="6" spans="1:15" ht="40.5" x14ac:dyDescent="0.3">
      <c r="A6" s="9">
        <v>43489</v>
      </c>
      <c r="B6" s="10">
        <v>1658</v>
      </c>
      <c r="C6" s="11">
        <v>0.26200000000000001</v>
      </c>
      <c r="D6" s="10">
        <v>8797</v>
      </c>
      <c r="E6" s="11">
        <v>0.47699999999999998</v>
      </c>
      <c r="F6" s="10">
        <v>1604151</v>
      </c>
      <c r="G6" s="11">
        <v>0.55100000000000005</v>
      </c>
      <c r="H6" s="11">
        <v>0.20699999999999999</v>
      </c>
      <c r="I6" s="10">
        <v>2710335900</v>
      </c>
      <c r="J6" s="12" t="s">
        <v>128</v>
      </c>
      <c r="K6" s="10">
        <v>331924</v>
      </c>
      <c r="L6" s="12" t="s">
        <v>129</v>
      </c>
      <c r="M6" s="10">
        <v>5938274790</v>
      </c>
      <c r="N6" s="10">
        <v>724697</v>
      </c>
      <c r="O6" s="12">
        <v>1</v>
      </c>
    </row>
    <row r="7" spans="1:15" ht="27" x14ac:dyDescent="0.3">
      <c r="A7" s="9">
        <v>43490</v>
      </c>
      <c r="B7" s="10">
        <v>1741</v>
      </c>
      <c r="C7" s="11">
        <v>0.27600000000000002</v>
      </c>
      <c r="D7" s="10">
        <v>9467</v>
      </c>
      <c r="E7" s="11">
        <v>0.504</v>
      </c>
      <c r="F7" s="10">
        <v>1705003</v>
      </c>
      <c r="G7" s="11">
        <v>0.57599999999999996</v>
      </c>
      <c r="H7" s="11">
        <v>0.22700000000000001</v>
      </c>
      <c r="I7" s="10">
        <v>3480111958</v>
      </c>
      <c r="J7" s="12" t="s">
        <v>130</v>
      </c>
      <c r="K7" s="10">
        <v>386371</v>
      </c>
      <c r="L7" s="12" t="s">
        <v>131</v>
      </c>
      <c r="M7" s="10">
        <v>9418386748</v>
      </c>
      <c r="N7" s="10">
        <v>1111068</v>
      </c>
      <c r="O7" s="12">
        <v>1</v>
      </c>
    </row>
    <row r="8" spans="1:15" ht="40.5" x14ac:dyDescent="0.3">
      <c r="A8" s="9">
        <v>43491</v>
      </c>
      <c r="B8" s="10">
        <v>1910</v>
      </c>
      <c r="C8" s="11">
        <v>0.28899999999999998</v>
      </c>
      <c r="D8" s="10">
        <v>10462</v>
      </c>
      <c r="E8" s="11">
        <v>0.52700000000000002</v>
      </c>
      <c r="F8" s="10">
        <v>1839896</v>
      </c>
      <c r="G8" s="11">
        <v>0.59199999999999997</v>
      </c>
      <c r="H8" s="11">
        <v>0.54100000000000004</v>
      </c>
      <c r="I8" s="10">
        <v>8915603012</v>
      </c>
      <c r="J8" s="12" t="s">
        <v>132</v>
      </c>
      <c r="K8" s="10">
        <v>995406</v>
      </c>
      <c r="L8" s="12" t="s">
        <v>133</v>
      </c>
      <c r="M8" s="10">
        <v>18333989760</v>
      </c>
      <c r="N8" s="10">
        <v>2106474</v>
      </c>
      <c r="O8" s="12">
        <v>1</v>
      </c>
    </row>
    <row r="9" spans="1:15" ht="27" x14ac:dyDescent="0.3">
      <c r="A9" s="9">
        <v>43492</v>
      </c>
      <c r="B9" s="10">
        <v>1978</v>
      </c>
      <c r="C9" s="11">
        <v>0.30399999999999999</v>
      </c>
      <c r="D9" s="10">
        <v>10631</v>
      </c>
      <c r="E9" s="11">
        <v>0.54700000000000004</v>
      </c>
      <c r="F9" s="10">
        <v>1861175</v>
      </c>
      <c r="G9" s="11">
        <v>0.61099999999999999</v>
      </c>
      <c r="H9" s="11">
        <v>0.55500000000000005</v>
      </c>
      <c r="I9" s="10">
        <v>9194797790</v>
      </c>
      <c r="J9" s="12" t="s">
        <v>134</v>
      </c>
      <c r="K9" s="10">
        <v>1033089</v>
      </c>
      <c r="L9" s="12" t="s">
        <v>135</v>
      </c>
      <c r="M9" s="10">
        <v>27528787550</v>
      </c>
      <c r="N9" s="10">
        <v>3139563</v>
      </c>
      <c r="O9" s="12">
        <v>1</v>
      </c>
    </row>
    <row r="10" spans="1:15" ht="54" x14ac:dyDescent="0.3">
      <c r="A10" s="9">
        <v>43493</v>
      </c>
      <c r="B10" s="10">
        <v>1766</v>
      </c>
      <c r="C10" s="11">
        <v>0.29899999999999999</v>
      </c>
      <c r="D10" s="10">
        <v>9914</v>
      </c>
      <c r="E10" s="11">
        <v>0.54700000000000004</v>
      </c>
      <c r="F10" s="10">
        <v>1763596</v>
      </c>
      <c r="G10" s="11">
        <v>0.61399999999999999</v>
      </c>
      <c r="H10" s="11">
        <v>0.22500000000000001</v>
      </c>
      <c r="I10" s="10">
        <v>3252003460</v>
      </c>
      <c r="J10" s="12" t="s">
        <v>136</v>
      </c>
      <c r="K10" s="10">
        <v>397188</v>
      </c>
      <c r="L10" s="12" t="s">
        <v>137</v>
      </c>
      <c r="M10" s="10">
        <v>30780791010</v>
      </c>
      <c r="N10" s="10">
        <v>3536751</v>
      </c>
      <c r="O10" s="12">
        <v>1</v>
      </c>
    </row>
    <row r="11" spans="1:15" ht="40.5" x14ac:dyDescent="0.3">
      <c r="A11" s="9">
        <v>43494</v>
      </c>
      <c r="B11" s="10">
        <v>1827</v>
      </c>
      <c r="C11" s="11">
        <v>0.3</v>
      </c>
      <c r="D11" s="10">
        <v>10033</v>
      </c>
      <c r="E11" s="11">
        <v>0.54600000000000004</v>
      </c>
      <c r="F11" s="10">
        <v>1778334</v>
      </c>
      <c r="G11" s="11">
        <v>0.61399999999999999</v>
      </c>
      <c r="H11" s="11">
        <v>0.20100000000000001</v>
      </c>
      <c r="I11" s="10">
        <v>2903928330</v>
      </c>
      <c r="J11" s="12" t="s">
        <v>138</v>
      </c>
      <c r="K11" s="10">
        <v>358186</v>
      </c>
      <c r="L11" s="12" t="s">
        <v>139</v>
      </c>
      <c r="M11" s="10">
        <v>33684719340</v>
      </c>
      <c r="N11" s="10">
        <v>3894937</v>
      </c>
      <c r="O11" s="12">
        <v>1</v>
      </c>
    </row>
    <row r="12" spans="1:15" ht="27" x14ac:dyDescent="0.3">
      <c r="A12" s="9">
        <v>43495</v>
      </c>
      <c r="B12" s="10">
        <v>1574</v>
      </c>
      <c r="C12" s="11">
        <v>0.30299999999999999</v>
      </c>
      <c r="D12" s="10">
        <v>7882</v>
      </c>
      <c r="E12" s="11">
        <v>0.41399999999999998</v>
      </c>
      <c r="F12" s="10">
        <v>1363036</v>
      </c>
      <c r="G12" s="11">
        <v>0.45700000000000002</v>
      </c>
      <c r="H12" s="11">
        <v>0.41399999999999998</v>
      </c>
      <c r="I12" s="10">
        <v>3517853520</v>
      </c>
      <c r="J12" s="12" t="s">
        <v>140</v>
      </c>
      <c r="K12" s="10">
        <v>564825</v>
      </c>
      <c r="L12" s="12" t="s">
        <v>141</v>
      </c>
      <c r="M12" s="10">
        <v>37202572860</v>
      </c>
      <c r="N12" s="10">
        <v>4459762</v>
      </c>
      <c r="O12" s="12">
        <v>1</v>
      </c>
    </row>
    <row r="13" spans="1:15" ht="40.5" x14ac:dyDescent="0.3">
      <c r="A13" s="9">
        <v>43496</v>
      </c>
      <c r="B13" s="10">
        <v>1548</v>
      </c>
      <c r="C13" s="11">
        <v>0.28199999999999997</v>
      </c>
      <c r="D13" s="10">
        <v>7878</v>
      </c>
      <c r="E13" s="11">
        <v>0.40400000000000003</v>
      </c>
      <c r="F13" s="10">
        <v>1395387</v>
      </c>
      <c r="G13" s="11">
        <v>0.45900000000000002</v>
      </c>
      <c r="H13" s="11">
        <v>0.251</v>
      </c>
      <c r="I13" s="10">
        <v>2831862480</v>
      </c>
      <c r="J13" s="12" t="s">
        <v>142</v>
      </c>
      <c r="K13" s="10">
        <v>350685</v>
      </c>
      <c r="L13" s="12" t="s">
        <v>143</v>
      </c>
      <c r="M13" s="10">
        <v>40034435340</v>
      </c>
      <c r="N13" s="10">
        <v>4810447</v>
      </c>
      <c r="O13" s="12">
        <v>1</v>
      </c>
    </row>
    <row r="14" spans="1:15" ht="27" x14ac:dyDescent="0.3">
      <c r="A14" s="9">
        <v>43497</v>
      </c>
      <c r="B14" s="10">
        <v>1701</v>
      </c>
      <c r="C14" s="11">
        <v>0.314</v>
      </c>
      <c r="D14" s="10">
        <v>8829</v>
      </c>
      <c r="E14" s="11">
        <v>0.44400000000000001</v>
      </c>
      <c r="F14" s="10">
        <v>1552434</v>
      </c>
      <c r="G14" s="11">
        <v>0.5</v>
      </c>
      <c r="H14" s="11">
        <v>0.29799999999999999</v>
      </c>
      <c r="I14" s="10">
        <v>4127228578</v>
      </c>
      <c r="J14" s="12" t="s">
        <v>144</v>
      </c>
      <c r="K14" s="10">
        <v>462875</v>
      </c>
      <c r="L14" s="12" t="s">
        <v>145</v>
      </c>
      <c r="M14" s="10">
        <v>44161663918</v>
      </c>
      <c r="N14" s="10">
        <v>5273322</v>
      </c>
      <c r="O14" s="12">
        <v>1</v>
      </c>
    </row>
    <row r="15" spans="1:15" ht="40.5" x14ac:dyDescent="0.3">
      <c r="A15" s="9">
        <v>43498</v>
      </c>
      <c r="B15" s="10">
        <v>1890</v>
      </c>
      <c r="C15" s="11">
        <v>0.33100000000000002</v>
      </c>
      <c r="D15" s="10">
        <v>10140</v>
      </c>
      <c r="E15" s="11">
        <v>0.48399999999999999</v>
      </c>
      <c r="F15" s="10">
        <v>1778285</v>
      </c>
      <c r="G15" s="11">
        <v>0.54500000000000004</v>
      </c>
      <c r="H15" s="11">
        <v>0.54100000000000004</v>
      </c>
      <c r="I15" s="10">
        <v>8539444625</v>
      </c>
      <c r="J15" s="12" t="s">
        <v>146</v>
      </c>
      <c r="K15" s="10">
        <v>962555</v>
      </c>
      <c r="L15" s="12" t="s">
        <v>147</v>
      </c>
      <c r="M15" s="10">
        <v>52701108543</v>
      </c>
      <c r="N15" s="10">
        <v>6235877</v>
      </c>
      <c r="O15" s="12">
        <v>1</v>
      </c>
    </row>
    <row r="16" spans="1:15" ht="27" x14ac:dyDescent="0.3">
      <c r="A16" s="9">
        <v>43499</v>
      </c>
      <c r="B16" s="10">
        <v>1949</v>
      </c>
      <c r="C16" s="11">
        <v>0.33800000000000002</v>
      </c>
      <c r="D16" s="10">
        <v>10419</v>
      </c>
      <c r="E16" s="11">
        <v>0.497</v>
      </c>
      <c r="F16" s="10">
        <v>1823040</v>
      </c>
      <c r="G16" s="11">
        <v>0.55800000000000005</v>
      </c>
      <c r="H16" s="11">
        <v>0.58099999999999996</v>
      </c>
      <c r="I16" s="10">
        <v>9458521400</v>
      </c>
      <c r="J16" s="12" t="s">
        <v>148</v>
      </c>
      <c r="K16" s="10">
        <v>1058680</v>
      </c>
      <c r="L16" s="12" t="s">
        <v>149</v>
      </c>
      <c r="M16" s="10">
        <v>62159629943</v>
      </c>
      <c r="N16" s="10">
        <v>7294557</v>
      </c>
      <c r="O16" s="12">
        <v>1</v>
      </c>
    </row>
    <row r="17" spans="1:15" ht="40.5" x14ac:dyDescent="0.3">
      <c r="A17" s="9">
        <v>43500</v>
      </c>
      <c r="B17" s="10">
        <v>2003</v>
      </c>
      <c r="C17" s="11">
        <v>0.35799999999999998</v>
      </c>
      <c r="D17" s="10">
        <v>10906</v>
      </c>
      <c r="E17" s="11">
        <v>0.52400000000000002</v>
      </c>
      <c r="F17" s="10">
        <v>1921486</v>
      </c>
      <c r="G17" s="11">
        <v>0.59099999999999997</v>
      </c>
      <c r="H17" s="11">
        <v>0.50800000000000001</v>
      </c>
      <c r="I17" s="10">
        <v>8847871110</v>
      </c>
      <c r="J17" s="12" t="s">
        <v>150</v>
      </c>
      <c r="K17" s="10">
        <v>975927</v>
      </c>
      <c r="L17" s="12" t="s">
        <v>151</v>
      </c>
      <c r="M17" s="10">
        <v>71007501053</v>
      </c>
      <c r="N17" s="10">
        <v>8270484</v>
      </c>
      <c r="O17" s="12">
        <v>1</v>
      </c>
    </row>
    <row r="18" spans="1:15" ht="27" x14ac:dyDescent="0.3">
      <c r="A18" s="9">
        <v>43501</v>
      </c>
      <c r="B18" s="10">
        <v>1844</v>
      </c>
      <c r="C18" s="11">
        <v>0.32900000000000001</v>
      </c>
      <c r="D18" s="10">
        <v>10199</v>
      </c>
      <c r="E18" s="11">
        <v>0.496</v>
      </c>
      <c r="F18" s="10">
        <v>1826728</v>
      </c>
      <c r="G18" s="11">
        <v>0.56899999999999995</v>
      </c>
      <c r="H18" s="11">
        <v>0.61899999999999999</v>
      </c>
      <c r="I18" s="10">
        <v>10402919640</v>
      </c>
      <c r="J18" s="12" t="s">
        <v>152</v>
      </c>
      <c r="K18" s="10">
        <v>1130176</v>
      </c>
      <c r="L18" s="12" t="s">
        <v>153</v>
      </c>
      <c r="M18" s="10">
        <v>81410420693</v>
      </c>
      <c r="N18" s="10">
        <v>9400660</v>
      </c>
      <c r="O18" s="12">
        <v>1</v>
      </c>
    </row>
    <row r="19" spans="1:15" ht="40.5" x14ac:dyDescent="0.3">
      <c r="A19" s="9">
        <v>43502</v>
      </c>
      <c r="B19" s="10">
        <v>1835</v>
      </c>
      <c r="C19" s="11">
        <v>0.30099999999999999</v>
      </c>
      <c r="D19" s="10">
        <v>9924</v>
      </c>
      <c r="E19" s="11">
        <v>0.48499999999999999</v>
      </c>
      <c r="F19" s="10">
        <v>1785861</v>
      </c>
      <c r="G19" s="11">
        <v>0.56000000000000005</v>
      </c>
      <c r="H19" s="11">
        <v>0.63400000000000001</v>
      </c>
      <c r="I19" s="10">
        <v>10088847220</v>
      </c>
      <c r="J19" s="12" t="s">
        <v>154</v>
      </c>
      <c r="K19" s="10">
        <v>1131697</v>
      </c>
      <c r="L19" s="12" t="s">
        <v>155</v>
      </c>
      <c r="M19" s="10">
        <v>91499267913</v>
      </c>
      <c r="N19" s="10">
        <v>10532357</v>
      </c>
      <c r="O19" s="12">
        <v>1</v>
      </c>
    </row>
    <row r="20" spans="1:15" ht="54" x14ac:dyDescent="0.3">
      <c r="A20" s="9">
        <v>43503</v>
      </c>
      <c r="B20" s="10">
        <v>1558</v>
      </c>
      <c r="C20" s="11">
        <v>0.26800000000000002</v>
      </c>
      <c r="D20" s="10">
        <v>8509</v>
      </c>
      <c r="E20" s="11">
        <v>0.44</v>
      </c>
      <c r="F20" s="10">
        <v>1544309</v>
      </c>
      <c r="G20" s="11">
        <v>0.51</v>
      </c>
      <c r="H20" s="11">
        <v>0.29799999999999999</v>
      </c>
      <c r="I20" s="10">
        <v>3705773310</v>
      </c>
      <c r="J20" s="12" t="s">
        <v>156</v>
      </c>
      <c r="K20" s="10">
        <v>460448</v>
      </c>
      <c r="L20" s="12" t="s">
        <v>157</v>
      </c>
      <c r="M20" s="10">
        <v>95205041223</v>
      </c>
      <c r="N20" s="10">
        <v>10992805</v>
      </c>
      <c r="O20" s="12">
        <v>1</v>
      </c>
    </row>
    <row r="21" spans="1:15" ht="27" x14ac:dyDescent="0.3">
      <c r="A21" s="9">
        <v>43504</v>
      </c>
      <c r="B21" s="10">
        <v>1595</v>
      </c>
      <c r="C21" s="11">
        <v>0.27400000000000002</v>
      </c>
      <c r="D21" s="10">
        <v>8784</v>
      </c>
      <c r="E21" s="11">
        <v>0.45</v>
      </c>
      <c r="F21" s="10">
        <v>1584881</v>
      </c>
      <c r="G21" s="11">
        <v>0.51900000000000002</v>
      </c>
      <c r="H21" s="11">
        <v>0.25900000000000001</v>
      </c>
      <c r="I21" s="10">
        <v>3614329334</v>
      </c>
      <c r="J21" s="12" t="s">
        <v>158</v>
      </c>
      <c r="K21" s="10">
        <v>409794</v>
      </c>
      <c r="L21" s="12" t="s">
        <v>159</v>
      </c>
      <c r="M21" s="10">
        <v>98819370557</v>
      </c>
      <c r="N21" s="10">
        <v>11402599</v>
      </c>
      <c r="O21" s="12">
        <v>1</v>
      </c>
    </row>
    <row r="22" spans="1:15" ht="27" x14ac:dyDescent="0.3">
      <c r="A22" s="9">
        <v>43505</v>
      </c>
      <c r="B22" s="10">
        <v>1703</v>
      </c>
      <c r="C22" s="11">
        <v>0.28299999999999997</v>
      </c>
      <c r="D22" s="10">
        <v>9526</v>
      </c>
      <c r="E22" s="11">
        <v>0.47099999999999997</v>
      </c>
      <c r="F22" s="10">
        <v>1701505</v>
      </c>
      <c r="G22" s="11">
        <v>0.53900000000000003</v>
      </c>
      <c r="H22" s="11">
        <v>0.45600000000000002</v>
      </c>
      <c r="I22" s="10">
        <v>6788968315</v>
      </c>
      <c r="J22" s="12" t="s">
        <v>160</v>
      </c>
      <c r="K22" s="10">
        <v>776215</v>
      </c>
      <c r="L22" s="12" t="s">
        <v>161</v>
      </c>
      <c r="M22" s="10">
        <v>105608338872</v>
      </c>
      <c r="N22" s="10">
        <v>12178814</v>
      </c>
      <c r="O22" s="12">
        <v>1</v>
      </c>
    </row>
    <row r="23" spans="1:15" ht="54" x14ac:dyDescent="0.3">
      <c r="A23" s="9">
        <v>43506</v>
      </c>
      <c r="B23" s="10">
        <v>1707</v>
      </c>
      <c r="C23" s="11">
        <v>0.28899999999999998</v>
      </c>
      <c r="D23" s="10">
        <v>9392</v>
      </c>
      <c r="E23" s="11">
        <v>0.47499999999999998</v>
      </c>
      <c r="F23" s="10">
        <v>1679970</v>
      </c>
      <c r="G23" s="11">
        <v>0.54300000000000004</v>
      </c>
      <c r="H23" s="11">
        <v>0.39300000000000002</v>
      </c>
      <c r="I23" s="10">
        <v>5742771100</v>
      </c>
      <c r="J23" s="12" t="s">
        <v>162</v>
      </c>
      <c r="K23" s="10">
        <v>660049</v>
      </c>
      <c r="L23" s="12" t="s">
        <v>163</v>
      </c>
      <c r="M23" s="10">
        <v>111351109972</v>
      </c>
      <c r="N23" s="10">
        <v>12838863</v>
      </c>
      <c r="O23" s="12">
        <v>1</v>
      </c>
    </row>
    <row r="24" spans="1:15" ht="54" x14ac:dyDescent="0.3">
      <c r="A24" s="9">
        <v>43507</v>
      </c>
      <c r="B24" s="10">
        <v>1571</v>
      </c>
      <c r="C24" s="11">
        <v>0.29399999999999998</v>
      </c>
      <c r="D24" s="10">
        <v>8681</v>
      </c>
      <c r="E24" s="11">
        <v>0.47</v>
      </c>
      <c r="F24" s="10">
        <v>1565772</v>
      </c>
      <c r="G24" s="11">
        <v>0.53800000000000003</v>
      </c>
      <c r="H24" s="11">
        <v>0.13700000000000001</v>
      </c>
      <c r="I24" s="10">
        <v>1713728960</v>
      </c>
      <c r="J24" s="12" t="s">
        <v>164</v>
      </c>
      <c r="K24" s="10">
        <v>214339</v>
      </c>
      <c r="L24" s="12" t="s">
        <v>165</v>
      </c>
      <c r="M24" s="10">
        <v>113064838932</v>
      </c>
      <c r="N24" s="10">
        <v>13053202</v>
      </c>
      <c r="O24" s="12">
        <v>1</v>
      </c>
    </row>
    <row r="25" spans="1:15" ht="40.5" x14ac:dyDescent="0.3">
      <c r="A25" s="9">
        <v>43508</v>
      </c>
      <c r="B25" s="10">
        <v>1571</v>
      </c>
      <c r="C25" s="11">
        <v>0.28000000000000003</v>
      </c>
      <c r="D25" s="10">
        <v>8617</v>
      </c>
      <c r="E25" s="11">
        <v>0.46400000000000002</v>
      </c>
      <c r="F25" s="10">
        <v>1555260</v>
      </c>
      <c r="G25" s="11">
        <v>0.53300000000000003</v>
      </c>
      <c r="H25" s="11">
        <v>0.127</v>
      </c>
      <c r="I25" s="10">
        <v>1558951830</v>
      </c>
      <c r="J25" s="12" t="s">
        <v>166</v>
      </c>
      <c r="K25" s="10">
        <v>198064</v>
      </c>
      <c r="L25" s="12" t="s">
        <v>167</v>
      </c>
      <c r="M25" s="10">
        <v>114623790762</v>
      </c>
      <c r="N25" s="10">
        <v>13251266</v>
      </c>
      <c r="O25" s="12">
        <v>1</v>
      </c>
    </row>
    <row r="26" spans="1:15" ht="40.5" x14ac:dyDescent="0.3">
      <c r="A26" s="9">
        <v>43509</v>
      </c>
      <c r="B26" s="10">
        <v>1193</v>
      </c>
      <c r="C26" s="11">
        <v>0.22900000000000001</v>
      </c>
      <c r="D26" s="10">
        <v>6439</v>
      </c>
      <c r="E26" s="11">
        <v>0.34399999999999997</v>
      </c>
      <c r="F26" s="10">
        <v>1162765</v>
      </c>
      <c r="G26" s="11">
        <v>0.39700000000000002</v>
      </c>
      <c r="H26" s="11">
        <v>0.14799999999999999</v>
      </c>
      <c r="I26" s="10">
        <v>1357402220</v>
      </c>
      <c r="J26" s="12" t="s">
        <v>168</v>
      </c>
      <c r="K26" s="10">
        <v>172086</v>
      </c>
      <c r="L26" s="12" t="s">
        <v>169</v>
      </c>
      <c r="M26" s="10">
        <v>115981192982</v>
      </c>
      <c r="N26" s="10">
        <v>13423352</v>
      </c>
      <c r="O26" s="12">
        <v>1</v>
      </c>
    </row>
    <row r="27" spans="1:15" ht="27" x14ac:dyDescent="0.3">
      <c r="A27" s="9">
        <v>43510</v>
      </c>
      <c r="B27" s="10">
        <v>1027</v>
      </c>
      <c r="C27" s="11">
        <v>0.16900000000000001</v>
      </c>
      <c r="D27" s="10">
        <v>5217</v>
      </c>
      <c r="E27" s="11">
        <v>0.27100000000000002</v>
      </c>
      <c r="F27" s="10">
        <v>976845</v>
      </c>
      <c r="G27" s="11">
        <v>0.32600000000000001</v>
      </c>
      <c r="H27" s="11">
        <v>0.17199999999999999</v>
      </c>
      <c r="I27" s="10">
        <v>1321606500</v>
      </c>
      <c r="J27" s="12" t="s">
        <v>170</v>
      </c>
      <c r="K27" s="10">
        <v>167585</v>
      </c>
      <c r="L27" s="12" t="s">
        <v>171</v>
      </c>
      <c r="M27" s="10">
        <v>117302799482</v>
      </c>
      <c r="N27" s="10">
        <v>13590937</v>
      </c>
      <c r="O27" s="12">
        <v>1</v>
      </c>
    </row>
    <row r="28" spans="1:15" ht="27" x14ac:dyDescent="0.3">
      <c r="A28" s="9">
        <v>43511</v>
      </c>
      <c r="B28" s="10">
        <v>1059</v>
      </c>
      <c r="C28" s="11">
        <v>0.17199999999999999</v>
      </c>
      <c r="D28" s="10">
        <v>5451</v>
      </c>
      <c r="E28" s="11">
        <v>0.28100000000000003</v>
      </c>
      <c r="F28" s="10">
        <v>1016598</v>
      </c>
      <c r="G28" s="11">
        <v>0.33500000000000002</v>
      </c>
      <c r="H28" s="11">
        <v>0.188</v>
      </c>
      <c r="I28" s="10">
        <v>1639898261</v>
      </c>
      <c r="J28" s="12" t="s">
        <v>172</v>
      </c>
      <c r="K28" s="10">
        <v>191503</v>
      </c>
      <c r="L28" s="12" t="s">
        <v>173</v>
      </c>
      <c r="M28" s="10">
        <v>118942697743</v>
      </c>
      <c r="N28" s="10">
        <v>13782440</v>
      </c>
      <c r="O28" s="12">
        <v>1</v>
      </c>
    </row>
    <row r="29" spans="1:15" ht="40.5" x14ac:dyDescent="0.3">
      <c r="A29" s="9">
        <v>43512</v>
      </c>
      <c r="B29" s="10">
        <v>1158</v>
      </c>
      <c r="C29" s="11">
        <v>0.17499999999999999</v>
      </c>
      <c r="D29" s="10">
        <v>6016</v>
      </c>
      <c r="E29" s="11">
        <v>0.29899999999999999</v>
      </c>
      <c r="F29" s="10">
        <v>1131610</v>
      </c>
      <c r="G29" s="11">
        <v>0.36099999999999999</v>
      </c>
      <c r="H29" s="11">
        <v>0.35799999999999998</v>
      </c>
      <c r="I29" s="10">
        <v>3470459023</v>
      </c>
      <c r="J29" s="12" t="s">
        <v>174</v>
      </c>
      <c r="K29" s="10">
        <v>405476</v>
      </c>
      <c r="L29" s="12" t="s">
        <v>175</v>
      </c>
      <c r="M29" s="10">
        <v>122413156766</v>
      </c>
      <c r="N29" s="10">
        <v>14187916</v>
      </c>
      <c r="O29" s="12">
        <v>1</v>
      </c>
    </row>
    <row r="30" spans="1:15" ht="40.5" x14ac:dyDescent="0.3">
      <c r="A30" s="9">
        <v>43513</v>
      </c>
      <c r="B30" s="10">
        <v>1166</v>
      </c>
      <c r="C30" s="11">
        <v>0.17499999999999999</v>
      </c>
      <c r="D30" s="10">
        <v>5916</v>
      </c>
      <c r="E30" s="11">
        <v>0.3</v>
      </c>
      <c r="F30" s="10">
        <v>1110549</v>
      </c>
      <c r="G30" s="11">
        <v>0.36099999999999999</v>
      </c>
      <c r="H30" s="11">
        <v>0.314</v>
      </c>
      <c r="I30" s="10">
        <v>2982662800</v>
      </c>
      <c r="J30" s="12" t="s">
        <v>176</v>
      </c>
      <c r="K30" s="10">
        <v>348325</v>
      </c>
      <c r="L30" s="12" t="s">
        <v>177</v>
      </c>
      <c r="M30" s="10">
        <v>125395819566</v>
      </c>
      <c r="N30" s="10">
        <v>14536241</v>
      </c>
      <c r="O30" s="12">
        <v>1</v>
      </c>
    </row>
    <row r="31" spans="1:15" ht="54" x14ac:dyDescent="0.3">
      <c r="A31" s="9">
        <v>43514</v>
      </c>
      <c r="B31" s="10">
        <v>1071</v>
      </c>
      <c r="C31" s="11">
        <v>0.17599999999999999</v>
      </c>
      <c r="D31" s="10">
        <v>5461</v>
      </c>
      <c r="E31" s="11">
        <v>0.29499999999999998</v>
      </c>
      <c r="F31" s="10">
        <v>1014850</v>
      </c>
      <c r="G31" s="11">
        <v>0.34899999999999998</v>
      </c>
      <c r="H31" s="11">
        <v>0.113</v>
      </c>
      <c r="I31" s="10">
        <v>904081680</v>
      </c>
      <c r="J31" s="12" t="s">
        <v>178</v>
      </c>
      <c r="K31" s="10">
        <v>114307</v>
      </c>
      <c r="L31" s="12" t="s">
        <v>179</v>
      </c>
      <c r="M31" s="10">
        <v>126299901246</v>
      </c>
      <c r="N31" s="10">
        <v>14650548</v>
      </c>
      <c r="O31" s="12">
        <v>1</v>
      </c>
    </row>
    <row r="32" spans="1:15" ht="27" x14ac:dyDescent="0.3">
      <c r="A32" s="9">
        <v>43515</v>
      </c>
      <c r="B32" s="10">
        <v>1073</v>
      </c>
      <c r="C32" s="11">
        <v>0.17100000000000001</v>
      </c>
      <c r="D32" s="10">
        <v>5431</v>
      </c>
      <c r="E32" s="11">
        <v>0.29299999999999998</v>
      </c>
      <c r="F32" s="10">
        <v>1005452</v>
      </c>
      <c r="G32" s="11">
        <v>0.34499999999999997</v>
      </c>
      <c r="H32" s="11">
        <v>0.114</v>
      </c>
      <c r="I32" s="10">
        <v>902272650</v>
      </c>
      <c r="J32" s="12" t="s">
        <v>180</v>
      </c>
      <c r="K32" s="10">
        <v>114270</v>
      </c>
      <c r="L32" s="12" t="s">
        <v>181</v>
      </c>
      <c r="M32" s="10">
        <v>127202173896</v>
      </c>
      <c r="N32" s="10">
        <v>14764818</v>
      </c>
      <c r="O32" s="12">
        <v>2</v>
      </c>
    </row>
    <row r="33" spans="1:15" ht="40.5" x14ac:dyDescent="0.3">
      <c r="A33" s="9">
        <v>43516</v>
      </c>
      <c r="B33" s="12">
        <v>836</v>
      </c>
      <c r="C33" s="11">
        <v>0.13600000000000001</v>
      </c>
      <c r="D33" s="10">
        <v>3673</v>
      </c>
      <c r="E33" s="11">
        <v>0.19700000000000001</v>
      </c>
      <c r="F33" s="10">
        <v>581889</v>
      </c>
      <c r="G33" s="11">
        <v>0.2</v>
      </c>
      <c r="H33" s="11">
        <v>0.158</v>
      </c>
      <c r="I33" s="10">
        <v>720005250</v>
      </c>
      <c r="J33" s="12" t="s">
        <v>182</v>
      </c>
      <c r="K33" s="10">
        <v>91845</v>
      </c>
      <c r="L33" s="12" t="s">
        <v>183</v>
      </c>
      <c r="M33" s="10">
        <v>127922179146</v>
      </c>
      <c r="N33" s="10">
        <v>14856663</v>
      </c>
      <c r="O33" s="12">
        <v>2</v>
      </c>
    </row>
    <row r="34" spans="1:15" ht="27" x14ac:dyDescent="0.3">
      <c r="A34" s="9">
        <v>43517</v>
      </c>
      <c r="B34" s="12">
        <v>807</v>
      </c>
      <c r="C34" s="11">
        <v>0.126</v>
      </c>
      <c r="D34" s="10">
        <v>3546</v>
      </c>
      <c r="E34" s="11">
        <v>0.192</v>
      </c>
      <c r="F34" s="10">
        <v>561899</v>
      </c>
      <c r="G34" s="11">
        <v>0.19500000000000001</v>
      </c>
      <c r="H34" s="11">
        <v>0.14699999999999999</v>
      </c>
      <c r="I34" s="10">
        <v>649660250</v>
      </c>
      <c r="J34" s="12" t="s">
        <v>184</v>
      </c>
      <c r="K34" s="10">
        <v>82354</v>
      </c>
      <c r="L34" s="12" t="s">
        <v>185</v>
      </c>
      <c r="M34" s="10">
        <v>128571839396</v>
      </c>
      <c r="N34" s="10">
        <v>14939017</v>
      </c>
      <c r="O34" s="12">
        <v>2</v>
      </c>
    </row>
    <row r="35" spans="1:15" ht="27" x14ac:dyDescent="0.3">
      <c r="A35" s="9">
        <v>43518</v>
      </c>
      <c r="B35" s="12">
        <v>858</v>
      </c>
      <c r="C35" s="11">
        <v>0.13100000000000001</v>
      </c>
      <c r="D35" s="10">
        <v>3644</v>
      </c>
      <c r="E35" s="11">
        <v>0.19400000000000001</v>
      </c>
      <c r="F35" s="10">
        <v>570027</v>
      </c>
      <c r="G35" s="11">
        <v>0.19400000000000001</v>
      </c>
      <c r="H35" s="11">
        <v>0.16400000000000001</v>
      </c>
      <c r="I35" s="10">
        <v>804511810</v>
      </c>
      <c r="J35" s="12" t="s">
        <v>186</v>
      </c>
      <c r="K35" s="10">
        <v>93652</v>
      </c>
      <c r="L35" s="12" t="s">
        <v>187</v>
      </c>
      <c r="M35" s="10">
        <v>129376351206</v>
      </c>
      <c r="N35" s="10">
        <v>15032669</v>
      </c>
      <c r="O35" s="12">
        <v>2</v>
      </c>
    </row>
    <row r="36" spans="1:15" ht="27" x14ac:dyDescent="0.3">
      <c r="A36" s="9">
        <v>43519</v>
      </c>
      <c r="B36" s="12">
        <v>890</v>
      </c>
      <c r="C36" s="11">
        <v>0.13</v>
      </c>
      <c r="D36" s="10">
        <v>3795</v>
      </c>
      <c r="E36" s="11">
        <v>0.19400000000000001</v>
      </c>
      <c r="F36" s="10">
        <v>593449</v>
      </c>
      <c r="G36" s="11">
        <v>0.19500000000000001</v>
      </c>
      <c r="H36" s="11">
        <v>0.33500000000000002</v>
      </c>
      <c r="I36" s="10">
        <v>1722151350</v>
      </c>
      <c r="J36" s="12" t="s">
        <v>188</v>
      </c>
      <c r="K36" s="10">
        <v>199025</v>
      </c>
      <c r="L36" s="12" t="s">
        <v>189</v>
      </c>
      <c r="M36" s="10">
        <v>131098502556</v>
      </c>
      <c r="N36" s="10">
        <v>15231694</v>
      </c>
      <c r="O36" s="12">
        <v>2</v>
      </c>
    </row>
    <row r="37" spans="1:15" ht="40.5" x14ac:dyDescent="0.3">
      <c r="A37" s="9">
        <v>43520</v>
      </c>
      <c r="B37" s="12">
        <v>905</v>
      </c>
      <c r="C37" s="11">
        <v>0.13200000000000001</v>
      </c>
      <c r="D37" s="10">
        <v>3751</v>
      </c>
      <c r="E37" s="11">
        <v>0.19500000000000001</v>
      </c>
      <c r="F37" s="10">
        <v>581052</v>
      </c>
      <c r="G37" s="11">
        <v>0.19500000000000001</v>
      </c>
      <c r="H37" s="11">
        <v>0.31900000000000001</v>
      </c>
      <c r="I37" s="10">
        <v>1603161120</v>
      </c>
      <c r="J37" s="12" t="s">
        <v>190</v>
      </c>
      <c r="K37" s="10">
        <v>185583</v>
      </c>
      <c r="L37" s="12" t="s">
        <v>191</v>
      </c>
      <c r="M37" s="10">
        <v>132701663676</v>
      </c>
      <c r="N37" s="10">
        <v>15417277</v>
      </c>
      <c r="O37" s="12">
        <v>2</v>
      </c>
    </row>
    <row r="38" spans="1:15" ht="54" x14ac:dyDescent="0.3">
      <c r="A38" s="9">
        <v>43521</v>
      </c>
      <c r="B38" s="12">
        <v>827</v>
      </c>
      <c r="C38" s="11">
        <v>0.13200000000000001</v>
      </c>
      <c r="D38" s="10">
        <v>3580</v>
      </c>
      <c r="E38" s="11">
        <v>0.19700000000000001</v>
      </c>
      <c r="F38" s="10">
        <v>548509</v>
      </c>
      <c r="G38" s="11">
        <v>0.193</v>
      </c>
      <c r="H38" s="11">
        <v>0.11899999999999999</v>
      </c>
      <c r="I38" s="10">
        <v>515400560</v>
      </c>
      <c r="J38" s="12" t="s">
        <v>192</v>
      </c>
      <c r="K38" s="10">
        <v>65055</v>
      </c>
      <c r="L38" s="12" t="s">
        <v>193</v>
      </c>
      <c r="M38" s="10">
        <v>133217064236</v>
      </c>
      <c r="N38" s="10">
        <v>15482332</v>
      </c>
      <c r="O38" s="12">
        <v>3</v>
      </c>
    </row>
    <row r="39" spans="1:15" ht="27" x14ac:dyDescent="0.3">
      <c r="A39" s="9">
        <v>43522</v>
      </c>
      <c r="B39" s="12">
        <v>840</v>
      </c>
      <c r="C39" s="11">
        <v>0.13100000000000001</v>
      </c>
      <c r="D39" s="10">
        <v>3577</v>
      </c>
      <c r="E39" s="11">
        <v>0.19600000000000001</v>
      </c>
      <c r="F39" s="10">
        <v>544643</v>
      </c>
      <c r="G39" s="11">
        <v>0.192</v>
      </c>
      <c r="H39" s="11">
        <v>0.112</v>
      </c>
      <c r="I39" s="10">
        <v>479163430</v>
      </c>
      <c r="J39" s="12" t="s">
        <v>194</v>
      </c>
      <c r="K39" s="10">
        <v>61140</v>
      </c>
      <c r="L39" s="12" t="s">
        <v>195</v>
      </c>
      <c r="M39" s="10">
        <v>133696227666</v>
      </c>
      <c r="N39" s="10">
        <v>15543472</v>
      </c>
      <c r="O39" s="12">
        <v>3</v>
      </c>
    </row>
    <row r="40" spans="1:15" ht="27" x14ac:dyDescent="0.3">
      <c r="A40" s="9">
        <v>43523</v>
      </c>
      <c r="B40" s="12">
        <v>646</v>
      </c>
      <c r="C40" s="11">
        <v>9.7000000000000003E-2</v>
      </c>
      <c r="D40" s="10">
        <v>2524</v>
      </c>
      <c r="E40" s="11">
        <v>0.13200000000000001</v>
      </c>
      <c r="F40" s="10">
        <v>395560</v>
      </c>
      <c r="G40" s="11">
        <v>0.13300000000000001</v>
      </c>
      <c r="H40" s="11">
        <v>0.22500000000000001</v>
      </c>
      <c r="I40" s="10">
        <v>542183650</v>
      </c>
      <c r="J40" s="12" t="s">
        <v>196</v>
      </c>
      <c r="K40" s="10">
        <v>89179</v>
      </c>
      <c r="L40" s="12" t="s">
        <v>197</v>
      </c>
      <c r="M40" s="10">
        <v>134238411316</v>
      </c>
      <c r="N40" s="10">
        <v>15632651</v>
      </c>
      <c r="O40" s="12">
        <v>4</v>
      </c>
    </row>
    <row r="41" spans="1:15" ht="27" x14ac:dyDescent="0.3">
      <c r="A41" s="9">
        <v>43524</v>
      </c>
      <c r="B41" s="12">
        <v>638</v>
      </c>
      <c r="C41" s="11">
        <v>9.6000000000000002E-2</v>
      </c>
      <c r="D41" s="10">
        <v>2548</v>
      </c>
      <c r="E41" s="11">
        <v>0.13100000000000001</v>
      </c>
      <c r="F41" s="10">
        <v>397723</v>
      </c>
      <c r="G41" s="11">
        <v>0.13100000000000001</v>
      </c>
      <c r="H41" s="11">
        <v>0.16800000000000001</v>
      </c>
      <c r="I41" s="10">
        <v>522682860</v>
      </c>
      <c r="J41" s="12" t="s">
        <v>198</v>
      </c>
      <c r="K41" s="10">
        <v>66832</v>
      </c>
      <c r="L41" s="12" t="s">
        <v>199</v>
      </c>
      <c r="M41" s="10">
        <v>134761094176</v>
      </c>
      <c r="N41" s="10">
        <v>15699483</v>
      </c>
      <c r="O41" s="12">
        <v>4</v>
      </c>
    </row>
    <row r="42" spans="1:15" ht="27" x14ac:dyDescent="0.3">
      <c r="A42" s="9">
        <v>43525</v>
      </c>
      <c r="B42" s="12">
        <v>669</v>
      </c>
      <c r="C42" s="11">
        <v>9.0999999999999998E-2</v>
      </c>
      <c r="D42" s="10">
        <v>2532</v>
      </c>
      <c r="E42" s="11">
        <v>0.124</v>
      </c>
      <c r="F42" s="10">
        <v>390588</v>
      </c>
      <c r="G42" s="11">
        <v>0.123</v>
      </c>
      <c r="H42" s="11">
        <v>0.34499999999999997</v>
      </c>
      <c r="I42" s="10">
        <v>1190333970</v>
      </c>
      <c r="J42" s="12" t="s">
        <v>200</v>
      </c>
      <c r="K42" s="10">
        <v>134879</v>
      </c>
      <c r="L42" s="12" t="s">
        <v>201</v>
      </c>
      <c r="M42" s="10">
        <v>135951428146</v>
      </c>
      <c r="N42" s="10">
        <v>15834362</v>
      </c>
      <c r="O42" s="12">
        <v>4</v>
      </c>
    </row>
    <row r="43" spans="1:15" ht="40.5" x14ac:dyDescent="0.3">
      <c r="A43" s="9">
        <v>43526</v>
      </c>
      <c r="B43" s="12">
        <v>728</v>
      </c>
      <c r="C43" s="11">
        <v>9.8000000000000004E-2</v>
      </c>
      <c r="D43" s="10">
        <v>2580</v>
      </c>
      <c r="E43" s="11">
        <v>0.127</v>
      </c>
      <c r="F43" s="10">
        <v>394701</v>
      </c>
      <c r="G43" s="11">
        <v>0.125</v>
      </c>
      <c r="H43" s="11">
        <v>0.28499999999999998</v>
      </c>
      <c r="I43" s="10">
        <v>1005346390</v>
      </c>
      <c r="J43" s="12" t="s">
        <v>202</v>
      </c>
      <c r="K43" s="10">
        <v>112618</v>
      </c>
      <c r="L43" s="12" t="s">
        <v>203</v>
      </c>
      <c r="M43" s="10">
        <v>136956774536</v>
      </c>
      <c r="N43" s="10">
        <v>15946980</v>
      </c>
      <c r="O43" s="12">
        <v>4</v>
      </c>
    </row>
    <row r="44" spans="1:15" ht="40.5" x14ac:dyDescent="0.3">
      <c r="A44" s="9">
        <v>43527</v>
      </c>
      <c r="B44" s="12">
        <v>698</v>
      </c>
      <c r="C44" s="11">
        <v>9.7000000000000003E-2</v>
      </c>
      <c r="D44" s="10">
        <v>2522</v>
      </c>
      <c r="E44" s="11">
        <v>0.129</v>
      </c>
      <c r="F44" s="10">
        <v>386035</v>
      </c>
      <c r="G44" s="11">
        <v>0.126</v>
      </c>
      <c r="H44" s="11">
        <v>0.215</v>
      </c>
      <c r="I44" s="10">
        <v>739691620</v>
      </c>
      <c r="J44" s="12" t="s">
        <v>204</v>
      </c>
      <c r="K44" s="10">
        <v>82814</v>
      </c>
      <c r="L44" s="12" t="s">
        <v>205</v>
      </c>
      <c r="M44" s="10">
        <v>137696466156</v>
      </c>
      <c r="N44" s="10">
        <v>16029794</v>
      </c>
      <c r="O44" s="12">
        <v>4</v>
      </c>
    </row>
    <row r="45" spans="1:15" ht="40.5" x14ac:dyDescent="0.3">
      <c r="A45" s="9">
        <v>43528</v>
      </c>
      <c r="B45" s="12">
        <v>613</v>
      </c>
      <c r="C45" s="11">
        <v>0.10299999999999999</v>
      </c>
      <c r="D45" s="10">
        <v>2418</v>
      </c>
      <c r="E45" s="11">
        <v>0.14000000000000001</v>
      </c>
      <c r="F45" s="10">
        <v>364890</v>
      </c>
      <c r="G45" s="11">
        <v>0.13300000000000001</v>
      </c>
      <c r="H45" s="11">
        <v>7.3999999999999996E-2</v>
      </c>
      <c r="I45" s="10">
        <v>218563760</v>
      </c>
      <c r="J45" s="12" t="s">
        <v>206</v>
      </c>
      <c r="K45" s="10">
        <v>26877</v>
      </c>
      <c r="L45" s="12" t="s">
        <v>207</v>
      </c>
      <c r="M45" s="10">
        <v>137915029916</v>
      </c>
      <c r="N45" s="10">
        <v>16056671</v>
      </c>
      <c r="O45" s="12">
        <v>4</v>
      </c>
    </row>
    <row r="46" spans="1:15" ht="27" x14ac:dyDescent="0.3">
      <c r="A46" s="9">
        <v>43529</v>
      </c>
      <c r="B46" s="12">
        <v>620</v>
      </c>
      <c r="C46" s="11">
        <v>0.105</v>
      </c>
      <c r="D46" s="10">
        <v>2405</v>
      </c>
      <c r="E46" s="11">
        <v>0.14199999999999999</v>
      </c>
      <c r="F46" s="10">
        <v>362483</v>
      </c>
      <c r="G46" s="11">
        <v>0.13500000000000001</v>
      </c>
      <c r="H46" s="11">
        <v>7.0999999999999994E-2</v>
      </c>
      <c r="I46" s="10">
        <v>206317910</v>
      </c>
      <c r="J46" s="12" t="s">
        <v>208</v>
      </c>
      <c r="K46" s="10">
        <v>25684</v>
      </c>
      <c r="L46" s="12" t="s">
        <v>209</v>
      </c>
      <c r="M46" s="10">
        <v>138121347826</v>
      </c>
      <c r="N46" s="10">
        <v>16082355</v>
      </c>
      <c r="O46" s="12">
        <v>3</v>
      </c>
    </row>
    <row r="47" spans="1:15" ht="40.5" x14ac:dyDescent="0.3">
      <c r="A47" s="9">
        <v>43530</v>
      </c>
      <c r="B47" s="12">
        <v>460</v>
      </c>
      <c r="C47" s="11">
        <v>9.0999999999999998E-2</v>
      </c>
      <c r="D47" s="12">
        <v>902</v>
      </c>
      <c r="E47" s="11">
        <v>0.05</v>
      </c>
      <c r="F47" s="10">
        <v>105831</v>
      </c>
      <c r="G47" s="11">
        <v>3.6999999999999998E-2</v>
      </c>
      <c r="H47" s="11">
        <v>0.11600000000000001</v>
      </c>
      <c r="I47" s="10">
        <v>97516410</v>
      </c>
      <c r="J47" s="12" t="s">
        <v>210</v>
      </c>
      <c r="K47" s="10">
        <v>12235</v>
      </c>
      <c r="L47" s="12" t="s">
        <v>211</v>
      </c>
      <c r="M47" s="10">
        <v>138218864236</v>
      </c>
      <c r="N47" s="10">
        <v>16094590</v>
      </c>
      <c r="O47" s="12">
        <v>5</v>
      </c>
    </row>
    <row r="48" spans="1:15" ht="27" x14ac:dyDescent="0.3">
      <c r="A48" s="9">
        <v>43531</v>
      </c>
      <c r="B48" s="12">
        <v>491</v>
      </c>
      <c r="C48" s="11">
        <v>9.4E-2</v>
      </c>
      <c r="D48" s="12">
        <v>884</v>
      </c>
      <c r="E48" s="11">
        <v>4.9000000000000002E-2</v>
      </c>
      <c r="F48" s="10">
        <v>103196</v>
      </c>
      <c r="G48" s="11">
        <v>3.6999999999999998E-2</v>
      </c>
      <c r="H48" s="11">
        <v>0.11600000000000001</v>
      </c>
      <c r="I48" s="10">
        <v>95973520</v>
      </c>
      <c r="J48" s="12" t="s">
        <v>212</v>
      </c>
      <c r="K48" s="10">
        <v>12010</v>
      </c>
      <c r="L48" s="12" t="s">
        <v>213</v>
      </c>
      <c r="M48" s="10">
        <v>138314837756</v>
      </c>
      <c r="N48" s="10">
        <v>16106600</v>
      </c>
      <c r="O48" s="12">
        <v>5</v>
      </c>
    </row>
    <row r="49" spans="1:15" ht="27" x14ac:dyDescent="0.3">
      <c r="A49" s="9">
        <v>43532</v>
      </c>
      <c r="B49" s="12">
        <v>489</v>
      </c>
      <c r="C49" s="11">
        <v>9.1999999999999998E-2</v>
      </c>
      <c r="D49" s="12">
        <v>950</v>
      </c>
      <c r="E49" s="11">
        <v>5.1999999999999998E-2</v>
      </c>
      <c r="F49" s="10">
        <v>110819</v>
      </c>
      <c r="G49" s="11">
        <v>3.9E-2</v>
      </c>
      <c r="H49" s="11">
        <v>0.126</v>
      </c>
      <c r="I49" s="10">
        <v>124334750</v>
      </c>
      <c r="J49" s="12" t="s">
        <v>214</v>
      </c>
      <c r="K49" s="10">
        <v>13978</v>
      </c>
      <c r="L49" s="12" t="s">
        <v>215</v>
      </c>
      <c r="M49" s="10">
        <v>138439172506</v>
      </c>
      <c r="N49" s="10">
        <v>16120578</v>
      </c>
      <c r="O49" s="12">
        <v>5</v>
      </c>
    </row>
    <row r="50" spans="1:15" ht="27" x14ac:dyDescent="0.3">
      <c r="A50" s="9">
        <v>43533</v>
      </c>
      <c r="B50" s="12">
        <v>523</v>
      </c>
      <c r="C50" s="11">
        <v>0.09</v>
      </c>
      <c r="D50" s="12">
        <v>974</v>
      </c>
      <c r="E50" s="11">
        <v>0.05</v>
      </c>
      <c r="F50" s="10">
        <v>114059</v>
      </c>
      <c r="G50" s="11">
        <v>3.7999999999999999E-2</v>
      </c>
      <c r="H50" s="11">
        <v>0.251</v>
      </c>
      <c r="I50" s="10">
        <v>258820490</v>
      </c>
      <c r="J50" s="12" t="s">
        <v>216</v>
      </c>
      <c r="K50" s="10">
        <v>28632</v>
      </c>
      <c r="L50" s="12" t="s">
        <v>217</v>
      </c>
      <c r="M50" s="10">
        <v>138697992996</v>
      </c>
      <c r="N50" s="10">
        <v>16149210</v>
      </c>
      <c r="O50" s="12">
        <v>5</v>
      </c>
    </row>
    <row r="51" spans="1:15" ht="27" x14ac:dyDescent="0.3">
      <c r="A51" s="9">
        <v>43534</v>
      </c>
      <c r="B51" s="12">
        <v>507</v>
      </c>
      <c r="C51" s="11">
        <v>8.7999999999999995E-2</v>
      </c>
      <c r="D51" s="12">
        <v>962</v>
      </c>
      <c r="E51" s="11">
        <v>5.0999999999999997E-2</v>
      </c>
      <c r="F51" s="10">
        <v>111899</v>
      </c>
      <c r="G51" s="11">
        <v>3.7999999999999999E-2</v>
      </c>
      <c r="H51" s="11">
        <v>0.26200000000000001</v>
      </c>
      <c r="I51" s="10">
        <v>265625830</v>
      </c>
      <c r="J51" s="12" t="s">
        <v>218</v>
      </c>
      <c r="K51" s="10">
        <v>29335</v>
      </c>
      <c r="L51" s="12" t="s">
        <v>219</v>
      </c>
      <c r="M51" s="10">
        <v>138963618826</v>
      </c>
      <c r="N51" s="10">
        <v>16178545</v>
      </c>
      <c r="O51" s="12">
        <v>5</v>
      </c>
    </row>
    <row r="52" spans="1:15" ht="40.5" x14ac:dyDescent="0.3">
      <c r="A52" s="9">
        <v>43535</v>
      </c>
      <c r="B52" s="12">
        <v>530</v>
      </c>
      <c r="C52" s="11">
        <v>0.106</v>
      </c>
      <c r="D52" s="10">
        <v>1071</v>
      </c>
      <c r="E52" s="11">
        <v>6.3E-2</v>
      </c>
      <c r="F52" s="10">
        <v>128586</v>
      </c>
      <c r="G52" s="11">
        <v>4.8000000000000001E-2</v>
      </c>
      <c r="H52" s="11">
        <v>8.5000000000000006E-2</v>
      </c>
      <c r="I52" s="10">
        <v>87818580</v>
      </c>
      <c r="J52" s="12" t="s">
        <v>220</v>
      </c>
      <c r="K52" s="10">
        <v>10946</v>
      </c>
      <c r="L52" s="12" t="s">
        <v>221</v>
      </c>
      <c r="M52" s="10">
        <v>139051437406</v>
      </c>
      <c r="N52" s="10">
        <v>16189491</v>
      </c>
      <c r="O52" s="12">
        <v>3</v>
      </c>
    </row>
    <row r="53" spans="1:15" ht="27" x14ac:dyDescent="0.3">
      <c r="A53" s="9">
        <v>43536</v>
      </c>
      <c r="B53" s="12">
        <v>531</v>
      </c>
      <c r="C53" s="11">
        <v>0.10299999999999999</v>
      </c>
      <c r="D53" s="10">
        <v>1073</v>
      </c>
      <c r="E53" s="11">
        <v>6.3E-2</v>
      </c>
      <c r="F53" s="10">
        <v>129292</v>
      </c>
      <c r="G53" s="11">
        <v>4.8000000000000001E-2</v>
      </c>
      <c r="H53" s="11">
        <v>9.0999999999999998E-2</v>
      </c>
      <c r="I53" s="10">
        <v>90720730</v>
      </c>
      <c r="J53" s="12" t="s">
        <v>222</v>
      </c>
      <c r="K53" s="10">
        <v>11755</v>
      </c>
      <c r="L53" s="12" t="s">
        <v>223</v>
      </c>
      <c r="M53" s="10">
        <v>139142158136</v>
      </c>
      <c r="N53" s="10">
        <v>16201246</v>
      </c>
      <c r="O53" s="12">
        <v>3</v>
      </c>
    </row>
    <row r="54" spans="1:15" ht="27" x14ac:dyDescent="0.3">
      <c r="A54" s="9">
        <v>43537</v>
      </c>
      <c r="B54" s="12">
        <v>510</v>
      </c>
      <c r="C54" s="11">
        <v>9.1999999999999998E-2</v>
      </c>
      <c r="D54" s="12">
        <v>959</v>
      </c>
      <c r="E54" s="11">
        <v>5.6000000000000001E-2</v>
      </c>
      <c r="F54" s="10">
        <v>117714</v>
      </c>
      <c r="G54" s="11">
        <v>4.3999999999999997E-2</v>
      </c>
      <c r="H54" s="11">
        <v>7.8E-2</v>
      </c>
      <c r="I54" s="10">
        <v>72160670</v>
      </c>
      <c r="J54" s="12" t="s">
        <v>224</v>
      </c>
      <c r="K54" s="10">
        <v>9226</v>
      </c>
      <c r="L54" s="12" t="s">
        <v>225</v>
      </c>
      <c r="M54" s="10">
        <v>139214318806</v>
      </c>
      <c r="N54" s="10">
        <v>16210472</v>
      </c>
      <c r="O54" s="12">
        <v>4</v>
      </c>
    </row>
    <row r="55" spans="1:15" ht="27" x14ac:dyDescent="0.3">
      <c r="A55" s="9">
        <v>43538</v>
      </c>
      <c r="B55" s="12">
        <v>305</v>
      </c>
      <c r="C55" s="11">
        <v>5.3999999999999999E-2</v>
      </c>
      <c r="D55" s="12">
        <v>480</v>
      </c>
      <c r="E55" s="11">
        <v>2.7E-2</v>
      </c>
      <c r="F55" s="10">
        <v>56144</v>
      </c>
      <c r="G55" s="11">
        <v>0.02</v>
      </c>
      <c r="H55" s="11">
        <v>9.6000000000000002E-2</v>
      </c>
      <c r="I55" s="10">
        <v>39260770</v>
      </c>
      <c r="J55" s="12" t="s">
        <v>226</v>
      </c>
      <c r="K55" s="10">
        <v>5386</v>
      </c>
      <c r="L55" s="12" t="s">
        <v>227</v>
      </c>
      <c r="M55" s="10">
        <v>139253579576</v>
      </c>
      <c r="N55" s="10">
        <v>16215858</v>
      </c>
      <c r="O55" s="12">
        <v>6</v>
      </c>
    </row>
    <row r="56" spans="1:15" ht="27" x14ac:dyDescent="0.3">
      <c r="A56" s="9">
        <v>43539</v>
      </c>
      <c r="B56" s="12">
        <v>317</v>
      </c>
      <c r="C56" s="11">
        <v>5.6000000000000001E-2</v>
      </c>
      <c r="D56" s="12">
        <v>523</v>
      </c>
      <c r="E56" s="11">
        <v>2.9000000000000001E-2</v>
      </c>
      <c r="F56" s="10">
        <v>60932</v>
      </c>
      <c r="G56" s="11">
        <v>2.1000000000000001E-2</v>
      </c>
      <c r="H56" s="11">
        <v>8.8999999999999996E-2</v>
      </c>
      <c r="I56" s="10">
        <v>46177190</v>
      </c>
      <c r="J56" s="12" t="s">
        <v>228</v>
      </c>
      <c r="K56" s="10">
        <v>5416</v>
      </c>
      <c r="L56" s="12" t="s">
        <v>229</v>
      </c>
      <c r="M56" s="10">
        <v>139299756766</v>
      </c>
      <c r="N56" s="10">
        <v>16221274</v>
      </c>
      <c r="O56" s="12">
        <v>6</v>
      </c>
    </row>
    <row r="57" spans="1:15" ht="27" x14ac:dyDescent="0.3">
      <c r="A57" s="9">
        <v>43540</v>
      </c>
      <c r="B57" s="12">
        <v>348</v>
      </c>
      <c r="C57" s="11">
        <v>5.1999999999999998E-2</v>
      </c>
      <c r="D57" s="12">
        <v>568</v>
      </c>
      <c r="E57" s="11">
        <v>2.9000000000000001E-2</v>
      </c>
      <c r="F57" s="10">
        <v>69134</v>
      </c>
      <c r="G57" s="11">
        <v>2.3E-2</v>
      </c>
      <c r="H57" s="11">
        <v>0.16300000000000001</v>
      </c>
      <c r="I57" s="10">
        <v>99931090</v>
      </c>
      <c r="J57" s="12" t="s">
        <v>230</v>
      </c>
      <c r="K57" s="10">
        <v>11243</v>
      </c>
      <c r="L57" s="12" t="s">
        <v>231</v>
      </c>
      <c r="M57" s="10">
        <v>139399687856</v>
      </c>
      <c r="N57" s="10">
        <v>16232517</v>
      </c>
      <c r="O57" s="12">
        <v>6</v>
      </c>
    </row>
    <row r="58" spans="1:15" ht="27" x14ac:dyDescent="0.3">
      <c r="A58" s="9">
        <v>43541</v>
      </c>
      <c r="B58" s="12">
        <v>347</v>
      </c>
      <c r="C58" s="11">
        <v>5.2999999999999999E-2</v>
      </c>
      <c r="D58" s="12">
        <v>567</v>
      </c>
      <c r="E58" s="11">
        <v>0.03</v>
      </c>
      <c r="F58" s="10">
        <v>68302</v>
      </c>
      <c r="G58" s="11">
        <v>2.3E-2</v>
      </c>
      <c r="H58" s="11">
        <v>0.157</v>
      </c>
      <c r="I58" s="10">
        <v>94837820</v>
      </c>
      <c r="J58" s="12" t="s">
        <v>232</v>
      </c>
      <c r="K58" s="10">
        <v>10714</v>
      </c>
      <c r="L58" s="12" t="s">
        <v>233</v>
      </c>
      <c r="M58" s="10">
        <v>139494525676</v>
      </c>
      <c r="N58" s="10">
        <v>16243231</v>
      </c>
      <c r="O58" s="12">
        <v>6</v>
      </c>
    </row>
    <row r="59" spans="1:15" ht="27" x14ac:dyDescent="0.3">
      <c r="A59" s="9">
        <v>43542</v>
      </c>
      <c r="B59" s="12">
        <v>339</v>
      </c>
      <c r="C59" s="11">
        <v>6.3E-2</v>
      </c>
      <c r="D59" s="12">
        <v>597</v>
      </c>
      <c r="E59" s="11">
        <v>3.5000000000000003E-2</v>
      </c>
      <c r="F59" s="10">
        <v>74293</v>
      </c>
      <c r="G59" s="11">
        <v>2.8000000000000001E-2</v>
      </c>
      <c r="H59" s="11">
        <v>6.0999999999999999E-2</v>
      </c>
      <c r="I59" s="10">
        <v>34344980</v>
      </c>
      <c r="J59" s="12" t="s">
        <v>234</v>
      </c>
      <c r="K59" s="10">
        <v>4531</v>
      </c>
      <c r="L59" s="12" t="s">
        <v>235</v>
      </c>
      <c r="M59" s="10">
        <v>139528870656</v>
      </c>
      <c r="N59" s="10">
        <v>16247762</v>
      </c>
      <c r="O59" s="12">
        <v>5</v>
      </c>
    </row>
    <row r="60" spans="1:15" ht="27" x14ac:dyDescent="0.3">
      <c r="A60" s="9">
        <v>43543</v>
      </c>
      <c r="B60" s="12">
        <v>340</v>
      </c>
      <c r="C60" s="11">
        <v>6.2E-2</v>
      </c>
      <c r="D60" s="12">
        <v>579</v>
      </c>
      <c r="E60" s="11">
        <v>3.5000000000000003E-2</v>
      </c>
      <c r="F60" s="10">
        <v>70431</v>
      </c>
      <c r="G60" s="11">
        <v>2.7E-2</v>
      </c>
      <c r="H60" s="11">
        <v>6.8000000000000005E-2</v>
      </c>
      <c r="I60" s="10">
        <v>37019810</v>
      </c>
      <c r="J60" s="12" t="s">
        <v>236</v>
      </c>
      <c r="K60" s="10">
        <v>4813</v>
      </c>
      <c r="L60" s="12" t="s">
        <v>237</v>
      </c>
      <c r="M60" s="10">
        <v>139565890466</v>
      </c>
      <c r="N60" s="10">
        <v>16252575</v>
      </c>
      <c r="O60" s="12">
        <v>5</v>
      </c>
    </row>
    <row r="61" spans="1:15" ht="27" x14ac:dyDescent="0.3">
      <c r="A61" s="9">
        <v>43544</v>
      </c>
      <c r="B61" s="12">
        <v>83</v>
      </c>
      <c r="C61" s="11">
        <v>1.6E-2</v>
      </c>
      <c r="D61" s="12">
        <v>103</v>
      </c>
      <c r="E61" s="11">
        <v>6.0000000000000001E-3</v>
      </c>
      <c r="F61" s="10">
        <v>12364</v>
      </c>
      <c r="G61" s="11">
        <v>5.0000000000000001E-3</v>
      </c>
      <c r="H61" s="11">
        <v>9.7000000000000003E-2</v>
      </c>
      <c r="I61" s="10">
        <v>8570460</v>
      </c>
      <c r="J61" s="12" t="s">
        <v>238</v>
      </c>
      <c r="K61" s="10">
        <v>1205</v>
      </c>
      <c r="L61" s="12" t="s">
        <v>239</v>
      </c>
      <c r="M61" s="10">
        <v>139574460926</v>
      </c>
      <c r="N61" s="10">
        <v>16253780</v>
      </c>
      <c r="O61" s="12">
        <v>11</v>
      </c>
    </row>
    <row r="62" spans="1:15" ht="27" x14ac:dyDescent="0.3">
      <c r="A62" s="9">
        <v>43545</v>
      </c>
      <c r="B62" s="12">
        <v>78</v>
      </c>
      <c r="C62" s="11">
        <v>1.4999999999999999E-2</v>
      </c>
      <c r="D62" s="12">
        <v>94</v>
      </c>
      <c r="E62" s="11">
        <v>5.0000000000000001E-3</v>
      </c>
      <c r="F62" s="10">
        <v>10410</v>
      </c>
      <c r="G62" s="11">
        <v>4.0000000000000001E-3</v>
      </c>
      <c r="H62" s="11">
        <v>0.12</v>
      </c>
      <c r="I62" s="10">
        <v>7770350</v>
      </c>
      <c r="J62" s="12" t="s">
        <v>240</v>
      </c>
      <c r="K62" s="10">
        <v>1248</v>
      </c>
      <c r="L62" s="12" t="s">
        <v>241</v>
      </c>
      <c r="M62" s="10">
        <v>139582231276</v>
      </c>
      <c r="N62" s="10">
        <v>16255028</v>
      </c>
      <c r="O62" s="12">
        <v>12</v>
      </c>
    </row>
    <row r="63" spans="1:15" ht="27" x14ac:dyDescent="0.3">
      <c r="A63" s="9">
        <v>43546</v>
      </c>
      <c r="B63" s="12">
        <v>72</v>
      </c>
      <c r="C63" s="11">
        <v>1.4E-2</v>
      </c>
      <c r="D63" s="12">
        <v>93</v>
      </c>
      <c r="E63" s="11">
        <v>5.0000000000000001E-3</v>
      </c>
      <c r="F63" s="10">
        <v>10698</v>
      </c>
      <c r="G63" s="11">
        <v>4.0000000000000001E-3</v>
      </c>
      <c r="H63" s="11">
        <v>8.6999999999999994E-2</v>
      </c>
      <c r="I63" s="10">
        <v>6939280</v>
      </c>
      <c r="J63" s="12" t="s">
        <v>242</v>
      </c>
      <c r="K63" s="12">
        <v>932</v>
      </c>
      <c r="L63" s="12" t="s">
        <v>243</v>
      </c>
      <c r="M63" s="10">
        <v>139589170556</v>
      </c>
      <c r="N63" s="10">
        <v>16255960</v>
      </c>
      <c r="O63" s="12">
        <v>11</v>
      </c>
    </row>
    <row r="64" spans="1:15" ht="27" x14ac:dyDescent="0.3">
      <c r="A64" s="9">
        <v>43547</v>
      </c>
      <c r="B64" s="12">
        <v>60</v>
      </c>
      <c r="C64" s="11">
        <v>0.01</v>
      </c>
      <c r="D64" s="12">
        <v>74</v>
      </c>
      <c r="E64" s="11">
        <v>4.0000000000000001E-3</v>
      </c>
      <c r="F64" s="10">
        <v>8024</v>
      </c>
      <c r="G64" s="11">
        <v>3.0000000000000001E-3</v>
      </c>
      <c r="H64" s="11">
        <v>0.14599999999999999</v>
      </c>
      <c r="I64" s="10">
        <v>9558760</v>
      </c>
      <c r="J64" s="12" t="s">
        <v>244</v>
      </c>
      <c r="K64" s="10">
        <v>1170</v>
      </c>
      <c r="L64" s="12" t="s">
        <v>245</v>
      </c>
      <c r="M64" s="10">
        <v>139598729316</v>
      </c>
      <c r="N64" s="10">
        <v>16257130</v>
      </c>
      <c r="O64" s="12">
        <v>14</v>
      </c>
    </row>
    <row r="65" spans="1:15" ht="27" x14ac:dyDescent="0.3">
      <c r="A65" s="9">
        <v>43548</v>
      </c>
      <c r="B65" s="12">
        <v>58</v>
      </c>
      <c r="C65" s="11">
        <v>0.01</v>
      </c>
      <c r="D65" s="12">
        <v>73</v>
      </c>
      <c r="E65" s="11">
        <v>4.0000000000000001E-3</v>
      </c>
      <c r="F65" s="10">
        <v>8202</v>
      </c>
      <c r="G65" s="11">
        <v>3.0000000000000001E-3</v>
      </c>
      <c r="H65" s="11">
        <v>0.121</v>
      </c>
      <c r="I65" s="10">
        <v>7738650</v>
      </c>
      <c r="J65" s="12" t="s">
        <v>246</v>
      </c>
      <c r="K65" s="12">
        <v>989</v>
      </c>
      <c r="L65" s="12" t="s">
        <v>247</v>
      </c>
      <c r="M65" s="10">
        <v>139606467966</v>
      </c>
      <c r="N65" s="10">
        <v>16258119</v>
      </c>
      <c r="O65" s="12">
        <v>13</v>
      </c>
    </row>
    <row r="66" spans="1:15" ht="27" x14ac:dyDescent="0.3">
      <c r="A66" s="9">
        <v>43549</v>
      </c>
      <c r="B66" s="12">
        <v>69</v>
      </c>
      <c r="C66" s="11">
        <v>1.4E-2</v>
      </c>
      <c r="D66" s="12">
        <v>87</v>
      </c>
      <c r="E66" s="11">
        <v>5.0000000000000001E-3</v>
      </c>
      <c r="F66" s="10">
        <v>10431</v>
      </c>
      <c r="G66" s="11">
        <v>4.0000000000000001E-3</v>
      </c>
      <c r="H66" s="11">
        <v>5.8999999999999997E-2</v>
      </c>
      <c r="I66" s="10">
        <v>4205080</v>
      </c>
      <c r="J66" s="12" t="s">
        <v>248</v>
      </c>
      <c r="K66" s="12">
        <v>620</v>
      </c>
      <c r="L66" s="12" t="s">
        <v>249</v>
      </c>
      <c r="M66" s="10">
        <v>139610673046</v>
      </c>
      <c r="N66" s="10">
        <v>16258739</v>
      </c>
      <c r="O66" s="12">
        <v>17</v>
      </c>
    </row>
    <row r="67" spans="1:15" ht="27" x14ac:dyDescent="0.3">
      <c r="A67" s="9">
        <v>43550</v>
      </c>
      <c r="B67" s="12">
        <v>67</v>
      </c>
      <c r="C67" s="11">
        <v>1.2999999999999999E-2</v>
      </c>
      <c r="D67" s="12">
        <v>85</v>
      </c>
      <c r="E67" s="11">
        <v>5.0000000000000001E-3</v>
      </c>
      <c r="F67" s="10">
        <v>10000</v>
      </c>
      <c r="G67" s="11">
        <v>4.0000000000000001E-3</v>
      </c>
      <c r="H67" s="11">
        <v>5.8000000000000003E-2</v>
      </c>
      <c r="I67" s="10">
        <v>3911450</v>
      </c>
      <c r="J67" s="12" t="s">
        <v>250</v>
      </c>
      <c r="K67" s="12">
        <v>575</v>
      </c>
      <c r="L67" s="12" t="s">
        <v>251</v>
      </c>
      <c r="M67" s="10">
        <v>139614584496</v>
      </c>
      <c r="N67" s="10">
        <v>16259314</v>
      </c>
      <c r="O67" s="12">
        <v>18</v>
      </c>
    </row>
    <row r="68" spans="1:15" ht="27" x14ac:dyDescent="0.3">
      <c r="A68" s="9">
        <v>43551</v>
      </c>
      <c r="B68" s="12">
        <v>28</v>
      </c>
      <c r="C68" s="11">
        <v>4.0000000000000001E-3</v>
      </c>
      <c r="D68" s="12">
        <v>32</v>
      </c>
      <c r="E68" s="11">
        <v>2E-3</v>
      </c>
      <c r="F68" s="10">
        <v>3573</v>
      </c>
      <c r="G68" s="11">
        <v>1E-3</v>
      </c>
      <c r="H68" s="11">
        <v>0.16600000000000001</v>
      </c>
      <c r="I68" s="10">
        <v>3428850</v>
      </c>
      <c r="J68" s="12" t="s">
        <v>252</v>
      </c>
      <c r="K68" s="12">
        <v>592</v>
      </c>
      <c r="L68" s="12" t="s">
        <v>253</v>
      </c>
      <c r="M68" s="10">
        <v>139618013346</v>
      </c>
      <c r="N68" s="10">
        <v>16259906</v>
      </c>
      <c r="O68" s="12">
        <v>22</v>
      </c>
    </row>
    <row r="69" spans="1:15" ht="27" x14ac:dyDescent="0.3">
      <c r="A69" s="9">
        <v>43552</v>
      </c>
      <c r="B69" s="12">
        <v>23</v>
      </c>
      <c r="C69" s="11">
        <v>4.0000000000000001E-3</v>
      </c>
      <c r="D69" s="12">
        <v>25</v>
      </c>
      <c r="E69" s="11">
        <v>1E-3</v>
      </c>
      <c r="F69" s="10">
        <v>2749</v>
      </c>
      <c r="G69" s="11">
        <v>1E-3</v>
      </c>
      <c r="H69" s="11">
        <v>0.14499999999999999</v>
      </c>
      <c r="I69" s="10">
        <v>2587600</v>
      </c>
      <c r="J69" s="12" t="s">
        <v>254</v>
      </c>
      <c r="K69" s="12">
        <v>398</v>
      </c>
      <c r="L69" s="12" t="s">
        <v>255</v>
      </c>
      <c r="M69" s="10">
        <v>139620600946</v>
      </c>
      <c r="N69" s="10">
        <v>16260304</v>
      </c>
      <c r="O69" s="12">
        <v>30</v>
      </c>
    </row>
    <row r="70" spans="1:15" ht="27" x14ac:dyDescent="0.3">
      <c r="A70" s="9">
        <v>43553</v>
      </c>
      <c r="B70" s="12">
        <v>21</v>
      </c>
      <c r="C70" s="11">
        <v>4.0000000000000001E-3</v>
      </c>
      <c r="D70" s="12">
        <v>23</v>
      </c>
      <c r="E70" s="11">
        <v>1E-3</v>
      </c>
      <c r="F70" s="10">
        <v>2501</v>
      </c>
      <c r="G70" s="11">
        <v>1E-3</v>
      </c>
      <c r="H70" s="11">
        <v>7.8E-2</v>
      </c>
      <c r="I70" s="10">
        <v>1285800</v>
      </c>
      <c r="J70" s="12" t="s">
        <v>256</v>
      </c>
      <c r="K70" s="12">
        <v>196</v>
      </c>
      <c r="L70" s="12" t="s">
        <v>257</v>
      </c>
      <c r="M70" s="10">
        <v>139621886746</v>
      </c>
      <c r="N70" s="10">
        <v>16260500</v>
      </c>
      <c r="O70" s="12">
        <v>32</v>
      </c>
    </row>
    <row r="71" spans="1:15" ht="27" x14ac:dyDescent="0.3">
      <c r="A71" s="9">
        <v>43554</v>
      </c>
      <c r="B71" s="12">
        <v>22</v>
      </c>
      <c r="C71" s="11">
        <v>3.0000000000000001E-3</v>
      </c>
      <c r="D71" s="12">
        <v>25</v>
      </c>
      <c r="E71" s="11">
        <v>1E-3</v>
      </c>
      <c r="F71" s="10">
        <v>2859</v>
      </c>
      <c r="G71" s="11">
        <v>1E-3</v>
      </c>
      <c r="H71" s="11">
        <v>0.1</v>
      </c>
      <c r="I71" s="10">
        <v>2115030</v>
      </c>
      <c r="J71" s="12" t="s">
        <v>258</v>
      </c>
      <c r="K71" s="12">
        <v>285</v>
      </c>
      <c r="L71" s="12" t="s">
        <v>259</v>
      </c>
      <c r="M71" s="10">
        <v>139624001776</v>
      </c>
      <c r="N71" s="10">
        <v>16260785</v>
      </c>
      <c r="O71" s="12">
        <v>29</v>
      </c>
    </row>
    <row r="72" spans="1:15" ht="27" x14ac:dyDescent="0.3">
      <c r="A72" s="9">
        <v>43555</v>
      </c>
      <c r="B72" s="12">
        <v>20</v>
      </c>
      <c r="C72" s="11">
        <v>3.0000000000000001E-3</v>
      </c>
      <c r="D72" s="12">
        <v>23</v>
      </c>
      <c r="E72" s="11">
        <v>1E-3</v>
      </c>
      <c r="F72" s="10">
        <v>2369</v>
      </c>
      <c r="G72" s="11">
        <v>1E-3</v>
      </c>
      <c r="H72" s="11">
        <v>9.5000000000000001E-2</v>
      </c>
      <c r="I72" s="10">
        <v>1592200</v>
      </c>
      <c r="J72" s="12" t="s">
        <v>260</v>
      </c>
      <c r="K72" s="12">
        <v>224</v>
      </c>
      <c r="L72" s="12" t="s">
        <v>261</v>
      </c>
      <c r="M72" s="10">
        <v>139625593976</v>
      </c>
      <c r="N72" s="10">
        <v>16261009</v>
      </c>
      <c r="O72" s="12">
        <v>32</v>
      </c>
    </row>
    <row r="73" spans="1:15" ht="27" x14ac:dyDescent="0.3">
      <c r="A73" s="9">
        <v>43556</v>
      </c>
      <c r="B73" s="12">
        <v>16</v>
      </c>
      <c r="C73" s="11">
        <v>3.0000000000000001E-3</v>
      </c>
      <c r="D73" s="12">
        <v>20</v>
      </c>
      <c r="E73" s="11">
        <v>1E-3</v>
      </c>
      <c r="F73" s="10">
        <v>1925</v>
      </c>
      <c r="G73" s="11">
        <v>1E-3</v>
      </c>
      <c r="H73" s="11">
        <v>7.6999999999999999E-2</v>
      </c>
      <c r="I73" s="10">
        <v>856400</v>
      </c>
      <c r="J73" s="12" t="s">
        <v>262</v>
      </c>
      <c r="K73" s="12">
        <v>148</v>
      </c>
      <c r="L73" s="12" t="s">
        <v>263</v>
      </c>
      <c r="M73" s="10">
        <v>139626450376</v>
      </c>
      <c r="N73" s="10">
        <v>16261157</v>
      </c>
      <c r="O73" s="12">
        <v>35</v>
      </c>
    </row>
    <row r="74" spans="1:15" ht="27" x14ac:dyDescent="0.3">
      <c r="A74" s="9">
        <v>43557</v>
      </c>
      <c r="B74" s="12">
        <v>17</v>
      </c>
      <c r="C74" s="11">
        <v>3.0000000000000001E-3</v>
      </c>
      <c r="D74" s="12">
        <v>20</v>
      </c>
      <c r="E74" s="11">
        <v>1E-3</v>
      </c>
      <c r="F74" s="10">
        <v>2049</v>
      </c>
      <c r="G74" s="11">
        <v>1E-3</v>
      </c>
      <c r="H74" s="11">
        <v>8.6999999999999994E-2</v>
      </c>
      <c r="I74" s="10">
        <v>1120750</v>
      </c>
      <c r="J74" s="12" t="s">
        <v>264</v>
      </c>
      <c r="K74" s="12">
        <v>178</v>
      </c>
      <c r="L74" s="12" t="s">
        <v>265</v>
      </c>
      <c r="M74" s="10">
        <v>139627571126</v>
      </c>
      <c r="N74" s="10">
        <v>16261335</v>
      </c>
      <c r="O74" s="12">
        <v>31</v>
      </c>
    </row>
    <row r="75" spans="1:15" ht="27" x14ac:dyDescent="0.3">
      <c r="A75" s="9">
        <v>43558</v>
      </c>
      <c r="B75" s="12">
        <v>6</v>
      </c>
      <c r="C75" s="11">
        <v>1E-3</v>
      </c>
      <c r="D75" s="12">
        <v>8</v>
      </c>
      <c r="E75" s="11">
        <v>0</v>
      </c>
      <c r="F75" s="12">
        <v>532</v>
      </c>
      <c r="G75" s="11">
        <v>0</v>
      </c>
      <c r="H75" s="11">
        <v>7.0000000000000007E-2</v>
      </c>
      <c r="I75" s="10">
        <v>275300</v>
      </c>
      <c r="J75" s="12" t="s">
        <v>266</v>
      </c>
      <c r="K75" s="12">
        <v>37</v>
      </c>
      <c r="L75" s="12" t="s">
        <v>267</v>
      </c>
      <c r="M75" s="10">
        <v>139627846426</v>
      </c>
      <c r="N75" s="10">
        <v>16261372</v>
      </c>
      <c r="O75" s="12">
        <v>59</v>
      </c>
    </row>
    <row r="76" spans="1:15" ht="27" x14ac:dyDescent="0.3">
      <c r="A76" s="9">
        <v>43559</v>
      </c>
      <c r="B76" s="12">
        <v>6</v>
      </c>
      <c r="C76" s="11">
        <v>1E-3</v>
      </c>
      <c r="D76" s="12">
        <v>6</v>
      </c>
      <c r="E76" s="11">
        <v>0</v>
      </c>
      <c r="F76" s="12">
        <v>400</v>
      </c>
      <c r="G76" s="11">
        <v>0</v>
      </c>
      <c r="H76" s="11">
        <v>4.4999999999999998E-2</v>
      </c>
      <c r="I76" s="10">
        <v>147480</v>
      </c>
      <c r="J76" s="12" t="s">
        <v>268</v>
      </c>
      <c r="K76" s="12">
        <v>18</v>
      </c>
      <c r="L76" s="12" t="s">
        <v>269</v>
      </c>
      <c r="M76" s="10">
        <v>139627993906</v>
      </c>
      <c r="N76" s="10">
        <v>16261390</v>
      </c>
      <c r="O76" s="12">
        <v>68</v>
      </c>
    </row>
    <row r="77" spans="1:15" ht="27" x14ac:dyDescent="0.3">
      <c r="A77" s="9">
        <v>43560</v>
      </c>
      <c r="B77" s="12">
        <v>4</v>
      </c>
      <c r="C77" s="11">
        <v>1E-3</v>
      </c>
      <c r="D77" s="12">
        <v>4</v>
      </c>
      <c r="E77" s="11">
        <v>0</v>
      </c>
      <c r="F77" s="12">
        <v>190</v>
      </c>
      <c r="G77" s="11">
        <v>0</v>
      </c>
      <c r="H77" s="11">
        <v>0.158</v>
      </c>
      <c r="I77" s="10">
        <v>254300</v>
      </c>
      <c r="J77" s="12" t="s">
        <v>270</v>
      </c>
      <c r="K77" s="12">
        <v>30</v>
      </c>
      <c r="L77" s="12" t="s">
        <v>271</v>
      </c>
      <c r="M77" s="10">
        <v>139628248206</v>
      </c>
      <c r="N77" s="10">
        <v>16261420</v>
      </c>
      <c r="O77" s="12">
        <v>69</v>
      </c>
    </row>
    <row r="78" spans="1:15" ht="27" x14ac:dyDescent="0.3">
      <c r="A78" s="9">
        <v>43561</v>
      </c>
      <c r="B78" s="12">
        <v>5</v>
      </c>
      <c r="C78" s="11">
        <v>1E-3</v>
      </c>
      <c r="D78" s="12">
        <v>6</v>
      </c>
      <c r="E78" s="11">
        <v>0</v>
      </c>
      <c r="F78" s="12">
        <v>420</v>
      </c>
      <c r="G78" s="11">
        <v>0</v>
      </c>
      <c r="H78" s="11">
        <v>0.16900000000000001</v>
      </c>
      <c r="I78" s="10">
        <v>652980</v>
      </c>
      <c r="J78" s="12" t="s">
        <v>272</v>
      </c>
      <c r="K78" s="12">
        <v>71</v>
      </c>
      <c r="L78" s="12" t="s">
        <v>273</v>
      </c>
      <c r="M78" s="10">
        <v>139628901186</v>
      </c>
      <c r="N78" s="10">
        <v>16261491</v>
      </c>
      <c r="O78" s="12">
        <v>51</v>
      </c>
    </row>
    <row r="79" spans="1:15" ht="27" x14ac:dyDescent="0.3">
      <c r="A79" s="9">
        <v>43562</v>
      </c>
      <c r="B79" s="12">
        <v>5</v>
      </c>
      <c r="C79" s="11">
        <v>1E-3</v>
      </c>
      <c r="D79" s="12">
        <v>5</v>
      </c>
      <c r="E79" s="11">
        <v>0</v>
      </c>
      <c r="F79" s="12">
        <v>354</v>
      </c>
      <c r="G79" s="11">
        <v>0</v>
      </c>
      <c r="H79" s="11">
        <v>0.11899999999999999</v>
      </c>
      <c r="I79" s="10">
        <v>337280</v>
      </c>
      <c r="J79" s="12" t="s">
        <v>274</v>
      </c>
      <c r="K79" s="12">
        <v>42</v>
      </c>
      <c r="L79" s="12" t="s">
        <v>275</v>
      </c>
      <c r="M79" s="10">
        <v>139629238466</v>
      </c>
      <c r="N79" s="10">
        <v>16261533</v>
      </c>
      <c r="O79" s="12">
        <v>52</v>
      </c>
    </row>
    <row r="80" spans="1:15" ht="27" x14ac:dyDescent="0.3">
      <c r="A80" s="9">
        <v>43563</v>
      </c>
      <c r="B80" s="12">
        <v>6</v>
      </c>
      <c r="C80" s="11">
        <v>1E-3</v>
      </c>
      <c r="D80" s="12">
        <v>6</v>
      </c>
      <c r="E80" s="11">
        <v>0</v>
      </c>
      <c r="F80" s="12">
        <v>420</v>
      </c>
      <c r="G80" s="11">
        <v>0</v>
      </c>
      <c r="H80" s="11">
        <v>5.1999999999999998E-2</v>
      </c>
      <c r="I80" s="10">
        <v>170000</v>
      </c>
      <c r="J80" s="12" t="s">
        <v>276</v>
      </c>
      <c r="K80" s="12">
        <v>22</v>
      </c>
      <c r="L80" s="12" t="s">
        <v>277</v>
      </c>
      <c r="M80" s="10">
        <v>139629408466</v>
      </c>
      <c r="N80" s="10">
        <v>16261555</v>
      </c>
      <c r="O80" s="12">
        <v>58</v>
      </c>
    </row>
    <row r="81" spans="1:15" ht="27" x14ac:dyDescent="0.3">
      <c r="A81" s="9">
        <v>43564</v>
      </c>
      <c r="B81" s="12">
        <v>6</v>
      </c>
      <c r="C81" s="11">
        <v>1E-3</v>
      </c>
      <c r="D81" s="12">
        <v>6</v>
      </c>
      <c r="E81" s="11">
        <v>0</v>
      </c>
      <c r="F81" s="12">
        <v>420</v>
      </c>
      <c r="G81" s="11">
        <v>0</v>
      </c>
      <c r="H81" s="11">
        <v>7.3999999999999996E-2</v>
      </c>
      <c r="I81" s="10">
        <v>210800</v>
      </c>
      <c r="J81" s="12" t="s">
        <v>278</v>
      </c>
      <c r="K81" s="12">
        <v>31</v>
      </c>
      <c r="L81" s="12" t="s">
        <v>279</v>
      </c>
      <c r="M81" s="10">
        <v>139629619266</v>
      </c>
      <c r="N81" s="10">
        <v>16261586</v>
      </c>
      <c r="O81" s="12">
        <v>62</v>
      </c>
    </row>
    <row r="82" spans="1:15" ht="27" x14ac:dyDescent="0.3">
      <c r="A82" s="9">
        <v>43565</v>
      </c>
      <c r="B82" s="12">
        <v>2</v>
      </c>
      <c r="C82" s="11">
        <v>0</v>
      </c>
      <c r="D82" s="12">
        <v>2</v>
      </c>
      <c r="E82" s="11">
        <v>0</v>
      </c>
      <c r="F82" s="12">
        <v>174</v>
      </c>
      <c r="G82" s="11">
        <v>0</v>
      </c>
      <c r="H82" s="11">
        <v>2.9000000000000001E-2</v>
      </c>
      <c r="I82" s="10">
        <v>44000</v>
      </c>
      <c r="J82" s="12" t="s">
        <v>280</v>
      </c>
      <c r="K82" s="12">
        <v>5</v>
      </c>
      <c r="L82" s="12" t="s">
        <v>281</v>
      </c>
      <c r="M82" s="10">
        <v>139629663266</v>
      </c>
      <c r="N82" s="10">
        <v>16261591</v>
      </c>
      <c r="O82" s="12">
        <v>87</v>
      </c>
    </row>
    <row r="83" spans="1:15" ht="27" x14ac:dyDescent="0.3">
      <c r="A83" s="9">
        <v>43566</v>
      </c>
      <c r="B83" s="12">
        <v>3</v>
      </c>
      <c r="C83" s="11">
        <v>0</v>
      </c>
      <c r="D83" s="12">
        <v>3</v>
      </c>
      <c r="E83" s="11">
        <v>0</v>
      </c>
      <c r="F83" s="12">
        <v>509</v>
      </c>
      <c r="G83" s="11">
        <v>0</v>
      </c>
      <c r="H83" s="11">
        <v>0.17899999999999999</v>
      </c>
      <c r="I83" s="10">
        <v>716500</v>
      </c>
      <c r="J83" s="12" t="s">
        <v>282</v>
      </c>
      <c r="K83" s="12">
        <v>91</v>
      </c>
      <c r="L83" s="12" t="s">
        <v>283</v>
      </c>
      <c r="M83" s="10">
        <v>139630379766</v>
      </c>
      <c r="N83" s="10">
        <v>16261682</v>
      </c>
      <c r="O83" s="12">
        <v>49</v>
      </c>
    </row>
    <row r="84" spans="1:15" ht="27" x14ac:dyDescent="0.3">
      <c r="A84" s="9">
        <v>43567</v>
      </c>
      <c r="B84" s="12">
        <v>2</v>
      </c>
      <c r="C84" s="11">
        <v>0</v>
      </c>
      <c r="D84" s="12">
        <v>2</v>
      </c>
      <c r="E84" s="11">
        <v>0</v>
      </c>
      <c r="F84" s="12">
        <v>357</v>
      </c>
      <c r="G84" s="11">
        <v>0</v>
      </c>
      <c r="H84" s="11">
        <v>3.9E-2</v>
      </c>
      <c r="I84" s="10">
        <v>147000</v>
      </c>
      <c r="J84" s="12" t="s">
        <v>284</v>
      </c>
      <c r="K84" s="12">
        <v>14</v>
      </c>
      <c r="L84" s="12" t="s">
        <v>285</v>
      </c>
      <c r="M84" s="10">
        <v>139630526766</v>
      </c>
      <c r="N84" s="10">
        <v>16261696</v>
      </c>
      <c r="O84" s="12">
        <v>82</v>
      </c>
    </row>
    <row r="85" spans="1:15" ht="27" x14ac:dyDescent="0.3">
      <c r="A85" s="9">
        <v>43568</v>
      </c>
      <c r="B85" s="12">
        <v>1</v>
      </c>
      <c r="C85" s="11">
        <v>0</v>
      </c>
      <c r="D85" s="12">
        <v>1</v>
      </c>
      <c r="E85" s="11">
        <v>0</v>
      </c>
      <c r="F85" s="12">
        <v>35</v>
      </c>
      <c r="G85" s="11">
        <v>0</v>
      </c>
      <c r="H85" s="11">
        <v>0.2</v>
      </c>
      <c r="I85" s="10">
        <v>44300</v>
      </c>
      <c r="J85" s="12" t="s">
        <v>286</v>
      </c>
      <c r="K85" s="12">
        <v>7</v>
      </c>
      <c r="L85" s="12" t="s">
        <v>287</v>
      </c>
      <c r="M85" s="10">
        <v>139630571066</v>
      </c>
      <c r="N85" s="10">
        <v>16261703</v>
      </c>
      <c r="O85" s="12">
        <v>102</v>
      </c>
    </row>
    <row r="86" spans="1:15" ht="27" x14ac:dyDescent="0.3">
      <c r="A86" s="9">
        <v>43569</v>
      </c>
      <c r="B86" s="12">
        <v>1</v>
      </c>
      <c r="C86" s="11">
        <v>0</v>
      </c>
      <c r="D86" s="12">
        <v>1</v>
      </c>
      <c r="E86" s="11">
        <v>0</v>
      </c>
      <c r="F86" s="12">
        <v>35</v>
      </c>
      <c r="G86" s="11">
        <v>0</v>
      </c>
      <c r="H86" s="11">
        <v>5.7000000000000002E-2</v>
      </c>
      <c r="I86" s="10">
        <v>13300</v>
      </c>
      <c r="J86" s="12" t="s">
        <v>288</v>
      </c>
      <c r="K86" s="12">
        <v>2</v>
      </c>
      <c r="L86" s="12" t="s">
        <v>289</v>
      </c>
      <c r="M86" s="10">
        <v>139630584366</v>
      </c>
      <c r="N86" s="10">
        <v>16261705</v>
      </c>
      <c r="O86" s="12">
        <v>103</v>
      </c>
    </row>
    <row r="87" spans="1:15" ht="27" x14ac:dyDescent="0.3">
      <c r="A87" s="9">
        <v>43570</v>
      </c>
      <c r="B87" s="12">
        <v>2</v>
      </c>
      <c r="C87" s="11">
        <v>0</v>
      </c>
      <c r="D87" s="12">
        <v>2</v>
      </c>
      <c r="E87" s="11">
        <v>0</v>
      </c>
      <c r="F87" s="12">
        <v>132</v>
      </c>
      <c r="G87" s="11">
        <v>0</v>
      </c>
      <c r="H87" s="11">
        <v>2.3E-2</v>
      </c>
      <c r="I87" s="10">
        <v>18000</v>
      </c>
      <c r="J87" s="12" t="s">
        <v>290</v>
      </c>
      <c r="K87" s="12">
        <v>3</v>
      </c>
      <c r="L87" s="12" t="s">
        <v>291</v>
      </c>
      <c r="M87" s="10">
        <v>139630602366</v>
      </c>
      <c r="N87" s="10">
        <v>16261708</v>
      </c>
      <c r="O87" s="12">
        <v>88</v>
      </c>
    </row>
    <row r="88" spans="1:15" x14ac:dyDescent="0.3">
      <c r="A88" s="9">
        <v>43571</v>
      </c>
      <c r="B88" s="12">
        <v>1</v>
      </c>
      <c r="C88" s="11">
        <v>0</v>
      </c>
      <c r="D88" s="12">
        <v>1</v>
      </c>
      <c r="E88" s="11">
        <v>0</v>
      </c>
      <c r="F88" s="12">
        <v>97</v>
      </c>
      <c r="G88" s="11">
        <v>0</v>
      </c>
      <c r="H88" s="11">
        <v>3.1E-2</v>
      </c>
      <c r="I88" s="10">
        <v>18000</v>
      </c>
      <c r="J88" s="12" t="s">
        <v>292</v>
      </c>
      <c r="K88" s="12">
        <v>3</v>
      </c>
      <c r="L88" s="12" t="s">
        <v>292</v>
      </c>
      <c r="M88" s="10">
        <v>139630620366</v>
      </c>
      <c r="N88" s="10">
        <v>16261711</v>
      </c>
      <c r="O88" s="12">
        <v>98</v>
      </c>
    </row>
    <row r="89" spans="1:15" ht="27" x14ac:dyDescent="0.3">
      <c r="A89" s="9">
        <v>43573</v>
      </c>
      <c r="B89" s="12">
        <v>2</v>
      </c>
      <c r="C89" s="11">
        <v>0</v>
      </c>
      <c r="D89" s="12">
        <v>2</v>
      </c>
      <c r="E89" s="11">
        <v>0</v>
      </c>
      <c r="F89" s="12">
        <v>191</v>
      </c>
      <c r="G89" s="11">
        <v>0</v>
      </c>
      <c r="H89" s="11">
        <v>1.6E-2</v>
      </c>
      <c r="I89" s="10">
        <v>24000</v>
      </c>
      <c r="J89" s="12" t="s">
        <v>293</v>
      </c>
      <c r="K89" s="12">
        <v>3</v>
      </c>
      <c r="L89" s="12" t="s">
        <v>294</v>
      </c>
      <c r="M89" s="10">
        <v>139630644366</v>
      </c>
      <c r="N89" s="10">
        <v>16261714</v>
      </c>
      <c r="O89" s="12">
        <v>117</v>
      </c>
    </row>
    <row r="90" spans="1:15" ht="27" x14ac:dyDescent="0.3">
      <c r="A90" s="9">
        <v>43575</v>
      </c>
      <c r="B90" s="12">
        <v>1</v>
      </c>
      <c r="C90" s="11">
        <v>0</v>
      </c>
      <c r="D90" s="12">
        <v>1</v>
      </c>
      <c r="E90" s="11">
        <v>0</v>
      </c>
      <c r="F90" s="12">
        <v>94</v>
      </c>
      <c r="G90" s="11">
        <v>0</v>
      </c>
      <c r="H90" s="11">
        <v>4.2999999999999997E-2</v>
      </c>
      <c r="I90" s="10">
        <v>29500</v>
      </c>
      <c r="J90" s="12" t="s">
        <v>295</v>
      </c>
      <c r="K90" s="12">
        <v>4</v>
      </c>
      <c r="L90" s="12" t="s">
        <v>296</v>
      </c>
      <c r="M90" s="10">
        <v>139630673866</v>
      </c>
      <c r="N90" s="10">
        <v>16261718</v>
      </c>
      <c r="O90" s="12">
        <v>110</v>
      </c>
    </row>
    <row r="91" spans="1:15" ht="27" x14ac:dyDescent="0.3">
      <c r="A91" s="9">
        <v>43576</v>
      </c>
      <c r="B91" s="12">
        <v>1</v>
      </c>
      <c r="C91" s="11">
        <v>0</v>
      </c>
      <c r="D91" s="12">
        <v>1</v>
      </c>
      <c r="E91" s="11">
        <v>0</v>
      </c>
      <c r="F91" s="12">
        <v>94</v>
      </c>
      <c r="G91" s="11">
        <v>0</v>
      </c>
      <c r="H91" s="11">
        <v>4.2999999999999997E-2</v>
      </c>
      <c r="I91" s="10">
        <v>27000</v>
      </c>
      <c r="J91" s="12" t="s">
        <v>297</v>
      </c>
      <c r="K91" s="12">
        <v>4</v>
      </c>
      <c r="L91" s="12" t="s">
        <v>292</v>
      </c>
      <c r="M91" s="10">
        <v>139630700866</v>
      </c>
      <c r="N91" s="10">
        <v>16261722</v>
      </c>
      <c r="O91" s="12">
        <v>112</v>
      </c>
    </row>
    <row r="92" spans="1:15" ht="27" x14ac:dyDescent="0.3">
      <c r="A92" s="9">
        <v>43577</v>
      </c>
      <c r="B92" s="12">
        <v>1</v>
      </c>
      <c r="C92" s="11">
        <v>0</v>
      </c>
      <c r="D92" s="12">
        <v>1</v>
      </c>
      <c r="E92" s="11">
        <v>0</v>
      </c>
      <c r="F92" s="12">
        <v>133</v>
      </c>
      <c r="G92" s="11">
        <v>0</v>
      </c>
      <c r="H92" s="11">
        <v>0.752</v>
      </c>
      <c r="I92" s="10">
        <v>500000</v>
      </c>
      <c r="J92" s="12" t="s">
        <v>298</v>
      </c>
      <c r="K92" s="12">
        <v>100</v>
      </c>
      <c r="L92" s="12" t="s">
        <v>299</v>
      </c>
      <c r="M92" s="10">
        <v>139631200866</v>
      </c>
      <c r="N92" s="10">
        <v>16261822</v>
      </c>
      <c r="O92" s="12">
        <v>42</v>
      </c>
    </row>
    <row r="93" spans="1:15" ht="27" x14ac:dyDescent="0.3">
      <c r="A93" s="9">
        <v>43578</v>
      </c>
      <c r="B93" s="12">
        <v>1</v>
      </c>
      <c r="C93" s="11">
        <v>0</v>
      </c>
      <c r="D93" s="12">
        <v>1</v>
      </c>
      <c r="E93" s="11">
        <v>0</v>
      </c>
      <c r="F93" s="12">
        <v>139</v>
      </c>
      <c r="G93" s="11">
        <v>0</v>
      </c>
      <c r="H93" s="11">
        <v>2.9000000000000001E-2</v>
      </c>
      <c r="I93" s="10">
        <v>28000</v>
      </c>
      <c r="J93" s="12" t="s">
        <v>300</v>
      </c>
      <c r="K93" s="12">
        <v>4</v>
      </c>
      <c r="L93" s="12" t="s">
        <v>301</v>
      </c>
      <c r="M93" s="10">
        <v>139631228866</v>
      </c>
      <c r="N93" s="10">
        <v>16261826</v>
      </c>
      <c r="O93" s="12">
        <v>108</v>
      </c>
    </row>
    <row r="94" spans="1:15" ht="27" x14ac:dyDescent="0.3">
      <c r="A94" s="9">
        <v>43579</v>
      </c>
      <c r="B94" s="12">
        <v>2</v>
      </c>
      <c r="C94" s="11">
        <v>0</v>
      </c>
      <c r="D94" s="12">
        <v>2</v>
      </c>
      <c r="E94" s="11">
        <v>0</v>
      </c>
      <c r="F94" s="12">
        <v>277</v>
      </c>
      <c r="G94" s="11">
        <v>0</v>
      </c>
      <c r="H94" s="11">
        <v>0.502</v>
      </c>
      <c r="I94" s="10">
        <v>733000</v>
      </c>
      <c r="J94" s="12" t="s">
        <v>302</v>
      </c>
      <c r="K94" s="12">
        <v>139</v>
      </c>
      <c r="L94" s="12" t="s">
        <v>303</v>
      </c>
      <c r="M94" s="10">
        <v>139631961866</v>
      </c>
      <c r="N94" s="10">
        <v>16261965</v>
      </c>
      <c r="O94" s="12">
        <v>37</v>
      </c>
    </row>
    <row r="95" spans="1:15" ht="27" x14ac:dyDescent="0.3">
      <c r="A95" s="9">
        <v>43581</v>
      </c>
      <c r="B95" s="12">
        <v>2</v>
      </c>
      <c r="C95" s="11">
        <v>0</v>
      </c>
      <c r="D95" s="12">
        <v>2</v>
      </c>
      <c r="E95" s="11">
        <v>0</v>
      </c>
      <c r="F95" s="12">
        <v>267</v>
      </c>
      <c r="G95" s="11">
        <v>0</v>
      </c>
      <c r="H95" s="11">
        <v>1.4999999999999999E-2</v>
      </c>
      <c r="I95" s="10">
        <v>28000</v>
      </c>
      <c r="J95" s="12" t="s">
        <v>304</v>
      </c>
      <c r="K95" s="12">
        <v>4</v>
      </c>
      <c r="L95" s="12" t="s">
        <v>296</v>
      </c>
      <c r="M95" s="10">
        <v>139631989866</v>
      </c>
      <c r="N95" s="10">
        <v>16261969</v>
      </c>
      <c r="O95" s="12">
        <v>88</v>
      </c>
    </row>
    <row r="96" spans="1:15" x14ac:dyDescent="0.3">
      <c r="A96" s="9">
        <v>43582</v>
      </c>
      <c r="B96" s="12">
        <v>1</v>
      </c>
      <c r="C96" s="11">
        <v>0</v>
      </c>
      <c r="D96" s="12">
        <v>1</v>
      </c>
      <c r="E96" s="11">
        <v>0</v>
      </c>
      <c r="F96" s="12">
        <v>128</v>
      </c>
      <c r="G96" s="11">
        <v>0</v>
      </c>
      <c r="H96" s="11">
        <v>3.1E-2</v>
      </c>
      <c r="I96" s="10">
        <v>28000</v>
      </c>
      <c r="J96" s="12" t="s">
        <v>292</v>
      </c>
      <c r="K96" s="12">
        <v>4</v>
      </c>
      <c r="L96" s="12" t="s">
        <v>292</v>
      </c>
      <c r="M96" s="10">
        <v>139632017866</v>
      </c>
      <c r="N96" s="10">
        <v>16261973</v>
      </c>
      <c r="O96" s="12">
        <v>93</v>
      </c>
    </row>
    <row r="97" spans="1:15" ht="27" x14ac:dyDescent="0.3">
      <c r="A97" s="9">
        <v>43583</v>
      </c>
      <c r="B97" s="12">
        <v>1</v>
      </c>
      <c r="C97" s="11">
        <v>0</v>
      </c>
      <c r="D97" s="12">
        <v>1</v>
      </c>
      <c r="E97" s="11">
        <v>0</v>
      </c>
      <c r="F97" s="12">
        <v>128</v>
      </c>
      <c r="G97" s="11">
        <v>0</v>
      </c>
      <c r="H97" s="11">
        <v>1.6E-2</v>
      </c>
      <c r="I97" s="10">
        <v>10000</v>
      </c>
      <c r="J97" s="12" t="s">
        <v>305</v>
      </c>
      <c r="K97" s="12">
        <v>2</v>
      </c>
      <c r="L97" s="12" t="s">
        <v>306</v>
      </c>
      <c r="M97" s="10">
        <v>139632027866</v>
      </c>
      <c r="N97" s="10">
        <v>16261975</v>
      </c>
      <c r="O97" s="12">
        <v>90</v>
      </c>
    </row>
    <row r="98" spans="1:15" ht="27" x14ac:dyDescent="0.3">
      <c r="A98" s="9">
        <v>43584</v>
      </c>
      <c r="B98" s="12">
        <v>1</v>
      </c>
      <c r="C98" s="11">
        <v>0</v>
      </c>
      <c r="D98" s="12">
        <v>1</v>
      </c>
      <c r="E98" s="11">
        <v>0</v>
      </c>
      <c r="F98" s="12">
        <v>128</v>
      </c>
      <c r="G98" s="11">
        <v>0</v>
      </c>
      <c r="H98" s="11">
        <v>3.9E-2</v>
      </c>
      <c r="I98" s="10">
        <v>28000</v>
      </c>
      <c r="J98" s="12" t="s">
        <v>307</v>
      </c>
      <c r="K98" s="12">
        <v>5</v>
      </c>
      <c r="L98" s="12" t="s">
        <v>308</v>
      </c>
      <c r="M98" s="10">
        <v>139632055866</v>
      </c>
      <c r="N98" s="10">
        <v>16261980</v>
      </c>
      <c r="O98" s="12">
        <v>87</v>
      </c>
    </row>
    <row r="99" spans="1:15" ht="27" x14ac:dyDescent="0.3">
      <c r="A99" s="9">
        <v>43585</v>
      </c>
      <c r="B99" s="12">
        <v>1</v>
      </c>
      <c r="C99" s="11">
        <v>0</v>
      </c>
      <c r="D99" s="12">
        <v>1</v>
      </c>
      <c r="E99" s="11">
        <v>0</v>
      </c>
      <c r="F99" s="12">
        <v>128</v>
      </c>
      <c r="G99" s="11">
        <v>0</v>
      </c>
      <c r="H99" s="11">
        <v>8.0000000000000002E-3</v>
      </c>
      <c r="I99" s="10">
        <v>6000</v>
      </c>
      <c r="J99" s="12" t="s">
        <v>309</v>
      </c>
      <c r="K99" s="12">
        <v>1</v>
      </c>
      <c r="L99" s="12" t="s">
        <v>310</v>
      </c>
      <c r="M99" s="10">
        <v>139632061866</v>
      </c>
      <c r="N99" s="10">
        <v>16261981</v>
      </c>
      <c r="O99" s="12">
        <v>114</v>
      </c>
    </row>
    <row r="100" spans="1:15" ht="27" x14ac:dyDescent="0.3">
      <c r="A100" s="9">
        <v>43586</v>
      </c>
      <c r="B100" s="12">
        <v>1</v>
      </c>
      <c r="C100" s="11">
        <v>0</v>
      </c>
      <c r="D100" s="12">
        <v>1</v>
      </c>
      <c r="E100" s="11">
        <v>0</v>
      </c>
      <c r="F100" s="12">
        <v>128</v>
      </c>
      <c r="G100" s="11">
        <v>0</v>
      </c>
      <c r="H100" s="11">
        <v>1.6E-2</v>
      </c>
      <c r="I100" s="10">
        <v>11650</v>
      </c>
      <c r="J100" s="12" t="s">
        <v>311</v>
      </c>
      <c r="K100" s="12">
        <v>2</v>
      </c>
      <c r="L100" s="12" t="s">
        <v>312</v>
      </c>
      <c r="M100" s="10">
        <v>139632073516</v>
      </c>
      <c r="N100" s="10">
        <v>16261983</v>
      </c>
      <c r="O100" s="12">
        <v>96</v>
      </c>
    </row>
    <row r="101" spans="1:15" ht="27" x14ac:dyDescent="0.3">
      <c r="A101" s="9">
        <v>43591</v>
      </c>
      <c r="B101" s="12">
        <v>1</v>
      </c>
      <c r="C101" s="11">
        <v>0</v>
      </c>
      <c r="D101" s="12">
        <v>1</v>
      </c>
      <c r="E101" s="11">
        <v>0</v>
      </c>
      <c r="F101" s="12">
        <v>128</v>
      </c>
      <c r="G101" s="11">
        <v>0</v>
      </c>
      <c r="H101" s="11">
        <v>5.5E-2</v>
      </c>
      <c r="I101" s="10">
        <v>40000</v>
      </c>
      <c r="J101" s="12" t="s">
        <v>313</v>
      </c>
      <c r="K101" s="12">
        <v>7</v>
      </c>
      <c r="L101" s="12" t="s">
        <v>314</v>
      </c>
      <c r="M101" s="10">
        <v>139632113516</v>
      </c>
      <c r="N101" s="10">
        <v>16261990</v>
      </c>
      <c r="O101" s="12">
        <v>74</v>
      </c>
    </row>
    <row r="102" spans="1:15" ht="27" x14ac:dyDescent="0.3">
      <c r="A102" s="9">
        <v>43592</v>
      </c>
      <c r="B102" s="12">
        <v>1</v>
      </c>
      <c r="C102" s="11">
        <v>0</v>
      </c>
      <c r="D102" s="12">
        <v>1</v>
      </c>
      <c r="E102" s="11">
        <v>0</v>
      </c>
      <c r="F102" s="12">
        <v>128</v>
      </c>
      <c r="G102" s="11">
        <v>0</v>
      </c>
      <c r="H102" s="11">
        <v>1.6E-2</v>
      </c>
      <c r="I102" s="10">
        <v>12000</v>
      </c>
      <c r="J102" s="12" t="s">
        <v>315</v>
      </c>
      <c r="K102" s="12">
        <v>2</v>
      </c>
      <c r="L102" s="12" t="s">
        <v>289</v>
      </c>
      <c r="M102" s="10">
        <v>139632125516</v>
      </c>
      <c r="N102" s="10">
        <v>16261992</v>
      </c>
      <c r="O102" s="12">
        <v>87</v>
      </c>
    </row>
    <row r="103" spans="1:15" ht="27" x14ac:dyDescent="0.3">
      <c r="A103" s="9">
        <v>43593</v>
      </c>
      <c r="B103" s="12">
        <v>2</v>
      </c>
      <c r="C103" s="11">
        <v>0</v>
      </c>
      <c r="D103" s="12">
        <v>2</v>
      </c>
      <c r="E103" s="11">
        <v>0</v>
      </c>
      <c r="F103" s="12">
        <v>288</v>
      </c>
      <c r="G103" s="11">
        <v>0</v>
      </c>
      <c r="H103" s="11">
        <v>0.56299999999999994</v>
      </c>
      <c r="I103" s="10">
        <v>1132000</v>
      </c>
      <c r="J103" s="12" t="s">
        <v>316</v>
      </c>
      <c r="K103" s="12">
        <v>162</v>
      </c>
      <c r="L103" s="12" t="s">
        <v>317</v>
      </c>
      <c r="M103" s="10">
        <v>139633257516</v>
      </c>
      <c r="N103" s="10">
        <v>16262154</v>
      </c>
      <c r="O103" s="12">
        <v>34</v>
      </c>
    </row>
    <row r="104" spans="1:15" ht="27" x14ac:dyDescent="0.3">
      <c r="A104" s="9">
        <v>43594</v>
      </c>
      <c r="B104" s="12">
        <v>2</v>
      </c>
      <c r="C104" s="11">
        <v>0</v>
      </c>
      <c r="D104" s="12">
        <v>2</v>
      </c>
      <c r="E104" s="11">
        <v>0</v>
      </c>
      <c r="F104" s="12">
        <v>162</v>
      </c>
      <c r="G104" s="11">
        <v>0</v>
      </c>
      <c r="H104" s="11">
        <v>0.216</v>
      </c>
      <c r="I104" s="10">
        <v>311000</v>
      </c>
      <c r="J104" s="12" t="s">
        <v>318</v>
      </c>
      <c r="K104" s="12">
        <v>35</v>
      </c>
      <c r="L104" s="12" t="s">
        <v>319</v>
      </c>
      <c r="M104" s="10">
        <v>139633568516</v>
      </c>
      <c r="N104" s="10">
        <v>16262189</v>
      </c>
      <c r="O104" s="12">
        <v>58</v>
      </c>
    </row>
    <row r="105" spans="1:15" ht="27" x14ac:dyDescent="0.3">
      <c r="A105" s="9">
        <v>43599</v>
      </c>
      <c r="B105" s="12">
        <v>1</v>
      </c>
      <c r="C105" s="11">
        <v>0</v>
      </c>
      <c r="D105" s="12">
        <v>1</v>
      </c>
      <c r="E105" s="11">
        <v>0</v>
      </c>
      <c r="F105" s="12">
        <v>105</v>
      </c>
      <c r="G105" s="11">
        <v>0</v>
      </c>
      <c r="H105" s="11">
        <v>1</v>
      </c>
      <c r="I105" s="10">
        <v>525000</v>
      </c>
      <c r="J105" s="12" t="s">
        <v>320</v>
      </c>
      <c r="K105" s="12">
        <v>105</v>
      </c>
      <c r="L105" s="12" t="s">
        <v>321</v>
      </c>
      <c r="M105" s="10">
        <v>139634093516</v>
      </c>
      <c r="N105" s="10">
        <v>16262294</v>
      </c>
      <c r="O105" s="12">
        <v>37</v>
      </c>
    </row>
    <row r="106" spans="1:15" ht="27" x14ac:dyDescent="0.3">
      <c r="A106" s="9">
        <v>43601</v>
      </c>
      <c r="B106" s="12">
        <v>1</v>
      </c>
      <c r="C106" s="11">
        <v>0</v>
      </c>
      <c r="D106" s="12">
        <v>1</v>
      </c>
      <c r="E106" s="11">
        <v>0</v>
      </c>
      <c r="F106" s="12">
        <v>105</v>
      </c>
      <c r="G106" s="11">
        <v>0</v>
      </c>
      <c r="H106" s="11">
        <v>1</v>
      </c>
      <c r="I106" s="10">
        <v>525000</v>
      </c>
      <c r="J106" s="12" t="s">
        <v>320</v>
      </c>
      <c r="K106" s="12">
        <v>105</v>
      </c>
      <c r="L106" s="12" t="s">
        <v>321</v>
      </c>
      <c r="M106" s="10">
        <v>139634618516</v>
      </c>
      <c r="N106" s="10">
        <v>16262399</v>
      </c>
      <c r="O106" s="12">
        <v>46</v>
      </c>
    </row>
    <row r="107" spans="1:15" ht="27" x14ac:dyDescent="0.3">
      <c r="A107" s="9">
        <v>43602</v>
      </c>
      <c r="B107" s="12">
        <v>1</v>
      </c>
      <c r="C107" s="11">
        <v>0</v>
      </c>
      <c r="D107" s="12">
        <v>1</v>
      </c>
      <c r="E107" s="11">
        <v>0</v>
      </c>
      <c r="F107" s="12">
        <v>162</v>
      </c>
      <c r="G107" s="11">
        <v>0</v>
      </c>
      <c r="H107" s="11">
        <v>1</v>
      </c>
      <c r="I107" s="10">
        <v>850000</v>
      </c>
      <c r="J107" s="12" t="s">
        <v>322</v>
      </c>
      <c r="K107" s="12">
        <v>162</v>
      </c>
      <c r="L107" s="12" t="s">
        <v>323</v>
      </c>
      <c r="M107" s="10">
        <v>139635468516</v>
      </c>
      <c r="N107" s="10">
        <v>16262561</v>
      </c>
      <c r="O107" s="12">
        <v>37</v>
      </c>
    </row>
    <row r="108" spans="1:15" ht="27" x14ac:dyDescent="0.3">
      <c r="A108" s="9">
        <v>43614</v>
      </c>
      <c r="B108" s="12">
        <v>2</v>
      </c>
      <c r="C108" s="11">
        <v>0</v>
      </c>
      <c r="D108" s="12">
        <v>2</v>
      </c>
      <c r="E108" s="11">
        <v>0</v>
      </c>
      <c r="F108" s="12">
        <v>388</v>
      </c>
      <c r="G108" s="11">
        <v>0</v>
      </c>
      <c r="H108" s="11">
        <v>0.68600000000000005</v>
      </c>
      <c r="I108" s="10">
        <v>1330000</v>
      </c>
      <c r="J108" s="12" t="s">
        <v>324</v>
      </c>
      <c r="K108" s="12">
        <v>266</v>
      </c>
      <c r="L108" s="12" t="s">
        <v>325</v>
      </c>
      <c r="M108" s="10">
        <v>139636798516</v>
      </c>
      <c r="N108" s="10">
        <v>16262827</v>
      </c>
      <c r="O108" s="12">
        <v>29</v>
      </c>
    </row>
    <row r="109" spans="1:15" ht="27" x14ac:dyDescent="0.3">
      <c r="A109" s="9">
        <v>43615</v>
      </c>
      <c r="B109" s="12">
        <v>2</v>
      </c>
      <c r="C109" s="11">
        <v>0</v>
      </c>
      <c r="D109" s="12">
        <v>2</v>
      </c>
      <c r="E109" s="11">
        <v>0</v>
      </c>
      <c r="F109" s="12">
        <v>388</v>
      </c>
      <c r="G109" s="11">
        <v>0</v>
      </c>
      <c r="H109" s="11">
        <v>0.63700000000000001</v>
      </c>
      <c r="I109" s="10">
        <v>1235000</v>
      </c>
      <c r="J109" s="12" t="s">
        <v>326</v>
      </c>
      <c r="K109" s="12">
        <v>247</v>
      </c>
      <c r="L109" s="12" t="s">
        <v>327</v>
      </c>
      <c r="M109" s="10">
        <v>139638033516</v>
      </c>
      <c r="N109" s="10">
        <v>16263074</v>
      </c>
      <c r="O109" s="12">
        <v>29</v>
      </c>
    </row>
    <row r="110" spans="1:15" ht="27" x14ac:dyDescent="0.3">
      <c r="A110" s="9">
        <v>43620</v>
      </c>
      <c r="B110" s="12">
        <v>1</v>
      </c>
      <c r="C110" s="11">
        <v>0</v>
      </c>
      <c r="D110" s="12">
        <v>1</v>
      </c>
      <c r="E110" s="11">
        <v>0</v>
      </c>
      <c r="F110" s="12">
        <v>414</v>
      </c>
      <c r="G110" s="11">
        <v>0</v>
      </c>
      <c r="H110" s="11">
        <v>9.7000000000000003E-2</v>
      </c>
      <c r="I110" s="10">
        <v>200000</v>
      </c>
      <c r="J110" s="12" t="s">
        <v>328</v>
      </c>
      <c r="K110" s="12">
        <v>40</v>
      </c>
      <c r="L110" s="12" t="s">
        <v>329</v>
      </c>
      <c r="M110" s="10">
        <v>139638233516</v>
      </c>
      <c r="N110" s="10">
        <v>16263114</v>
      </c>
      <c r="O110" s="12">
        <v>58</v>
      </c>
    </row>
    <row r="111" spans="1:15" ht="27" x14ac:dyDescent="0.3">
      <c r="A111" s="9">
        <v>43633</v>
      </c>
      <c r="B111" s="12">
        <v>2</v>
      </c>
      <c r="C111" s="11">
        <v>0</v>
      </c>
      <c r="D111" s="12">
        <v>2</v>
      </c>
      <c r="E111" s="11">
        <v>0</v>
      </c>
      <c r="F111" s="12">
        <v>101</v>
      </c>
      <c r="G111" s="11">
        <v>0</v>
      </c>
      <c r="H111" s="11">
        <v>0.85099999999999998</v>
      </c>
      <c r="I111" s="10">
        <v>430000</v>
      </c>
      <c r="J111" s="12" t="s">
        <v>330</v>
      </c>
      <c r="K111" s="12">
        <v>86</v>
      </c>
      <c r="L111" s="12" t="s">
        <v>331</v>
      </c>
      <c r="M111" s="10">
        <v>139638663516</v>
      </c>
      <c r="N111" s="10">
        <v>16263200</v>
      </c>
      <c r="O111" s="12">
        <v>43</v>
      </c>
    </row>
    <row r="112" spans="1:15" ht="27" x14ac:dyDescent="0.3">
      <c r="A112" s="9">
        <v>43641</v>
      </c>
      <c r="B112" s="12">
        <v>1</v>
      </c>
      <c r="C112" s="11">
        <v>0</v>
      </c>
      <c r="D112" s="12">
        <v>1</v>
      </c>
      <c r="E112" s="11">
        <v>0</v>
      </c>
      <c r="F112" s="12">
        <v>160</v>
      </c>
      <c r="G112" s="11">
        <v>0</v>
      </c>
      <c r="H112" s="11">
        <v>1</v>
      </c>
      <c r="I112" s="10">
        <v>1120000</v>
      </c>
      <c r="J112" s="12" t="s">
        <v>332</v>
      </c>
      <c r="K112" s="12">
        <v>160</v>
      </c>
      <c r="L112" s="12" t="s">
        <v>333</v>
      </c>
      <c r="M112" s="10">
        <v>139639783516</v>
      </c>
      <c r="N112" s="10">
        <v>16263360</v>
      </c>
      <c r="O112" s="12">
        <v>38</v>
      </c>
    </row>
    <row r="113" spans="1:15" ht="27" x14ac:dyDescent="0.3">
      <c r="A113" s="9">
        <v>43647</v>
      </c>
      <c r="B113" s="12">
        <v>1</v>
      </c>
      <c r="C113" s="11">
        <v>0</v>
      </c>
      <c r="D113" s="12">
        <v>1</v>
      </c>
      <c r="E113" s="11">
        <v>0</v>
      </c>
      <c r="F113" s="12">
        <v>104</v>
      </c>
      <c r="G113" s="11">
        <v>0</v>
      </c>
      <c r="H113" s="11">
        <v>1</v>
      </c>
      <c r="I113" s="10">
        <v>520000</v>
      </c>
      <c r="J113" s="12" t="s">
        <v>334</v>
      </c>
      <c r="K113" s="12">
        <v>104</v>
      </c>
      <c r="L113" s="12" t="s">
        <v>335</v>
      </c>
      <c r="M113" s="10">
        <v>139640303516</v>
      </c>
      <c r="N113" s="10">
        <v>16263464</v>
      </c>
      <c r="O113" s="12">
        <v>45</v>
      </c>
    </row>
    <row r="114" spans="1:15" ht="27" x14ac:dyDescent="0.3">
      <c r="A114" s="9">
        <v>43650</v>
      </c>
      <c r="B114" s="12">
        <v>1</v>
      </c>
      <c r="C114" s="11">
        <v>0</v>
      </c>
      <c r="D114" s="12">
        <v>1</v>
      </c>
      <c r="E114" s="11">
        <v>0</v>
      </c>
      <c r="F114" s="12">
        <v>76</v>
      </c>
      <c r="G114" s="11">
        <v>0</v>
      </c>
      <c r="H114" s="11">
        <v>0.80300000000000005</v>
      </c>
      <c r="I114" s="10">
        <v>366000</v>
      </c>
      <c r="J114" s="12" t="s">
        <v>336</v>
      </c>
      <c r="K114" s="12">
        <v>61</v>
      </c>
      <c r="L114" s="12" t="s">
        <v>337</v>
      </c>
      <c r="M114" s="10">
        <v>139640669516</v>
      </c>
      <c r="N114" s="10">
        <v>16263525</v>
      </c>
      <c r="O114" s="12">
        <v>51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D94D9-C550-4A00-9A7F-B237A125864E}">
  <dimension ref="A1:T80"/>
  <sheetViews>
    <sheetView topLeftCell="A34" workbookViewId="0">
      <selection activeCell="H80" sqref="H80"/>
    </sheetView>
  </sheetViews>
  <sheetFormatPr defaultRowHeight="16.5" x14ac:dyDescent="0.3"/>
  <sheetData>
    <row r="1" spans="1:20" ht="19.5" x14ac:dyDescent="0.3">
      <c r="A1" s="197" t="s">
        <v>338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20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20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20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  <c r="T4" t="e">
        <f>S</f>
        <v>#NAME?</v>
      </c>
    </row>
    <row r="5" spans="1:20" ht="27" x14ac:dyDescent="0.3">
      <c r="A5" s="9">
        <v>43470</v>
      </c>
      <c r="B5" s="12">
        <v>447</v>
      </c>
      <c r="C5" s="11">
        <v>5.8000000000000003E-2</v>
      </c>
      <c r="D5" s="12">
        <v>735</v>
      </c>
      <c r="E5" s="11">
        <v>3.7999999999999999E-2</v>
      </c>
      <c r="F5" s="10">
        <v>114264</v>
      </c>
      <c r="G5" s="11">
        <v>3.7999999999999999E-2</v>
      </c>
      <c r="H5" s="11">
        <v>0.375</v>
      </c>
      <c r="I5" s="10">
        <v>383652650</v>
      </c>
      <c r="J5" s="12" t="s">
        <v>339</v>
      </c>
      <c r="K5" s="10">
        <v>42874</v>
      </c>
      <c r="L5" s="12" t="s">
        <v>340</v>
      </c>
      <c r="M5" s="10">
        <v>738727150</v>
      </c>
      <c r="N5" s="10">
        <v>103895</v>
      </c>
      <c r="O5" s="12">
        <v>6</v>
      </c>
    </row>
    <row r="6" spans="1:20" ht="27" x14ac:dyDescent="0.3">
      <c r="A6" s="9">
        <v>43471</v>
      </c>
      <c r="B6" s="12">
        <v>449</v>
      </c>
      <c r="C6" s="11">
        <v>5.8000000000000003E-2</v>
      </c>
      <c r="D6" s="12">
        <v>734</v>
      </c>
      <c r="E6" s="11">
        <v>3.9E-2</v>
      </c>
      <c r="F6" s="10">
        <v>113101</v>
      </c>
      <c r="G6" s="11">
        <v>3.7999999999999999E-2</v>
      </c>
      <c r="H6" s="11">
        <v>0.42499999999999999</v>
      </c>
      <c r="I6" s="10">
        <v>433474450</v>
      </c>
      <c r="J6" s="12" t="s">
        <v>341</v>
      </c>
      <c r="K6" s="10">
        <v>48084</v>
      </c>
      <c r="L6" s="12" t="s">
        <v>342</v>
      </c>
      <c r="M6" s="10">
        <v>1172201600</v>
      </c>
      <c r="N6" s="10">
        <v>151979</v>
      </c>
      <c r="O6" s="12">
        <v>5</v>
      </c>
    </row>
    <row r="7" spans="1:20" ht="40.5" x14ac:dyDescent="0.3">
      <c r="A7" s="9">
        <v>43472</v>
      </c>
      <c r="B7" s="12">
        <v>35</v>
      </c>
      <c r="C7" s="11">
        <v>5.0000000000000001E-3</v>
      </c>
      <c r="D7" s="12">
        <v>35</v>
      </c>
      <c r="E7" s="11">
        <v>2E-3</v>
      </c>
      <c r="F7" s="10">
        <v>7860</v>
      </c>
      <c r="G7" s="11">
        <v>3.0000000000000001E-3</v>
      </c>
      <c r="H7" s="11">
        <v>0.91700000000000004</v>
      </c>
      <c r="I7" s="10">
        <v>58290000</v>
      </c>
      <c r="J7" s="12" t="s">
        <v>343</v>
      </c>
      <c r="K7" s="10">
        <v>7208</v>
      </c>
      <c r="L7" s="12" t="s">
        <v>344</v>
      </c>
      <c r="M7" s="10">
        <v>1230491600</v>
      </c>
      <c r="N7" s="10">
        <v>159187</v>
      </c>
      <c r="O7" s="12">
        <v>8</v>
      </c>
    </row>
    <row r="8" spans="1:20" ht="27" x14ac:dyDescent="0.3">
      <c r="A8" s="9">
        <v>43473</v>
      </c>
      <c r="B8" s="12">
        <v>18</v>
      </c>
      <c r="C8" s="11">
        <v>3.0000000000000001E-3</v>
      </c>
      <c r="D8" s="12">
        <v>18</v>
      </c>
      <c r="E8" s="11">
        <v>1E-3</v>
      </c>
      <c r="F8" s="10">
        <v>3509</v>
      </c>
      <c r="G8" s="11">
        <v>1E-3</v>
      </c>
      <c r="H8" s="11">
        <v>0.95</v>
      </c>
      <c r="I8" s="10">
        <v>16665000</v>
      </c>
      <c r="J8" s="12" t="s">
        <v>345</v>
      </c>
      <c r="K8" s="10">
        <v>3333</v>
      </c>
      <c r="L8" s="12" t="s">
        <v>346</v>
      </c>
      <c r="M8" s="10">
        <v>1247156600</v>
      </c>
      <c r="N8" s="10">
        <v>162520</v>
      </c>
      <c r="O8" s="12">
        <v>12</v>
      </c>
    </row>
    <row r="9" spans="1:20" ht="27" x14ac:dyDescent="0.3">
      <c r="A9" s="9">
        <v>43474</v>
      </c>
      <c r="B9" s="10">
        <v>1077</v>
      </c>
      <c r="C9" s="11">
        <v>0.17599999999999999</v>
      </c>
      <c r="D9" s="10">
        <v>4853</v>
      </c>
      <c r="E9" s="11">
        <v>0.27400000000000002</v>
      </c>
      <c r="F9" s="10">
        <v>913424</v>
      </c>
      <c r="G9" s="11">
        <v>0.32900000000000001</v>
      </c>
      <c r="H9" s="11">
        <v>0.13400000000000001</v>
      </c>
      <c r="I9" s="10">
        <v>984040250</v>
      </c>
      <c r="J9" s="12" t="s">
        <v>347</v>
      </c>
      <c r="K9" s="10">
        <v>122458</v>
      </c>
      <c r="L9" s="12" t="s">
        <v>348</v>
      </c>
      <c r="M9" s="10">
        <v>2231196850</v>
      </c>
      <c r="N9" s="10">
        <v>284978</v>
      </c>
      <c r="O9" s="12">
        <v>1</v>
      </c>
    </row>
    <row r="10" spans="1:20" ht="27" x14ac:dyDescent="0.3">
      <c r="A10" s="9">
        <v>43475</v>
      </c>
      <c r="B10" s="10">
        <v>1112</v>
      </c>
      <c r="C10" s="11">
        <v>0.16500000000000001</v>
      </c>
      <c r="D10" s="10">
        <v>4761</v>
      </c>
      <c r="E10" s="11">
        <v>0.26</v>
      </c>
      <c r="F10" s="10">
        <v>901486</v>
      </c>
      <c r="G10" s="11">
        <v>0.315</v>
      </c>
      <c r="H10" s="11">
        <v>0.127</v>
      </c>
      <c r="I10" s="10">
        <v>915333400</v>
      </c>
      <c r="J10" s="12" t="s">
        <v>349</v>
      </c>
      <c r="K10" s="10">
        <v>114367</v>
      </c>
      <c r="L10" s="12" t="s">
        <v>350</v>
      </c>
      <c r="M10" s="10">
        <v>3146530250</v>
      </c>
      <c r="N10" s="10">
        <v>399345</v>
      </c>
      <c r="O10" s="12">
        <v>1</v>
      </c>
    </row>
    <row r="11" spans="1:20" ht="27" x14ac:dyDescent="0.3">
      <c r="A11" s="9">
        <v>43476</v>
      </c>
      <c r="B11" s="10">
        <v>1128</v>
      </c>
      <c r="C11" s="11">
        <v>0.16500000000000001</v>
      </c>
      <c r="D11" s="10">
        <v>4932</v>
      </c>
      <c r="E11" s="11">
        <v>0.26300000000000001</v>
      </c>
      <c r="F11" s="10">
        <v>936743</v>
      </c>
      <c r="G11" s="11">
        <v>0.32</v>
      </c>
      <c r="H11" s="11">
        <v>0.14799999999999999</v>
      </c>
      <c r="I11" s="10">
        <v>1218285077</v>
      </c>
      <c r="J11" s="12" t="s">
        <v>351</v>
      </c>
      <c r="K11" s="10">
        <v>138509</v>
      </c>
      <c r="L11" s="12" t="s">
        <v>352</v>
      </c>
      <c r="M11" s="10">
        <v>4364815327</v>
      </c>
      <c r="N11" s="10">
        <v>537854</v>
      </c>
      <c r="O11" s="12">
        <v>1</v>
      </c>
    </row>
    <row r="12" spans="1:20" ht="40.5" x14ac:dyDescent="0.3">
      <c r="A12" s="9">
        <v>43477</v>
      </c>
      <c r="B12" s="10">
        <v>1203</v>
      </c>
      <c r="C12" s="11">
        <v>0.17100000000000001</v>
      </c>
      <c r="D12" s="10">
        <v>5132</v>
      </c>
      <c r="E12" s="11">
        <v>0.26100000000000001</v>
      </c>
      <c r="F12" s="10">
        <v>959415</v>
      </c>
      <c r="G12" s="11">
        <v>0.313</v>
      </c>
      <c r="H12" s="11">
        <v>0.33600000000000002</v>
      </c>
      <c r="I12" s="10">
        <v>2851905264</v>
      </c>
      <c r="J12" s="12" t="s">
        <v>353</v>
      </c>
      <c r="K12" s="10">
        <v>322741</v>
      </c>
      <c r="L12" s="12" t="s">
        <v>354</v>
      </c>
      <c r="M12" s="10">
        <v>7216720591</v>
      </c>
      <c r="N12" s="10">
        <v>860595</v>
      </c>
      <c r="O12" s="12">
        <v>1</v>
      </c>
    </row>
    <row r="13" spans="1:20" ht="27" x14ac:dyDescent="0.3">
      <c r="A13" s="9">
        <v>43478</v>
      </c>
      <c r="B13" s="10">
        <v>1202</v>
      </c>
      <c r="C13" s="11">
        <v>0.17299999999999999</v>
      </c>
      <c r="D13" s="10">
        <v>5007</v>
      </c>
      <c r="E13" s="11">
        <v>0.26100000000000001</v>
      </c>
      <c r="F13" s="10">
        <v>936464</v>
      </c>
      <c r="G13" s="11">
        <v>0.313</v>
      </c>
      <c r="H13" s="11">
        <v>0.34599999999999997</v>
      </c>
      <c r="I13" s="10">
        <v>2850305040</v>
      </c>
      <c r="J13" s="12" t="s">
        <v>355</v>
      </c>
      <c r="K13" s="10">
        <v>324324</v>
      </c>
      <c r="L13" s="12" t="s">
        <v>356</v>
      </c>
      <c r="M13" s="10">
        <v>10067025631</v>
      </c>
      <c r="N13" s="10">
        <v>1184919</v>
      </c>
      <c r="O13" s="12">
        <v>1</v>
      </c>
    </row>
    <row r="14" spans="1:20" ht="54" x14ac:dyDescent="0.3">
      <c r="A14" s="9">
        <v>43479</v>
      </c>
      <c r="B14" s="10">
        <v>1106</v>
      </c>
      <c r="C14" s="11">
        <v>0.17299999999999999</v>
      </c>
      <c r="D14" s="10">
        <v>4766</v>
      </c>
      <c r="E14" s="11">
        <v>0.26900000000000002</v>
      </c>
      <c r="F14" s="10">
        <v>895330</v>
      </c>
      <c r="G14" s="11">
        <v>0.32</v>
      </c>
      <c r="H14" s="11">
        <v>0.125</v>
      </c>
      <c r="I14" s="10">
        <v>897802890</v>
      </c>
      <c r="J14" s="12" t="s">
        <v>357</v>
      </c>
      <c r="K14" s="10">
        <v>112027</v>
      </c>
      <c r="L14" s="12" t="s">
        <v>358</v>
      </c>
      <c r="M14" s="10">
        <v>10964828521</v>
      </c>
      <c r="N14" s="10">
        <v>1296946</v>
      </c>
      <c r="O14" s="12">
        <v>1</v>
      </c>
    </row>
    <row r="15" spans="1:20" ht="27" x14ac:dyDescent="0.3">
      <c r="A15" s="9">
        <v>43480</v>
      </c>
      <c r="B15" s="10">
        <v>1116</v>
      </c>
      <c r="C15" s="11">
        <v>0.17</v>
      </c>
      <c r="D15" s="10">
        <v>4783</v>
      </c>
      <c r="E15" s="11">
        <v>0.26900000000000002</v>
      </c>
      <c r="F15" s="10">
        <v>893140</v>
      </c>
      <c r="G15" s="11">
        <v>0.31900000000000001</v>
      </c>
      <c r="H15" s="11">
        <v>0.125</v>
      </c>
      <c r="I15" s="10">
        <v>888051170</v>
      </c>
      <c r="J15" s="12" t="s">
        <v>359</v>
      </c>
      <c r="K15" s="10">
        <v>111887</v>
      </c>
      <c r="L15" s="12" t="s">
        <v>360</v>
      </c>
      <c r="M15" s="10">
        <v>11852879691</v>
      </c>
      <c r="N15" s="10">
        <v>1408833</v>
      </c>
      <c r="O15" s="12">
        <v>1</v>
      </c>
    </row>
    <row r="16" spans="1:20" ht="27" x14ac:dyDescent="0.3">
      <c r="A16" s="9">
        <v>43481</v>
      </c>
      <c r="B16" s="10">
        <v>1015</v>
      </c>
      <c r="C16" s="11">
        <v>0.14299999999999999</v>
      </c>
      <c r="D16" s="10">
        <v>3993</v>
      </c>
      <c r="E16" s="11">
        <v>0.22</v>
      </c>
      <c r="F16" s="10">
        <v>768300</v>
      </c>
      <c r="G16" s="11">
        <v>0.27</v>
      </c>
      <c r="H16" s="11">
        <v>0.14000000000000001</v>
      </c>
      <c r="I16" s="10">
        <v>845121470</v>
      </c>
      <c r="J16" s="12" t="s">
        <v>361</v>
      </c>
      <c r="K16" s="10">
        <v>107579</v>
      </c>
      <c r="L16" s="12" t="s">
        <v>362</v>
      </c>
      <c r="M16" s="10">
        <v>12698001161</v>
      </c>
      <c r="N16" s="10">
        <v>1516412</v>
      </c>
      <c r="O16" s="12">
        <v>1</v>
      </c>
    </row>
    <row r="17" spans="1:15" ht="40.5" x14ac:dyDescent="0.3">
      <c r="A17" s="9">
        <v>43482</v>
      </c>
      <c r="B17" s="12">
        <v>965</v>
      </c>
      <c r="C17" s="11">
        <v>0.13200000000000001</v>
      </c>
      <c r="D17" s="10">
        <v>3403</v>
      </c>
      <c r="E17" s="11">
        <v>0.187</v>
      </c>
      <c r="F17" s="10">
        <v>623046</v>
      </c>
      <c r="G17" s="11">
        <v>0.218</v>
      </c>
      <c r="H17" s="11">
        <v>0.14499999999999999</v>
      </c>
      <c r="I17" s="10">
        <v>719737710</v>
      </c>
      <c r="J17" s="12" t="s">
        <v>363</v>
      </c>
      <c r="K17" s="10">
        <v>90529</v>
      </c>
      <c r="L17" s="12" t="s">
        <v>364</v>
      </c>
      <c r="M17" s="10">
        <v>13417738871</v>
      </c>
      <c r="N17" s="10">
        <v>1606941</v>
      </c>
      <c r="O17" s="12">
        <v>1</v>
      </c>
    </row>
    <row r="18" spans="1:15" ht="27" x14ac:dyDescent="0.3">
      <c r="A18" s="9">
        <v>43483</v>
      </c>
      <c r="B18" s="10">
        <v>1021</v>
      </c>
      <c r="C18" s="11">
        <v>0.13900000000000001</v>
      </c>
      <c r="D18" s="10">
        <v>3749</v>
      </c>
      <c r="E18" s="11">
        <v>0.20300000000000001</v>
      </c>
      <c r="F18" s="10">
        <v>686534</v>
      </c>
      <c r="G18" s="11">
        <v>0.23799999999999999</v>
      </c>
      <c r="H18" s="11">
        <v>0.158</v>
      </c>
      <c r="I18" s="10">
        <v>952212478</v>
      </c>
      <c r="J18" s="12" t="s">
        <v>365</v>
      </c>
      <c r="K18" s="10">
        <v>108567</v>
      </c>
      <c r="L18" s="12" t="s">
        <v>366</v>
      </c>
      <c r="M18" s="10">
        <v>14369951349</v>
      </c>
      <c r="N18" s="10">
        <v>1715508</v>
      </c>
      <c r="O18" s="12">
        <v>1</v>
      </c>
    </row>
    <row r="19" spans="1:15" ht="40.5" x14ac:dyDescent="0.3">
      <c r="A19" s="9">
        <v>43484</v>
      </c>
      <c r="B19" s="10">
        <v>1135</v>
      </c>
      <c r="C19" s="11">
        <v>0.14599999999999999</v>
      </c>
      <c r="D19" s="10">
        <v>4305</v>
      </c>
      <c r="E19" s="11">
        <v>0.221</v>
      </c>
      <c r="F19" s="10">
        <v>786209</v>
      </c>
      <c r="G19" s="11">
        <v>0.26100000000000001</v>
      </c>
      <c r="H19" s="11">
        <v>0.33100000000000002</v>
      </c>
      <c r="I19" s="10">
        <v>2279623114</v>
      </c>
      <c r="J19" s="12" t="s">
        <v>367</v>
      </c>
      <c r="K19" s="10">
        <v>259951</v>
      </c>
      <c r="L19" s="12" t="s">
        <v>368</v>
      </c>
      <c r="M19" s="10">
        <v>16649574463</v>
      </c>
      <c r="N19" s="10">
        <v>1975459</v>
      </c>
      <c r="O19" s="12">
        <v>1</v>
      </c>
    </row>
    <row r="20" spans="1:15" ht="40.5" x14ac:dyDescent="0.3">
      <c r="A20" s="9">
        <v>43485</v>
      </c>
      <c r="B20" s="10">
        <v>1137</v>
      </c>
      <c r="C20" s="11">
        <v>0.14799999999999999</v>
      </c>
      <c r="D20" s="10">
        <v>4279</v>
      </c>
      <c r="E20" s="11">
        <v>0.22600000000000001</v>
      </c>
      <c r="F20" s="10">
        <v>781045</v>
      </c>
      <c r="G20" s="11">
        <v>0.26600000000000001</v>
      </c>
      <c r="H20" s="11">
        <v>0.31900000000000001</v>
      </c>
      <c r="I20" s="10">
        <v>2167597280</v>
      </c>
      <c r="J20" s="12" t="s">
        <v>369</v>
      </c>
      <c r="K20" s="10">
        <v>249109</v>
      </c>
      <c r="L20" s="12" t="s">
        <v>370</v>
      </c>
      <c r="M20" s="10">
        <v>18817171743</v>
      </c>
      <c r="N20" s="10">
        <v>2224568</v>
      </c>
      <c r="O20" s="12">
        <v>1</v>
      </c>
    </row>
    <row r="21" spans="1:15" ht="54" x14ac:dyDescent="0.3">
      <c r="A21" s="9">
        <v>43486</v>
      </c>
      <c r="B21" s="10">
        <v>1046</v>
      </c>
      <c r="C21" s="11">
        <v>0.151</v>
      </c>
      <c r="D21" s="10">
        <v>4038</v>
      </c>
      <c r="E21" s="11">
        <v>0.23200000000000001</v>
      </c>
      <c r="F21" s="10">
        <v>747684</v>
      </c>
      <c r="G21" s="11">
        <v>0.27400000000000002</v>
      </c>
      <c r="H21" s="11">
        <v>0.11</v>
      </c>
      <c r="I21" s="10">
        <v>648894960</v>
      </c>
      <c r="J21" s="12" t="s">
        <v>371</v>
      </c>
      <c r="K21" s="10">
        <v>82069</v>
      </c>
      <c r="L21" s="12" t="s">
        <v>372</v>
      </c>
      <c r="M21" s="10">
        <v>19466066703</v>
      </c>
      <c r="N21" s="10">
        <v>2306637</v>
      </c>
      <c r="O21" s="12">
        <v>1</v>
      </c>
    </row>
    <row r="22" spans="1:15" ht="27" x14ac:dyDescent="0.3">
      <c r="A22" s="9">
        <v>43487</v>
      </c>
      <c r="B22" s="10">
        <v>1081</v>
      </c>
      <c r="C22" s="11">
        <v>0.151</v>
      </c>
      <c r="D22" s="10">
        <v>4012</v>
      </c>
      <c r="E22" s="11">
        <v>0.23</v>
      </c>
      <c r="F22" s="10">
        <v>741291</v>
      </c>
      <c r="G22" s="11">
        <v>0.27200000000000002</v>
      </c>
      <c r="H22" s="11">
        <v>0.10199999999999999</v>
      </c>
      <c r="I22" s="10">
        <v>592247980</v>
      </c>
      <c r="J22" s="12" t="s">
        <v>373</v>
      </c>
      <c r="K22" s="10">
        <v>75518</v>
      </c>
      <c r="L22" s="12" t="s">
        <v>374</v>
      </c>
      <c r="M22" s="10">
        <v>20058314683</v>
      </c>
      <c r="N22" s="10">
        <v>2382155</v>
      </c>
      <c r="O22" s="12">
        <v>1</v>
      </c>
    </row>
    <row r="23" spans="1:15" ht="40.5" x14ac:dyDescent="0.3">
      <c r="A23" s="9">
        <v>43488</v>
      </c>
      <c r="B23" s="12">
        <v>807</v>
      </c>
      <c r="C23" s="11">
        <v>0.13200000000000001</v>
      </c>
      <c r="D23" s="10">
        <v>2837</v>
      </c>
      <c r="E23" s="11">
        <v>0.154</v>
      </c>
      <c r="F23" s="10">
        <v>417406</v>
      </c>
      <c r="G23" s="11">
        <v>0.14299999999999999</v>
      </c>
      <c r="H23" s="11">
        <v>0.113</v>
      </c>
      <c r="I23" s="10">
        <v>367555780</v>
      </c>
      <c r="J23" s="12" t="s">
        <v>375</v>
      </c>
      <c r="K23" s="10">
        <v>47177</v>
      </c>
      <c r="L23" s="12" t="s">
        <v>376</v>
      </c>
      <c r="M23" s="10">
        <v>20425870463</v>
      </c>
      <c r="N23" s="10">
        <v>2429332</v>
      </c>
      <c r="O23" s="12">
        <v>2</v>
      </c>
    </row>
    <row r="24" spans="1:15" ht="27" x14ac:dyDescent="0.3">
      <c r="A24" s="9">
        <v>43489</v>
      </c>
      <c r="B24" s="12">
        <v>827</v>
      </c>
      <c r="C24" s="11">
        <v>0.13100000000000001</v>
      </c>
      <c r="D24" s="10">
        <v>2702</v>
      </c>
      <c r="E24" s="11">
        <v>0.14699999999999999</v>
      </c>
      <c r="F24" s="10">
        <v>393926</v>
      </c>
      <c r="G24" s="11">
        <v>0.13500000000000001</v>
      </c>
      <c r="H24" s="11">
        <v>0.10299999999999999</v>
      </c>
      <c r="I24" s="10">
        <v>313423900</v>
      </c>
      <c r="J24" s="12" t="s">
        <v>377</v>
      </c>
      <c r="K24" s="10">
        <v>40419</v>
      </c>
      <c r="L24" s="12" t="s">
        <v>378</v>
      </c>
      <c r="M24" s="10">
        <v>20739294363</v>
      </c>
      <c r="N24" s="10">
        <v>2469751</v>
      </c>
      <c r="O24" s="12">
        <v>2</v>
      </c>
    </row>
    <row r="25" spans="1:15" ht="27" x14ac:dyDescent="0.3">
      <c r="A25" s="9">
        <v>43490</v>
      </c>
      <c r="B25" s="12">
        <v>826</v>
      </c>
      <c r="C25" s="11">
        <v>0.13100000000000001</v>
      </c>
      <c r="D25" s="10">
        <v>2716</v>
      </c>
      <c r="E25" s="11">
        <v>0.14399999999999999</v>
      </c>
      <c r="F25" s="10">
        <v>392291</v>
      </c>
      <c r="G25" s="11">
        <v>0.13200000000000001</v>
      </c>
      <c r="H25" s="11">
        <v>9.9000000000000005E-2</v>
      </c>
      <c r="I25" s="10">
        <v>329164678</v>
      </c>
      <c r="J25" s="12" t="s">
        <v>379</v>
      </c>
      <c r="K25" s="10">
        <v>38664</v>
      </c>
      <c r="L25" s="12" t="s">
        <v>380</v>
      </c>
      <c r="M25" s="10">
        <v>21068459041</v>
      </c>
      <c r="N25" s="10">
        <v>2508415</v>
      </c>
      <c r="O25" s="12">
        <v>2</v>
      </c>
    </row>
    <row r="26" spans="1:15" ht="27" x14ac:dyDescent="0.3">
      <c r="A26" s="9">
        <v>43491</v>
      </c>
      <c r="B26" s="12">
        <v>810</v>
      </c>
      <c r="C26" s="11">
        <v>0.123</v>
      </c>
      <c r="D26" s="10">
        <v>2562</v>
      </c>
      <c r="E26" s="11">
        <v>0.129</v>
      </c>
      <c r="F26" s="10">
        <v>350278</v>
      </c>
      <c r="G26" s="11">
        <v>0.113</v>
      </c>
      <c r="H26" s="11">
        <v>0.22900000000000001</v>
      </c>
      <c r="I26" s="10">
        <v>691611042</v>
      </c>
      <c r="J26" s="12" t="s">
        <v>381</v>
      </c>
      <c r="K26" s="10">
        <v>80123</v>
      </c>
      <c r="L26" s="12" t="s">
        <v>382</v>
      </c>
      <c r="M26" s="10">
        <v>21760070083</v>
      </c>
      <c r="N26" s="10">
        <v>2588538</v>
      </c>
      <c r="O26" s="12">
        <v>3</v>
      </c>
    </row>
    <row r="27" spans="1:15" ht="27" x14ac:dyDescent="0.3">
      <c r="A27" s="9">
        <v>43492</v>
      </c>
      <c r="B27" s="12">
        <v>783</v>
      </c>
      <c r="C27" s="11">
        <v>0.12</v>
      </c>
      <c r="D27" s="10">
        <v>2384</v>
      </c>
      <c r="E27" s="11">
        <v>0.123</v>
      </c>
      <c r="F27" s="10">
        <v>324666</v>
      </c>
      <c r="G27" s="11">
        <v>0.107</v>
      </c>
      <c r="H27" s="11">
        <v>0.21299999999999999</v>
      </c>
      <c r="I27" s="10">
        <v>591831080</v>
      </c>
      <c r="J27" s="12" t="s">
        <v>383</v>
      </c>
      <c r="K27" s="10">
        <v>69004</v>
      </c>
      <c r="L27" s="12" t="s">
        <v>384</v>
      </c>
      <c r="M27" s="10">
        <v>22351901163</v>
      </c>
      <c r="N27" s="10">
        <v>2657542</v>
      </c>
      <c r="O27" s="12">
        <v>3</v>
      </c>
    </row>
    <row r="28" spans="1:15" ht="40.5" x14ac:dyDescent="0.3">
      <c r="A28" s="9">
        <v>43493</v>
      </c>
      <c r="B28" s="12">
        <v>760</v>
      </c>
      <c r="C28" s="11">
        <v>0.129</v>
      </c>
      <c r="D28" s="10">
        <v>2295</v>
      </c>
      <c r="E28" s="11">
        <v>0.127</v>
      </c>
      <c r="F28" s="10">
        <v>317453</v>
      </c>
      <c r="G28" s="11">
        <v>0.111</v>
      </c>
      <c r="H28" s="11">
        <v>7.5999999999999998E-2</v>
      </c>
      <c r="I28" s="10">
        <v>185643950</v>
      </c>
      <c r="J28" s="12" t="s">
        <v>385</v>
      </c>
      <c r="K28" s="10">
        <v>24255</v>
      </c>
      <c r="L28" s="12" t="s">
        <v>386</v>
      </c>
      <c r="M28" s="10">
        <v>22537545113</v>
      </c>
      <c r="N28" s="10">
        <v>2681797</v>
      </c>
      <c r="O28" s="12">
        <v>3</v>
      </c>
    </row>
    <row r="29" spans="1:15" ht="27" x14ac:dyDescent="0.3">
      <c r="A29" s="9">
        <v>43494</v>
      </c>
      <c r="B29" s="12">
        <v>783</v>
      </c>
      <c r="C29" s="11">
        <v>0.128</v>
      </c>
      <c r="D29" s="10">
        <v>2302</v>
      </c>
      <c r="E29" s="11">
        <v>0.125</v>
      </c>
      <c r="F29" s="10">
        <v>314370</v>
      </c>
      <c r="G29" s="11">
        <v>0.109</v>
      </c>
      <c r="H29" s="11">
        <v>0.08</v>
      </c>
      <c r="I29" s="10">
        <v>188179030</v>
      </c>
      <c r="J29" s="12" t="s">
        <v>387</v>
      </c>
      <c r="K29" s="10">
        <v>25202</v>
      </c>
      <c r="L29" s="12" t="s">
        <v>388</v>
      </c>
      <c r="M29" s="10">
        <v>22725724143</v>
      </c>
      <c r="N29" s="10">
        <v>2706999</v>
      </c>
      <c r="O29" s="12">
        <v>3</v>
      </c>
    </row>
    <row r="30" spans="1:15" ht="27" x14ac:dyDescent="0.3">
      <c r="A30" s="9">
        <v>43495</v>
      </c>
      <c r="B30" s="12">
        <v>391</v>
      </c>
      <c r="C30" s="11">
        <v>7.4999999999999997E-2</v>
      </c>
      <c r="D30" s="12">
        <v>818</v>
      </c>
      <c r="E30" s="11">
        <v>4.2999999999999997E-2</v>
      </c>
      <c r="F30" s="10">
        <v>98453</v>
      </c>
      <c r="G30" s="11">
        <v>3.3000000000000002E-2</v>
      </c>
      <c r="H30" s="11">
        <v>0.215</v>
      </c>
      <c r="I30" s="10">
        <v>121453510</v>
      </c>
      <c r="J30" s="12" t="s">
        <v>389</v>
      </c>
      <c r="K30" s="10">
        <v>21211</v>
      </c>
      <c r="L30" s="12" t="s">
        <v>390</v>
      </c>
      <c r="M30" s="10">
        <v>22847177653</v>
      </c>
      <c r="N30" s="10">
        <v>2728210</v>
      </c>
      <c r="O30" s="12">
        <v>4</v>
      </c>
    </row>
    <row r="31" spans="1:15" ht="27" x14ac:dyDescent="0.3">
      <c r="A31" s="9">
        <v>43496</v>
      </c>
      <c r="B31" s="12">
        <v>338</v>
      </c>
      <c r="C31" s="11">
        <v>6.2E-2</v>
      </c>
      <c r="D31" s="12">
        <v>688</v>
      </c>
      <c r="E31" s="11">
        <v>3.5000000000000003E-2</v>
      </c>
      <c r="F31" s="10">
        <v>80557</v>
      </c>
      <c r="G31" s="11">
        <v>2.5999999999999999E-2</v>
      </c>
      <c r="H31" s="11">
        <v>0.123</v>
      </c>
      <c r="I31" s="10">
        <v>71817810</v>
      </c>
      <c r="J31" s="12" t="s">
        <v>391</v>
      </c>
      <c r="K31" s="10">
        <v>9897</v>
      </c>
      <c r="L31" s="12" t="s">
        <v>392</v>
      </c>
      <c r="M31" s="10">
        <v>22918995463</v>
      </c>
      <c r="N31" s="10">
        <v>2738107</v>
      </c>
      <c r="O31" s="12">
        <v>6</v>
      </c>
    </row>
    <row r="32" spans="1:15" ht="27" x14ac:dyDescent="0.3">
      <c r="A32" s="9">
        <v>43497</v>
      </c>
      <c r="B32" s="12">
        <v>318</v>
      </c>
      <c r="C32" s="11">
        <v>5.8999999999999997E-2</v>
      </c>
      <c r="D32" s="12">
        <v>645</v>
      </c>
      <c r="E32" s="11">
        <v>3.2000000000000001E-2</v>
      </c>
      <c r="F32" s="10">
        <v>74333</v>
      </c>
      <c r="G32" s="11">
        <v>2.4E-2</v>
      </c>
      <c r="H32" s="11">
        <v>0.14299999999999999</v>
      </c>
      <c r="I32" s="10">
        <v>83062122</v>
      </c>
      <c r="J32" s="12" t="s">
        <v>393</v>
      </c>
      <c r="K32" s="10">
        <v>10617</v>
      </c>
      <c r="L32" s="12" t="s">
        <v>394</v>
      </c>
      <c r="M32" s="10">
        <v>23002057585</v>
      </c>
      <c r="N32" s="10">
        <v>2748724</v>
      </c>
      <c r="O32" s="12">
        <v>6</v>
      </c>
    </row>
    <row r="33" spans="1:15" ht="27" x14ac:dyDescent="0.3">
      <c r="A33" s="9">
        <v>43498</v>
      </c>
      <c r="B33" s="12">
        <v>281</v>
      </c>
      <c r="C33" s="11">
        <v>4.9000000000000002E-2</v>
      </c>
      <c r="D33" s="12">
        <v>531</v>
      </c>
      <c r="E33" s="11">
        <v>2.5000000000000001E-2</v>
      </c>
      <c r="F33" s="10">
        <v>61150</v>
      </c>
      <c r="G33" s="11">
        <v>1.9E-2</v>
      </c>
      <c r="H33" s="11">
        <v>0.26300000000000001</v>
      </c>
      <c r="I33" s="10">
        <v>133440445</v>
      </c>
      <c r="J33" s="12" t="s">
        <v>395</v>
      </c>
      <c r="K33" s="10">
        <v>16107</v>
      </c>
      <c r="L33" s="12" t="s">
        <v>396</v>
      </c>
      <c r="M33" s="10">
        <v>23135498030</v>
      </c>
      <c r="N33" s="10">
        <v>2764831</v>
      </c>
      <c r="O33" s="12">
        <v>5</v>
      </c>
    </row>
    <row r="34" spans="1:15" ht="27" x14ac:dyDescent="0.3">
      <c r="A34" s="9">
        <v>43499</v>
      </c>
      <c r="B34" s="12">
        <v>286</v>
      </c>
      <c r="C34" s="11">
        <v>0.05</v>
      </c>
      <c r="D34" s="12">
        <v>525</v>
      </c>
      <c r="E34" s="11">
        <v>2.5000000000000001E-2</v>
      </c>
      <c r="F34" s="10">
        <v>60574</v>
      </c>
      <c r="G34" s="11">
        <v>1.9E-2</v>
      </c>
      <c r="H34" s="11">
        <v>0.309</v>
      </c>
      <c r="I34" s="10">
        <v>158192230</v>
      </c>
      <c r="J34" s="12" t="s">
        <v>397</v>
      </c>
      <c r="K34" s="10">
        <v>18715</v>
      </c>
      <c r="L34" s="12" t="s">
        <v>398</v>
      </c>
      <c r="M34" s="10">
        <v>23293690260</v>
      </c>
      <c r="N34" s="10">
        <v>2783546</v>
      </c>
      <c r="O34" s="12">
        <v>5</v>
      </c>
    </row>
    <row r="35" spans="1:15" ht="27" x14ac:dyDescent="0.3">
      <c r="A35" s="9">
        <v>43500</v>
      </c>
      <c r="B35" s="12">
        <v>281</v>
      </c>
      <c r="C35" s="11">
        <v>0.05</v>
      </c>
      <c r="D35" s="12">
        <v>511</v>
      </c>
      <c r="E35" s="11">
        <v>2.5000000000000001E-2</v>
      </c>
      <c r="F35" s="10">
        <v>58860</v>
      </c>
      <c r="G35" s="11">
        <v>1.7999999999999999E-2</v>
      </c>
      <c r="H35" s="11">
        <v>0.32600000000000001</v>
      </c>
      <c r="I35" s="10">
        <v>164920690</v>
      </c>
      <c r="J35" s="12" t="s">
        <v>399</v>
      </c>
      <c r="K35" s="10">
        <v>19166</v>
      </c>
      <c r="L35" s="12" t="s">
        <v>400</v>
      </c>
      <c r="M35" s="10">
        <v>23458610950</v>
      </c>
      <c r="N35" s="10">
        <v>2802712</v>
      </c>
      <c r="O35" s="12">
        <v>5</v>
      </c>
    </row>
    <row r="36" spans="1:15" ht="27" x14ac:dyDescent="0.3">
      <c r="A36" s="9">
        <v>43501</v>
      </c>
      <c r="B36" s="12">
        <v>179</v>
      </c>
      <c r="C36" s="11">
        <v>3.2000000000000001E-2</v>
      </c>
      <c r="D36" s="12">
        <v>313</v>
      </c>
      <c r="E36" s="11">
        <v>1.4999999999999999E-2</v>
      </c>
      <c r="F36" s="10">
        <v>36767</v>
      </c>
      <c r="G36" s="11">
        <v>1.0999999999999999E-2</v>
      </c>
      <c r="H36" s="11">
        <v>0.39100000000000001</v>
      </c>
      <c r="I36" s="10">
        <v>130901580</v>
      </c>
      <c r="J36" s="12" t="s">
        <v>401</v>
      </c>
      <c r="K36" s="10">
        <v>14371</v>
      </c>
      <c r="L36" s="12" t="s">
        <v>402</v>
      </c>
      <c r="M36" s="10">
        <v>23589512530</v>
      </c>
      <c r="N36" s="10">
        <v>2817083</v>
      </c>
      <c r="O36" s="12">
        <v>6</v>
      </c>
    </row>
    <row r="37" spans="1:15" ht="27" x14ac:dyDescent="0.3">
      <c r="A37" s="9">
        <v>43502</v>
      </c>
      <c r="B37" s="12">
        <v>177</v>
      </c>
      <c r="C37" s="11">
        <v>2.9000000000000001E-2</v>
      </c>
      <c r="D37" s="12">
        <v>286</v>
      </c>
      <c r="E37" s="11">
        <v>1.4E-2</v>
      </c>
      <c r="F37" s="10">
        <v>34462</v>
      </c>
      <c r="G37" s="11">
        <v>1.0999999999999999E-2</v>
      </c>
      <c r="H37" s="11">
        <v>0.35499999999999998</v>
      </c>
      <c r="I37" s="10">
        <v>107285750</v>
      </c>
      <c r="J37" s="12" t="s">
        <v>403</v>
      </c>
      <c r="K37" s="10">
        <v>12231</v>
      </c>
      <c r="L37" s="12" t="s">
        <v>404</v>
      </c>
      <c r="M37" s="10">
        <v>23696798280</v>
      </c>
      <c r="N37" s="10">
        <v>2829314</v>
      </c>
      <c r="O37" s="12">
        <v>7</v>
      </c>
    </row>
    <row r="38" spans="1:15" ht="27" x14ac:dyDescent="0.3">
      <c r="A38" s="9">
        <v>43503</v>
      </c>
      <c r="B38" s="12">
        <v>147</v>
      </c>
      <c r="C38" s="11">
        <v>2.5000000000000001E-2</v>
      </c>
      <c r="D38" s="12">
        <v>252</v>
      </c>
      <c r="E38" s="11">
        <v>1.2999999999999999E-2</v>
      </c>
      <c r="F38" s="10">
        <v>29909</v>
      </c>
      <c r="G38" s="11">
        <v>0.01</v>
      </c>
      <c r="H38" s="11">
        <v>0.114</v>
      </c>
      <c r="I38" s="10">
        <v>26956900</v>
      </c>
      <c r="J38" s="12" t="s">
        <v>405</v>
      </c>
      <c r="K38" s="10">
        <v>3419</v>
      </c>
      <c r="L38" s="12" t="s">
        <v>406</v>
      </c>
      <c r="M38" s="10">
        <v>23723755180</v>
      </c>
      <c r="N38" s="10">
        <v>2832733</v>
      </c>
      <c r="O38" s="12">
        <v>8</v>
      </c>
    </row>
    <row r="39" spans="1:15" ht="27" x14ac:dyDescent="0.3">
      <c r="A39" s="9">
        <v>43504</v>
      </c>
      <c r="B39" s="12">
        <v>151</v>
      </c>
      <c r="C39" s="11">
        <v>2.5999999999999999E-2</v>
      </c>
      <c r="D39" s="12">
        <v>260</v>
      </c>
      <c r="E39" s="11">
        <v>1.2999999999999999E-2</v>
      </c>
      <c r="F39" s="10">
        <v>32123</v>
      </c>
      <c r="G39" s="11">
        <v>1.0999999999999999E-2</v>
      </c>
      <c r="H39" s="11">
        <v>0.121</v>
      </c>
      <c r="I39" s="10">
        <v>32978800</v>
      </c>
      <c r="J39" s="12" t="s">
        <v>407</v>
      </c>
      <c r="K39" s="10">
        <v>3895</v>
      </c>
      <c r="L39" s="12" t="s">
        <v>408</v>
      </c>
      <c r="M39" s="10">
        <v>23756733980</v>
      </c>
      <c r="N39" s="10">
        <v>2836628</v>
      </c>
      <c r="O39" s="12">
        <v>8</v>
      </c>
    </row>
    <row r="40" spans="1:15" ht="27" x14ac:dyDescent="0.3">
      <c r="A40" s="9">
        <v>43505</v>
      </c>
      <c r="B40" s="12">
        <v>174</v>
      </c>
      <c r="C40" s="11">
        <v>2.9000000000000001E-2</v>
      </c>
      <c r="D40" s="12">
        <v>291</v>
      </c>
      <c r="E40" s="11">
        <v>1.4E-2</v>
      </c>
      <c r="F40" s="10">
        <v>34240</v>
      </c>
      <c r="G40" s="11">
        <v>1.0999999999999999E-2</v>
      </c>
      <c r="H40" s="11">
        <v>0.189</v>
      </c>
      <c r="I40" s="10">
        <v>58823410</v>
      </c>
      <c r="J40" s="12" t="s">
        <v>409</v>
      </c>
      <c r="K40" s="10">
        <v>6466</v>
      </c>
      <c r="L40" s="12" t="s">
        <v>410</v>
      </c>
      <c r="M40" s="10">
        <v>23815557390</v>
      </c>
      <c r="N40" s="10">
        <v>2843094</v>
      </c>
      <c r="O40" s="12">
        <v>8</v>
      </c>
    </row>
    <row r="41" spans="1:15" ht="27" x14ac:dyDescent="0.3">
      <c r="A41" s="9">
        <v>43506</v>
      </c>
      <c r="B41" s="12">
        <v>175</v>
      </c>
      <c r="C41" s="11">
        <v>0.03</v>
      </c>
      <c r="D41" s="12">
        <v>287</v>
      </c>
      <c r="E41" s="11">
        <v>1.4999999999999999E-2</v>
      </c>
      <c r="F41" s="10">
        <v>33783</v>
      </c>
      <c r="G41" s="11">
        <v>1.0999999999999999E-2</v>
      </c>
      <c r="H41" s="11">
        <v>0.16700000000000001</v>
      </c>
      <c r="I41" s="10">
        <v>51244980</v>
      </c>
      <c r="J41" s="12" t="s">
        <v>411</v>
      </c>
      <c r="K41" s="10">
        <v>5642</v>
      </c>
      <c r="L41" s="12" t="s">
        <v>412</v>
      </c>
      <c r="M41" s="10">
        <v>23866802370</v>
      </c>
      <c r="N41" s="10">
        <v>2848736</v>
      </c>
      <c r="O41" s="12">
        <v>9</v>
      </c>
    </row>
    <row r="42" spans="1:15" ht="27" x14ac:dyDescent="0.3">
      <c r="A42" s="9">
        <v>43507</v>
      </c>
      <c r="B42" s="12">
        <v>159</v>
      </c>
      <c r="C42" s="11">
        <v>0.03</v>
      </c>
      <c r="D42" s="12">
        <v>269</v>
      </c>
      <c r="E42" s="11">
        <v>1.4999999999999999E-2</v>
      </c>
      <c r="F42" s="10">
        <v>32505</v>
      </c>
      <c r="G42" s="11">
        <v>1.0999999999999999E-2</v>
      </c>
      <c r="H42" s="11">
        <v>8.1000000000000003E-2</v>
      </c>
      <c r="I42" s="10">
        <v>19484750</v>
      </c>
      <c r="J42" s="12" t="s">
        <v>413</v>
      </c>
      <c r="K42" s="10">
        <v>2627</v>
      </c>
      <c r="L42" s="12" t="s">
        <v>414</v>
      </c>
      <c r="M42" s="10">
        <v>23886287120</v>
      </c>
      <c r="N42" s="10">
        <v>2851363</v>
      </c>
      <c r="O42" s="12">
        <v>7</v>
      </c>
    </row>
    <row r="43" spans="1:15" ht="27" x14ac:dyDescent="0.3">
      <c r="A43" s="9">
        <v>43508</v>
      </c>
      <c r="B43" s="12">
        <v>160</v>
      </c>
      <c r="C43" s="11">
        <v>2.8000000000000001E-2</v>
      </c>
      <c r="D43" s="12">
        <v>264</v>
      </c>
      <c r="E43" s="11">
        <v>1.4E-2</v>
      </c>
      <c r="F43" s="10">
        <v>32464</v>
      </c>
      <c r="G43" s="11">
        <v>1.0999999999999999E-2</v>
      </c>
      <c r="H43" s="11">
        <v>7.9000000000000001E-2</v>
      </c>
      <c r="I43" s="10">
        <v>19106200</v>
      </c>
      <c r="J43" s="12" t="s">
        <v>415</v>
      </c>
      <c r="K43" s="10">
        <v>2550</v>
      </c>
      <c r="L43" s="12" t="s">
        <v>416</v>
      </c>
      <c r="M43" s="10">
        <v>23905393320</v>
      </c>
      <c r="N43" s="10">
        <v>2853913</v>
      </c>
      <c r="O43" s="12">
        <v>9</v>
      </c>
    </row>
    <row r="44" spans="1:15" ht="27" x14ac:dyDescent="0.3">
      <c r="A44" s="9">
        <v>43509</v>
      </c>
      <c r="B44" s="12">
        <v>30</v>
      </c>
      <c r="C44" s="11">
        <v>6.0000000000000001E-3</v>
      </c>
      <c r="D44" s="12">
        <v>42</v>
      </c>
      <c r="E44" s="11">
        <v>2E-3</v>
      </c>
      <c r="F44" s="10">
        <v>4542</v>
      </c>
      <c r="G44" s="11">
        <v>2E-3</v>
      </c>
      <c r="H44" s="11">
        <v>0.248</v>
      </c>
      <c r="I44" s="10">
        <v>7324800</v>
      </c>
      <c r="J44" s="12" t="s">
        <v>417</v>
      </c>
      <c r="K44" s="10">
        <v>1128</v>
      </c>
      <c r="L44" s="12" t="s">
        <v>418</v>
      </c>
      <c r="M44" s="10">
        <v>23912718120</v>
      </c>
      <c r="N44" s="10">
        <v>2855041</v>
      </c>
      <c r="O44" s="12">
        <v>14</v>
      </c>
    </row>
    <row r="45" spans="1:15" ht="27" x14ac:dyDescent="0.3">
      <c r="A45" s="9">
        <v>43510</v>
      </c>
      <c r="B45" s="12">
        <v>10</v>
      </c>
      <c r="C45" s="11">
        <v>2E-3</v>
      </c>
      <c r="D45" s="12">
        <v>12</v>
      </c>
      <c r="E45" s="11">
        <v>1E-3</v>
      </c>
      <c r="F45" s="10">
        <v>1276</v>
      </c>
      <c r="G45" s="11">
        <v>0</v>
      </c>
      <c r="H45" s="11">
        <v>0.251</v>
      </c>
      <c r="I45" s="10">
        <v>2122100</v>
      </c>
      <c r="J45" s="12" t="s">
        <v>419</v>
      </c>
      <c r="K45" s="12">
        <v>320</v>
      </c>
      <c r="L45" s="12" t="s">
        <v>420</v>
      </c>
      <c r="M45" s="10">
        <v>23914840220</v>
      </c>
      <c r="N45" s="10">
        <v>2855361</v>
      </c>
      <c r="O45" s="12">
        <v>28</v>
      </c>
    </row>
    <row r="46" spans="1:15" ht="27" x14ac:dyDescent="0.3">
      <c r="A46" s="9">
        <v>43511</v>
      </c>
      <c r="B46" s="12">
        <v>8</v>
      </c>
      <c r="C46" s="11">
        <v>1E-3</v>
      </c>
      <c r="D46" s="12">
        <v>9</v>
      </c>
      <c r="E46" s="11">
        <v>0</v>
      </c>
      <c r="F46" s="10">
        <v>1062</v>
      </c>
      <c r="G46" s="11">
        <v>0</v>
      </c>
      <c r="H46" s="11">
        <v>0.20300000000000001</v>
      </c>
      <c r="I46" s="10">
        <v>1900300</v>
      </c>
      <c r="J46" s="12" t="s">
        <v>421</v>
      </c>
      <c r="K46" s="12">
        <v>216</v>
      </c>
      <c r="L46" s="12" t="s">
        <v>422</v>
      </c>
      <c r="M46" s="10">
        <v>23916740520</v>
      </c>
      <c r="N46" s="10">
        <v>2855577</v>
      </c>
      <c r="O46" s="12">
        <v>27</v>
      </c>
    </row>
    <row r="47" spans="1:15" ht="27" x14ac:dyDescent="0.3">
      <c r="A47" s="9">
        <v>43512</v>
      </c>
      <c r="B47" s="12">
        <v>10</v>
      </c>
      <c r="C47" s="11">
        <v>2E-3</v>
      </c>
      <c r="D47" s="12">
        <v>12</v>
      </c>
      <c r="E47" s="11">
        <v>1E-3</v>
      </c>
      <c r="F47" s="10">
        <v>1639</v>
      </c>
      <c r="G47" s="11">
        <v>1E-3</v>
      </c>
      <c r="H47" s="11">
        <v>0.24199999999999999</v>
      </c>
      <c r="I47" s="10">
        <v>3036900</v>
      </c>
      <c r="J47" s="12" t="s">
        <v>423</v>
      </c>
      <c r="K47" s="12">
        <v>396</v>
      </c>
      <c r="L47" s="12" t="s">
        <v>424</v>
      </c>
      <c r="M47" s="10">
        <v>23919777420</v>
      </c>
      <c r="N47" s="10">
        <v>2855973</v>
      </c>
      <c r="O47" s="12">
        <v>25</v>
      </c>
    </row>
    <row r="48" spans="1:15" ht="27" x14ac:dyDescent="0.3">
      <c r="A48" s="9">
        <v>43513</v>
      </c>
      <c r="B48" s="12">
        <v>8</v>
      </c>
      <c r="C48" s="11">
        <v>1E-3</v>
      </c>
      <c r="D48" s="12">
        <v>9</v>
      </c>
      <c r="E48" s="11">
        <v>0</v>
      </c>
      <c r="F48" s="10">
        <v>1015</v>
      </c>
      <c r="G48" s="11">
        <v>0</v>
      </c>
      <c r="H48" s="11">
        <v>0.17499999999999999</v>
      </c>
      <c r="I48" s="10">
        <v>1542800</v>
      </c>
      <c r="J48" s="12" t="s">
        <v>425</v>
      </c>
      <c r="K48" s="12">
        <v>178</v>
      </c>
      <c r="L48" s="12" t="s">
        <v>426</v>
      </c>
      <c r="M48" s="10">
        <v>23921320220</v>
      </c>
      <c r="N48" s="10">
        <v>2856151</v>
      </c>
      <c r="O48" s="12">
        <v>29</v>
      </c>
    </row>
    <row r="49" spans="1:15" ht="27" x14ac:dyDescent="0.3">
      <c r="A49" s="9">
        <v>43514</v>
      </c>
      <c r="B49" s="12">
        <v>17</v>
      </c>
      <c r="C49" s="11">
        <v>3.0000000000000001E-3</v>
      </c>
      <c r="D49" s="12">
        <v>21</v>
      </c>
      <c r="E49" s="11">
        <v>1E-3</v>
      </c>
      <c r="F49" s="10">
        <v>2927</v>
      </c>
      <c r="G49" s="11">
        <v>1E-3</v>
      </c>
      <c r="H49" s="11">
        <v>0.128</v>
      </c>
      <c r="I49" s="10">
        <v>2275600</v>
      </c>
      <c r="J49" s="12" t="s">
        <v>427</v>
      </c>
      <c r="K49" s="12">
        <v>375</v>
      </c>
      <c r="L49" s="12" t="s">
        <v>428</v>
      </c>
      <c r="M49" s="10">
        <v>23923595820</v>
      </c>
      <c r="N49" s="10">
        <v>2856526</v>
      </c>
      <c r="O49" s="12">
        <v>21</v>
      </c>
    </row>
    <row r="50" spans="1:15" ht="27" x14ac:dyDescent="0.3">
      <c r="A50" s="9">
        <v>43515</v>
      </c>
      <c r="B50" s="12">
        <v>35</v>
      </c>
      <c r="C50" s="11">
        <v>6.0000000000000001E-3</v>
      </c>
      <c r="D50" s="12">
        <v>37</v>
      </c>
      <c r="E50" s="11">
        <v>2E-3</v>
      </c>
      <c r="F50" s="10">
        <v>4493</v>
      </c>
      <c r="G50" s="11">
        <v>2E-3</v>
      </c>
      <c r="H50" s="11">
        <v>0.23699999999999999</v>
      </c>
      <c r="I50" s="10">
        <v>5938600</v>
      </c>
      <c r="J50" s="12" t="s">
        <v>429</v>
      </c>
      <c r="K50" s="10">
        <v>1067</v>
      </c>
      <c r="L50" s="12" t="s">
        <v>430</v>
      </c>
      <c r="M50" s="10">
        <v>23929534420</v>
      </c>
      <c r="N50" s="10">
        <v>2857593</v>
      </c>
      <c r="O50" s="12">
        <v>19</v>
      </c>
    </row>
    <row r="51" spans="1:15" ht="27" x14ac:dyDescent="0.3">
      <c r="A51" s="9">
        <v>43516</v>
      </c>
      <c r="B51" s="12">
        <v>9</v>
      </c>
      <c r="C51" s="11">
        <v>1E-3</v>
      </c>
      <c r="D51" s="12">
        <v>9</v>
      </c>
      <c r="E51" s="11">
        <v>0</v>
      </c>
      <c r="F51" s="10">
        <v>1251</v>
      </c>
      <c r="G51" s="11">
        <v>0</v>
      </c>
      <c r="H51" s="11">
        <v>0.42</v>
      </c>
      <c r="I51" s="10">
        <v>3779000</v>
      </c>
      <c r="J51" s="12" t="s">
        <v>431</v>
      </c>
      <c r="K51" s="12">
        <v>526</v>
      </c>
      <c r="L51" s="12" t="s">
        <v>432</v>
      </c>
      <c r="M51" s="10">
        <v>23933313420</v>
      </c>
      <c r="N51" s="10">
        <v>2858119</v>
      </c>
      <c r="O51" s="12">
        <v>24</v>
      </c>
    </row>
    <row r="52" spans="1:15" ht="27" x14ac:dyDescent="0.3">
      <c r="A52" s="9">
        <v>43517</v>
      </c>
      <c r="B52" s="12">
        <v>33</v>
      </c>
      <c r="C52" s="11">
        <v>5.0000000000000001E-3</v>
      </c>
      <c r="D52" s="12">
        <v>34</v>
      </c>
      <c r="E52" s="11">
        <v>2E-3</v>
      </c>
      <c r="F52" s="10">
        <v>4073</v>
      </c>
      <c r="G52" s="11">
        <v>1E-3</v>
      </c>
      <c r="H52" s="11">
        <v>0.33600000000000002</v>
      </c>
      <c r="I52" s="10">
        <v>7217000</v>
      </c>
      <c r="J52" s="12" t="s">
        <v>433</v>
      </c>
      <c r="K52" s="10">
        <v>1369</v>
      </c>
      <c r="L52" s="12" t="s">
        <v>434</v>
      </c>
      <c r="M52" s="10">
        <v>23940530420</v>
      </c>
      <c r="N52" s="10">
        <v>2859488</v>
      </c>
      <c r="O52" s="12">
        <v>18</v>
      </c>
    </row>
    <row r="53" spans="1:15" ht="27" x14ac:dyDescent="0.3">
      <c r="A53" s="9">
        <v>43518</v>
      </c>
      <c r="B53" s="12">
        <v>5</v>
      </c>
      <c r="C53" s="11">
        <v>1E-3</v>
      </c>
      <c r="D53" s="12">
        <v>5</v>
      </c>
      <c r="E53" s="11">
        <v>0</v>
      </c>
      <c r="F53" s="12">
        <v>598</v>
      </c>
      <c r="G53" s="11">
        <v>0</v>
      </c>
      <c r="H53" s="11">
        <v>0.28899999999999998</v>
      </c>
      <c r="I53" s="10">
        <v>1044300</v>
      </c>
      <c r="J53" s="12" t="s">
        <v>435</v>
      </c>
      <c r="K53" s="12">
        <v>173</v>
      </c>
      <c r="L53" s="12" t="s">
        <v>436</v>
      </c>
      <c r="M53" s="10">
        <v>23941574720</v>
      </c>
      <c r="N53" s="10">
        <v>2859661</v>
      </c>
      <c r="O53" s="12">
        <v>32</v>
      </c>
    </row>
    <row r="54" spans="1:15" ht="27" x14ac:dyDescent="0.3">
      <c r="A54" s="9">
        <v>43519</v>
      </c>
      <c r="B54" s="12">
        <v>10</v>
      </c>
      <c r="C54" s="11">
        <v>1E-3</v>
      </c>
      <c r="D54" s="12">
        <v>10</v>
      </c>
      <c r="E54" s="11">
        <v>1E-3</v>
      </c>
      <c r="F54" s="10">
        <v>1622</v>
      </c>
      <c r="G54" s="11">
        <v>1E-3</v>
      </c>
      <c r="H54" s="11">
        <v>0.26600000000000001</v>
      </c>
      <c r="I54" s="10">
        <v>3030000</v>
      </c>
      <c r="J54" s="12" t="s">
        <v>437</v>
      </c>
      <c r="K54" s="12">
        <v>432</v>
      </c>
      <c r="L54" s="12" t="s">
        <v>438</v>
      </c>
      <c r="M54" s="10">
        <v>23944604720</v>
      </c>
      <c r="N54" s="10">
        <v>2860093</v>
      </c>
      <c r="O54" s="12">
        <v>25</v>
      </c>
    </row>
    <row r="55" spans="1:15" ht="27" x14ac:dyDescent="0.3">
      <c r="A55" s="9">
        <v>43520</v>
      </c>
      <c r="B55" s="12">
        <v>5</v>
      </c>
      <c r="C55" s="11">
        <v>1E-3</v>
      </c>
      <c r="D55" s="12">
        <v>5</v>
      </c>
      <c r="E55" s="11">
        <v>0</v>
      </c>
      <c r="F55" s="12">
        <v>910</v>
      </c>
      <c r="G55" s="11">
        <v>0</v>
      </c>
      <c r="H55" s="11">
        <v>0.64800000000000002</v>
      </c>
      <c r="I55" s="10">
        <v>4682000</v>
      </c>
      <c r="J55" s="12" t="s">
        <v>439</v>
      </c>
      <c r="K55" s="12">
        <v>590</v>
      </c>
      <c r="L55" s="12" t="s">
        <v>440</v>
      </c>
      <c r="M55" s="10">
        <v>23949286720</v>
      </c>
      <c r="N55" s="10">
        <v>2860683</v>
      </c>
      <c r="O55" s="12">
        <v>22</v>
      </c>
    </row>
    <row r="56" spans="1:15" ht="27" x14ac:dyDescent="0.3">
      <c r="A56" s="9">
        <v>43521</v>
      </c>
      <c r="B56" s="12">
        <v>7</v>
      </c>
      <c r="C56" s="11">
        <v>1E-3</v>
      </c>
      <c r="D56" s="12">
        <v>7</v>
      </c>
      <c r="E56" s="11">
        <v>0</v>
      </c>
      <c r="F56" s="12">
        <v>972</v>
      </c>
      <c r="G56" s="11">
        <v>0</v>
      </c>
      <c r="H56" s="11">
        <v>0.23899999999999999</v>
      </c>
      <c r="I56" s="10">
        <v>1575300</v>
      </c>
      <c r="J56" s="12" t="s">
        <v>441</v>
      </c>
      <c r="K56" s="12">
        <v>232</v>
      </c>
      <c r="L56" s="12" t="s">
        <v>442</v>
      </c>
      <c r="M56" s="10">
        <v>23950862020</v>
      </c>
      <c r="N56" s="10">
        <v>2860915</v>
      </c>
      <c r="O56" s="12">
        <v>34</v>
      </c>
    </row>
    <row r="57" spans="1:15" ht="27" x14ac:dyDescent="0.3">
      <c r="A57" s="9">
        <v>43522</v>
      </c>
      <c r="B57" s="12">
        <v>3</v>
      </c>
      <c r="C57" s="11">
        <v>0</v>
      </c>
      <c r="D57" s="12">
        <v>3</v>
      </c>
      <c r="E57" s="11">
        <v>0</v>
      </c>
      <c r="F57" s="12">
        <v>516</v>
      </c>
      <c r="G57" s="11">
        <v>0</v>
      </c>
      <c r="H57" s="11">
        <v>6.2E-2</v>
      </c>
      <c r="I57" s="10">
        <v>169500</v>
      </c>
      <c r="J57" s="12" t="s">
        <v>443</v>
      </c>
      <c r="K57" s="12">
        <v>32</v>
      </c>
      <c r="L57" s="12" t="s">
        <v>444</v>
      </c>
      <c r="M57" s="10">
        <v>23951031520</v>
      </c>
      <c r="N57" s="10">
        <v>2860947</v>
      </c>
      <c r="O57" s="12">
        <v>70</v>
      </c>
    </row>
    <row r="58" spans="1:15" ht="27" x14ac:dyDescent="0.3">
      <c r="A58" s="9">
        <v>43523</v>
      </c>
      <c r="B58" s="12">
        <v>3</v>
      </c>
      <c r="C58" s="11">
        <v>0</v>
      </c>
      <c r="D58" s="12">
        <v>3</v>
      </c>
      <c r="E58" s="11">
        <v>0</v>
      </c>
      <c r="F58" s="12">
        <v>197</v>
      </c>
      <c r="G58" s="11">
        <v>0</v>
      </c>
      <c r="H58" s="11">
        <v>0.223</v>
      </c>
      <c r="I58" s="10">
        <v>220000</v>
      </c>
      <c r="J58" s="12" t="s">
        <v>445</v>
      </c>
      <c r="K58" s="12">
        <v>44</v>
      </c>
      <c r="L58" s="12" t="s">
        <v>446</v>
      </c>
      <c r="M58" s="10">
        <v>23951251520</v>
      </c>
      <c r="N58" s="10">
        <v>2860991</v>
      </c>
      <c r="O58" s="12">
        <v>69</v>
      </c>
    </row>
    <row r="59" spans="1:15" ht="27" x14ac:dyDescent="0.3">
      <c r="A59" s="9">
        <v>43525</v>
      </c>
      <c r="B59" s="12">
        <v>1</v>
      </c>
      <c r="C59" s="11">
        <v>0</v>
      </c>
      <c r="D59" s="12">
        <v>2</v>
      </c>
      <c r="E59" s="11">
        <v>0</v>
      </c>
      <c r="F59" s="12">
        <v>80</v>
      </c>
      <c r="G59" s="11">
        <v>0</v>
      </c>
      <c r="H59" s="11">
        <v>0.61299999999999999</v>
      </c>
      <c r="I59" s="10">
        <v>482000</v>
      </c>
      <c r="J59" s="12" t="s">
        <v>447</v>
      </c>
      <c r="K59" s="12">
        <v>49</v>
      </c>
      <c r="L59" s="12" t="s">
        <v>448</v>
      </c>
      <c r="M59" s="10">
        <v>23951733520</v>
      </c>
      <c r="N59" s="10">
        <v>2861040</v>
      </c>
      <c r="O59" s="12">
        <v>55</v>
      </c>
    </row>
    <row r="60" spans="1:15" ht="27" x14ac:dyDescent="0.3">
      <c r="A60" s="9">
        <v>43527</v>
      </c>
      <c r="B60" s="12">
        <v>3</v>
      </c>
      <c r="C60" s="11">
        <v>0</v>
      </c>
      <c r="D60" s="12">
        <v>3</v>
      </c>
      <c r="E60" s="11">
        <v>0</v>
      </c>
      <c r="F60" s="12">
        <v>359</v>
      </c>
      <c r="G60" s="11">
        <v>0</v>
      </c>
      <c r="H60" s="11">
        <v>0.81299999999999994</v>
      </c>
      <c r="I60" s="10">
        <v>2628000</v>
      </c>
      <c r="J60" s="12" t="s">
        <v>449</v>
      </c>
      <c r="K60" s="12">
        <v>292</v>
      </c>
      <c r="L60" s="12" t="s">
        <v>450</v>
      </c>
      <c r="M60" s="10">
        <v>23954361520</v>
      </c>
      <c r="N60" s="10">
        <v>2861332</v>
      </c>
      <c r="O60" s="12">
        <v>34</v>
      </c>
    </row>
    <row r="61" spans="1:15" ht="27" x14ac:dyDescent="0.3">
      <c r="A61" s="9">
        <v>43530</v>
      </c>
      <c r="B61" s="12">
        <v>1</v>
      </c>
      <c r="C61" s="11">
        <v>0</v>
      </c>
      <c r="D61" s="12">
        <v>1</v>
      </c>
      <c r="E61" s="11">
        <v>0</v>
      </c>
      <c r="F61" s="12">
        <v>40</v>
      </c>
      <c r="G61" s="11">
        <v>0</v>
      </c>
      <c r="H61" s="11">
        <v>2.5000000000000001E-2</v>
      </c>
      <c r="I61" s="10">
        <v>9000</v>
      </c>
      <c r="J61" s="12" t="s">
        <v>451</v>
      </c>
      <c r="K61" s="12">
        <v>1</v>
      </c>
      <c r="L61" s="12" t="s">
        <v>312</v>
      </c>
      <c r="M61" s="10">
        <v>23954370520</v>
      </c>
      <c r="N61" s="10">
        <v>2861333</v>
      </c>
      <c r="O61" s="12">
        <v>83</v>
      </c>
    </row>
    <row r="62" spans="1:15" ht="27" x14ac:dyDescent="0.3">
      <c r="A62" s="9">
        <v>43534</v>
      </c>
      <c r="B62" s="12">
        <v>1</v>
      </c>
      <c r="C62" s="11">
        <v>0</v>
      </c>
      <c r="D62" s="12">
        <v>1</v>
      </c>
      <c r="E62" s="11">
        <v>0</v>
      </c>
      <c r="F62" s="12">
        <v>40</v>
      </c>
      <c r="G62" s="11">
        <v>0</v>
      </c>
      <c r="H62" s="11">
        <v>0.1</v>
      </c>
      <c r="I62" s="10">
        <v>28000</v>
      </c>
      <c r="J62" s="12" t="s">
        <v>304</v>
      </c>
      <c r="K62" s="12">
        <v>4</v>
      </c>
      <c r="L62" s="12" t="s">
        <v>296</v>
      </c>
      <c r="M62" s="10">
        <v>23954398520</v>
      </c>
      <c r="N62" s="10">
        <v>2861337</v>
      </c>
      <c r="O62" s="12">
        <v>74</v>
      </c>
    </row>
    <row r="63" spans="1:15" ht="27" x14ac:dyDescent="0.3">
      <c r="A63" s="9">
        <v>43536</v>
      </c>
      <c r="B63" s="12">
        <v>1</v>
      </c>
      <c r="C63" s="11">
        <v>0</v>
      </c>
      <c r="D63" s="12">
        <v>1</v>
      </c>
      <c r="E63" s="11">
        <v>0</v>
      </c>
      <c r="F63" s="12">
        <v>40</v>
      </c>
      <c r="G63" s="11">
        <v>0</v>
      </c>
      <c r="H63" s="11">
        <v>2.5000000000000001E-2</v>
      </c>
      <c r="I63" s="10">
        <v>9000</v>
      </c>
      <c r="J63" s="12" t="s">
        <v>451</v>
      </c>
      <c r="K63" s="12">
        <v>1</v>
      </c>
      <c r="L63" s="12" t="s">
        <v>312</v>
      </c>
      <c r="M63" s="10">
        <v>23954407520</v>
      </c>
      <c r="N63" s="10">
        <v>2861338</v>
      </c>
      <c r="O63" s="12">
        <v>90</v>
      </c>
    </row>
    <row r="64" spans="1:15" ht="27" x14ac:dyDescent="0.3">
      <c r="A64" s="9">
        <v>43538</v>
      </c>
      <c r="B64" s="12">
        <v>1</v>
      </c>
      <c r="C64" s="11">
        <v>0</v>
      </c>
      <c r="D64" s="12">
        <v>1</v>
      </c>
      <c r="E64" s="11">
        <v>0</v>
      </c>
      <c r="F64" s="12">
        <v>40</v>
      </c>
      <c r="G64" s="11">
        <v>0</v>
      </c>
      <c r="H64" s="11">
        <v>0.4</v>
      </c>
      <c r="I64" s="10">
        <v>118000</v>
      </c>
      <c r="J64" s="12" t="s">
        <v>452</v>
      </c>
      <c r="K64" s="12">
        <v>16</v>
      </c>
      <c r="L64" s="12" t="s">
        <v>453</v>
      </c>
      <c r="M64" s="10">
        <v>23954525520</v>
      </c>
      <c r="N64" s="10">
        <v>2861354</v>
      </c>
      <c r="O64" s="12">
        <v>68</v>
      </c>
    </row>
    <row r="65" spans="1:15" ht="27" x14ac:dyDescent="0.3">
      <c r="A65" s="9">
        <v>43539</v>
      </c>
      <c r="B65" s="12">
        <v>1</v>
      </c>
      <c r="C65" s="11">
        <v>0</v>
      </c>
      <c r="D65" s="12">
        <v>1</v>
      </c>
      <c r="E65" s="11">
        <v>0</v>
      </c>
      <c r="F65" s="12">
        <v>183</v>
      </c>
      <c r="G65" s="11">
        <v>0</v>
      </c>
      <c r="H65" s="11">
        <v>1</v>
      </c>
      <c r="I65" s="10">
        <v>1181000</v>
      </c>
      <c r="J65" s="12" t="s">
        <v>454</v>
      </c>
      <c r="K65" s="12">
        <v>183</v>
      </c>
      <c r="L65" s="12" t="s">
        <v>455</v>
      </c>
      <c r="M65" s="10">
        <v>23955706520</v>
      </c>
      <c r="N65" s="10">
        <v>2861537</v>
      </c>
      <c r="O65" s="12">
        <v>31</v>
      </c>
    </row>
    <row r="66" spans="1:15" ht="27" x14ac:dyDescent="0.3">
      <c r="A66" s="9">
        <v>43540</v>
      </c>
      <c r="B66" s="12">
        <v>2</v>
      </c>
      <c r="C66" s="11">
        <v>0</v>
      </c>
      <c r="D66" s="12">
        <v>2</v>
      </c>
      <c r="E66" s="11">
        <v>0</v>
      </c>
      <c r="F66" s="12">
        <v>343</v>
      </c>
      <c r="G66" s="11">
        <v>0</v>
      </c>
      <c r="H66" s="11">
        <v>1</v>
      </c>
      <c r="I66" s="10">
        <v>2744000</v>
      </c>
      <c r="J66" s="12" t="s">
        <v>456</v>
      </c>
      <c r="K66" s="12">
        <v>343</v>
      </c>
      <c r="L66" s="12" t="s">
        <v>457</v>
      </c>
      <c r="M66" s="10">
        <v>23958450520</v>
      </c>
      <c r="N66" s="10">
        <v>2861880</v>
      </c>
      <c r="O66" s="12">
        <v>28</v>
      </c>
    </row>
    <row r="67" spans="1:15" ht="27" x14ac:dyDescent="0.3">
      <c r="A67" s="9">
        <v>43541</v>
      </c>
      <c r="B67" s="12">
        <v>1</v>
      </c>
      <c r="C67" s="11">
        <v>0</v>
      </c>
      <c r="D67" s="12">
        <v>1</v>
      </c>
      <c r="E67" s="11">
        <v>0</v>
      </c>
      <c r="F67" s="12">
        <v>40</v>
      </c>
      <c r="G67" s="11">
        <v>0</v>
      </c>
      <c r="H67" s="11">
        <v>0.05</v>
      </c>
      <c r="I67" s="10">
        <v>20000</v>
      </c>
      <c r="J67" s="12" t="s">
        <v>458</v>
      </c>
      <c r="K67" s="12">
        <v>2</v>
      </c>
      <c r="L67" s="12" t="s">
        <v>459</v>
      </c>
      <c r="M67" s="10">
        <v>23958470520</v>
      </c>
      <c r="N67" s="10">
        <v>2861882</v>
      </c>
      <c r="O67" s="12">
        <v>96</v>
      </c>
    </row>
    <row r="68" spans="1:15" ht="27" x14ac:dyDescent="0.3">
      <c r="A68" s="9">
        <v>43544</v>
      </c>
      <c r="B68" s="12">
        <v>5</v>
      </c>
      <c r="C68" s="11">
        <v>1E-3</v>
      </c>
      <c r="D68" s="12">
        <v>5</v>
      </c>
      <c r="E68" s="11">
        <v>0</v>
      </c>
      <c r="F68" s="10">
        <v>1063</v>
      </c>
      <c r="G68" s="11">
        <v>0</v>
      </c>
      <c r="H68" s="11">
        <v>0.98199999999999998</v>
      </c>
      <c r="I68" s="10">
        <v>9092000</v>
      </c>
      <c r="J68" s="12" t="s">
        <v>460</v>
      </c>
      <c r="K68" s="10">
        <v>1044</v>
      </c>
      <c r="L68" s="12" t="s">
        <v>461</v>
      </c>
      <c r="M68" s="10">
        <v>23967562520</v>
      </c>
      <c r="N68" s="10">
        <v>2862926</v>
      </c>
      <c r="O68" s="12">
        <v>12</v>
      </c>
    </row>
    <row r="69" spans="1:15" ht="27" x14ac:dyDescent="0.3">
      <c r="A69" s="9">
        <v>43546</v>
      </c>
      <c r="B69" s="12">
        <v>1</v>
      </c>
      <c r="C69" s="11">
        <v>0</v>
      </c>
      <c r="D69" s="12">
        <v>1</v>
      </c>
      <c r="E69" s="11">
        <v>0</v>
      </c>
      <c r="F69" s="12">
        <v>175</v>
      </c>
      <c r="G69" s="11">
        <v>0</v>
      </c>
      <c r="H69" s="11">
        <v>1</v>
      </c>
      <c r="I69" s="10">
        <v>1225000</v>
      </c>
      <c r="J69" s="12" t="s">
        <v>462</v>
      </c>
      <c r="K69" s="12">
        <v>175</v>
      </c>
      <c r="L69" s="12" t="s">
        <v>463</v>
      </c>
      <c r="M69" s="10">
        <v>23968787520</v>
      </c>
      <c r="N69" s="10">
        <v>2863101</v>
      </c>
      <c r="O69" s="12">
        <v>33</v>
      </c>
    </row>
    <row r="70" spans="1:15" ht="27" x14ac:dyDescent="0.3">
      <c r="A70" s="9">
        <v>43548</v>
      </c>
      <c r="B70" s="12">
        <v>1</v>
      </c>
      <c r="C70" s="11">
        <v>0</v>
      </c>
      <c r="D70" s="12">
        <v>1</v>
      </c>
      <c r="E70" s="11">
        <v>0</v>
      </c>
      <c r="F70" s="12">
        <v>306</v>
      </c>
      <c r="G70" s="11">
        <v>0</v>
      </c>
      <c r="H70" s="11">
        <v>1</v>
      </c>
      <c r="I70" s="10">
        <v>3060000</v>
      </c>
      <c r="J70" s="12" t="s">
        <v>464</v>
      </c>
      <c r="K70" s="12">
        <v>306</v>
      </c>
      <c r="L70" s="12" t="s">
        <v>465</v>
      </c>
      <c r="M70" s="10">
        <v>23971847520</v>
      </c>
      <c r="N70" s="10">
        <v>2863407</v>
      </c>
      <c r="O70" s="12">
        <v>26</v>
      </c>
    </row>
    <row r="71" spans="1:15" ht="27" x14ac:dyDescent="0.3">
      <c r="A71" s="9">
        <v>43551</v>
      </c>
      <c r="B71" s="12">
        <v>2</v>
      </c>
      <c r="C71" s="11">
        <v>0</v>
      </c>
      <c r="D71" s="12">
        <v>3</v>
      </c>
      <c r="E71" s="11">
        <v>0</v>
      </c>
      <c r="F71" s="12">
        <v>586</v>
      </c>
      <c r="G71" s="11">
        <v>0</v>
      </c>
      <c r="H71" s="11">
        <v>1</v>
      </c>
      <c r="I71" s="10">
        <v>3304000</v>
      </c>
      <c r="J71" s="12" t="s">
        <v>466</v>
      </c>
      <c r="K71" s="12">
        <v>586</v>
      </c>
      <c r="L71" s="12" t="s">
        <v>467</v>
      </c>
      <c r="M71" s="10">
        <v>23975151520</v>
      </c>
      <c r="N71" s="10">
        <v>2863993</v>
      </c>
      <c r="O71" s="12">
        <v>23</v>
      </c>
    </row>
    <row r="72" spans="1:15" ht="27" x14ac:dyDescent="0.3">
      <c r="A72" s="9">
        <v>43554</v>
      </c>
      <c r="B72" s="12">
        <v>2</v>
      </c>
      <c r="C72" s="11">
        <v>0</v>
      </c>
      <c r="D72" s="12">
        <v>2</v>
      </c>
      <c r="E72" s="11">
        <v>0</v>
      </c>
      <c r="F72" s="12">
        <v>255</v>
      </c>
      <c r="G72" s="11">
        <v>0</v>
      </c>
      <c r="H72" s="11">
        <v>1</v>
      </c>
      <c r="I72" s="10">
        <v>1530000</v>
      </c>
      <c r="J72" s="12" t="s">
        <v>468</v>
      </c>
      <c r="K72" s="12">
        <v>255</v>
      </c>
      <c r="L72" s="12" t="s">
        <v>469</v>
      </c>
      <c r="M72" s="10">
        <v>23976681520</v>
      </c>
      <c r="N72" s="10">
        <v>2864248</v>
      </c>
      <c r="O72" s="12">
        <v>32</v>
      </c>
    </row>
    <row r="73" spans="1:15" ht="27" x14ac:dyDescent="0.3">
      <c r="A73" s="9">
        <v>43558</v>
      </c>
      <c r="B73" s="12">
        <v>1</v>
      </c>
      <c r="C73" s="11">
        <v>0</v>
      </c>
      <c r="D73" s="12">
        <v>1</v>
      </c>
      <c r="E73" s="11">
        <v>0</v>
      </c>
      <c r="F73" s="12">
        <v>116</v>
      </c>
      <c r="G73" s="11">
        <v>0</v>
      </c>
      <c r="H73" s="11">
        <v>0.86199999999999999</v>
      </c>
      <c r="I73" s="10">
        <v>500000</v>
      </c>
      <c r="J73" s="12" t="s">
        <v>470</v>
      </c>
      <c r="K73" s="12">
        <v>100</v>
      </c>
      <c r="L73" s="12" t="s">
        <v>471</v>
      </c>
      <c r="M73" s="10">
        <v>23977181520</v>
      </c>
      <c r="N73" s="10">
        <v>2864348</v>
      </c>
      <c r="O73" s="12">
        <v>43</v>
      </c>
    </row>
    <row r="74" spans="1:15" ht="27" x14ac:dyDescent="0.3">
      <c r="A74" s="9">
        <v>43568</v>
      </c>
      <c r="B74" s="12">
        <v>1</v>
      </c>
      <c r="C74" s="11">
        <v>0</v>
      </c>
      <c r="D74" s="12">
        <v>3</v>
      </c>
      <c r="E74" s="11">
        <v>0</v>
      </c>
      <c r="F74" s="12">
        <v>225</v>
      </c>
      <c r="G74" s="11">
        <v>0</v>
      </c>
      <c r="H74" s="11">
        <v>1</v>
      </c>
      <c r="I74" s="10">
        <v>1500000</v>
      </c>
      <c r="J74" s="12" t="s">
        <v>472</v>
      </c>
      <c r="K74" s="12">
        <v>225</v>
      </c>
      <c r="L74" s="12" t="s">
        <v>473</v>
      </c>
      <c r="M74" s="10">
        <v>23978681520</v>
      </c>
      <c r="N74" s="10">
        <v>2864573</v>
      </c>
      <c r="O74" s="12">
        <v>32</v>
      </c>
    </row>
    <row r="75" spans="1:15" ht="27" x14ac:dyDescent="0.3">
      <c r="A75" s="9">
        <v>43573</v>
      </c>
      <c r="B75" s="12">
        <v>1</v>
      </c>
      <c r="C75" s="11">
        <v>0</v>
      </c>
      <c r="D75" s="12">
        <v>1</v>
      </c>
      <c r="E75" s="11">
        <v>0</v>
      </c>
      <c r="F75" s="12">
        <v>183</v>
      </c>
      <c r="G75" s="11">
        <v>0</v>
      </c>
      <c r="H75" s="11">
        <v>1</v>
      </c>
      <c r="I75" s="10">
        <v>1098000</v>
      </c>
      <c r="J75" s="12" t="s">
        <v>474</v>
      </c>
      <c r="K75" s="12">
        <v>183</v>
      </c>
      <c r="L75" s="12" t="s">
        <v>475</v>
      </c>
      <c r="M75" s="10">
        <v>23979779520</v>
      </c>
      <c r="N75" s="10">
        <v>2864756</v>
      </c>
      <c r="O75" s="12">
        <v>44</v>
      </c>
    </row>
    <row r="76" spans="1:15" ht="27" x14ac:dyDescent="0.3">
      <c r="A76" s="9">
        <v>43599</v>
      </c>
      <c r="B76" s="12">
        <v>2</v>
      </c>
      <c r="C76" s="11">
        <v>0</v>
      </c>
      <c r="D76" s="12">
        <v>2</v>
      </c>
      <c r="E76" s="11">
        <v>0</v>
      </c>
      <c r="F76" s="12">
        <v>299</v>
      </c>
      <c r="G76" s="11">
        <v>0</v>
      </c>
      <c r="H76" s="11">
        <v>0.59199999999999997</v>
      </c>
      <c r="I76" s="10">
        <v>1062000</v>
      </c>
      <c r="J76" s="12" t="s">
        <v>476</v>
      </c>
      <c r="K76" s="12">
        <v>177</v>
      </c>
      <c r="L76" s="12" t="s">
        <v>477</v>
      </c>
      <c r="M76" s="10">
        <v>23980841520</v>
      </c>
      <c r="N76" s="10">
        <v>2864933</v>
      </c>
      <c r="O76" s="12">
        <v>26</v>
      </c>
    </row>
    <row r="77" spans="1:15" ht="27" x14ac:dyDescent="0.3">
      <c r="A77" s="9">
        <v>43608</v>
      </c>
      <c r="B77" s="12">
        <v>2</v>
      </c>
      <c r="C77" s="11">
        <v>0</v>
      </c>
      <c r="D77" s="12">
        <v>2</v>
      </c>
      <c r="E77" s="11">
        <v>0</v>
      </c>
      <c r="F77" s="12">
        <v>465</v>
      </c>
      <c r="G77" s="11">
        <v>0</v>
      </c>
      <c r="H77" s="11">
        <v>0.83899999999999997</v>
      </c>
      <c r="I77" s="10">
        <v>2220000</v>
      </c>
      <c r="J77" s="12" t="s">
        <v>478</v>
      </c>
      <c r="K77" s="12">
        <v>390</v>
      </c>
      <c r="L77" s="12" t="s">
        <v>479</v>
      </c>
      <c r="M77" s="10">
        <v>23983061520</v>
      </c>
      <c r="N77" s="10">
        <v>2865323</v>
      </c>
      <c r="O77" s="12">
        <v>22</v>
      </c>
    </row>
    <row r="78" spans="1:15" ht="27" x14ac:dyDescent="0.3">
      <c r="A78" s="9">
        <v>43621</v>
      </c>
      <c r="B78" s="12">
        <v>1</v>
      </c>
      <c r="C78" s="11">
        <v>0</v>
      </c>
      <c r="D78" s="12">
        <v>1</v>
      </c>
      <c r="E78" s="11">
        <v>0</v>
      </c>
      <c r="F78" s="12">
        <v>83</v>
      </c>
      <c r="G78" s="11">
        <v>0</v>
      </c>
      <c r="H78" s="11">
        <v>0.72299999999999998</v>
      </c>
      <c r="I78" s="10">
        <v>360000</v>
      </c>
      <c r="J78" s="12" t="s">
        <v>480</v>
      </c>
      <c r="K78" s="12">
        <v>60</v>
      </c>
      <c r="L78" s="12" t="s">
        <v>481</v>
      </c>
      <c r="M78" s="10">
        <v>23983421520</v>
      </c>
      <c r="N78" s="10">
        <v>2865383</v>
      </c>
      <c r="O78" s="12">
        <v>52</v>
      </c>
    </row>
    <row r="79" spans="1:15" ht="27" x14ac:dyDescent="0.3">
      <c r="A79" s="9">
        <v>43627</v>
      </c>
      <c r="B79" s="12">
        <v>6</v>
      </c>
      <c r="C79" s="11">
        <v>1E-3</v>
      </c>
      <c r="D79" s="12">
        <v>6</v>
      </c>
      <c r="E79" s="11">
        <v>0</v>
      </c>
      <c r="F79" s="12">
        <v>645</v>
      </c>
      <c r="G79" s="11">
        <v>0</v>
      </c>
      <c r="H79" s="11">
        <v>0.78</v>
      </c>
      <c r="I79" s="10">
        <v>3018000</v>
      </c>
      <c r="J79" s="12" t="s">
        <v>482</v>
      </c>
      <c r="K79" s="12">
        <v>503</v>
      </c>
      <c r="L79" s="12" t="s">
        <v>483</v>
      </c>
      <c r="M79" s="10">
        <v>23986439520</v>
      </c>
      <c r="N79" s="10">
        <v>2865886</v>
      </c>
      <c r="O79" s="12">
        <v>18</v>
      </c>
    </row>
    <row r="80" spans="1:15" ht="27" x14ac:dyDescent="0.3">
      <c r="A80" s="9">
        <v>43650</v>
      </c>
      <c r="B80" s="12">
        <v>1</v>
      </c>
      <c r="C80" s="11">
        <v>0</v>
      </c>
      <c r="D80" s="12">
        <v>1</v>
      </c>
      <c r="E80" s="11">
        <v>0</v>
      </c>
      <c r="F80" s="12">
        <v>172</v>
      </c>
      <c r="G80" s="11">
        <v>0</v>
      </c>
      <c r="H80" s="11">
        <v>0.56999999999999995</v>
      </c>
      <c r="I80" s="10">
        <v>490000</v>
      </c>
      <c r="J80" s="12" t="s">
        <v>484</v>
      </c>
      <c r="K80" s="12">
        <v>98</v>
      </c>
      <c r="L80" s="12" t="s">
        <v>485</v>
      </c>
      <c r="M80" s="10">
        <v>23986929520</v>
      </c>
      <c r="N80" s="10">
        <v>2865984</v>
      </c>
      <c r="O80" s="12">
        <v>43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8DC2A-C665-4DE3-84F7-96176DE1A919}">
  <dimension ref="A1:O56"/>
  <sheetViews>
    <sheetView workbookViewId="0">
      <selection activeCell="N13" sqref="N13"/>
    </sheetView>
  </sheetViews>
  <sheetFormatPr defaultRowHeight="16.5" x14ac:dyDescent="0.3"/>
  <cols>
    <col min="8" max="15" width="14" customWidth="1"/>
  </cols>
  <sheetData>
    <row r="1" spans="1:15" ht="19.5" x14ac:dyDescent="0.3">
      <c r="A1" s="197" t="s">
        <v>486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43474</v>
      </c>
      <c r="B5" s="12">
        <v>671</v>
      </c>
      <c r="C5" s="11">
        <v>0.11</v>
      </c>
      <c r="D5" s="10">
        <v>2576</v>
      </c>
      <c r="E5" s="11">
        <v>0.14599999999999999</v>
      </c>
      <c r="F5" s="10">
        <v>367672</v>
      </c>
      <c r="G5" s="11">
        <v>0.13200000000000001</v>
      </c>
      <c r="H5" s="11">
        <v>0.23200000000000001</v>
      </c>
      <c r="I5" s="10">
        <v>688757700</v>
      </c>
      <c r="J5" s="12" t="s">
        <v>487</v>
      </c>
      <c r="K5" s="10">
        <v>85238</v>
      </c>
      <c r="L5" s="12" t="s">
        <v>488</v>
      </c>
      <c r="M5" s="10">
        <v>909383200</v>
      </c>
      <c r="N5" s="10">
        <v>111957</v>
      </c>
      <c r="O5" s="12">
        <v>2</v>
      </c>
    </row>
    <row r="6" spans="1:15" x14ac:dyDescent="0.3">
      <c r="A6" s="9">
        <v>43475</v>
      </c>
      <c r="B6" s="12">
        <v>776</v>
      </c>
      <c r="C6" s="11">
        <v>0.115</v>
      </c>
      <c r="D6" s="10">
        <v>2729</v>
      </c>
      <c r="E6" s="11">
        <v>0.14899999999999999</v>
      </c>
      <c r="F6" s="10">
        <v>393926</v>
      </c>
      <c r="G6" s="11">
        <v>0.13800000000000001</v>
      </c>
      <c r="H6" s="11">
        <v>0.22600000000000001</v>
      </c>
      <c r="I6" s="10">
        <v>721582750</v>
      </c>
      <c r="J6" s="12" t="s">
        <v>489</v>
      </c>
      <c r="K6" s="10">
        <v>88860</v>
      </c>
      <c r="L6" s="12" t="s">
        <v>490</v>
      </c>
      <c r="M6" s="10">
        <v>1630965950</v>
      </c>
      <c r="N6" s="10">
        <v>200817</v>
      </c>
      <c r="O6" s="12">
        <v>2</v>
      </c>
    </row>
    <row r="7" spans="1:15" ht="27" x14ac:dyDescent="0.3">
      <c r="A7" s="9">
        <v>43476</v>
      </c>
      <c r="B7" s="12">
        <v>880</v>
      </c>
      <c r="C7" s="11">
        <v>0.128</v>
      </c>
      <c r="D7" s="10">
        <v>3145</v>
      </c>
      <c r="E7" s="11">
        <v>0.16700000000000001</v>
      </c>
      <c r="F7" s="10">
        <v>459295</v>
      </c>
      <c r="G7" s="11">
        <v>0.157</v>
      </c>
      <c r="H7" s="11">
        <v>0.24199999999999999</v>
      </c>
      <c r="I7" s="10">
        <v>984944378</v>
      </c>
      <c r="J7" s="12" t="s">
        <v>491</v>
      </c>
      <c r="K7" s="10">
        <v>111168</v>
      </c>
      <c r="L7" s="12" t="s">
        <v>492</v>
      </c>
      <c r="M7" s="10">
        <v>2615910328</v>
      </c>
      <c r="N7" s="10">
        <v>311985</v>
      </c>
      <c r="O7" s="12">
        <v>2</v>
      </c>
    </row>
    <row r="8" spans="1:15" ht="27" x14ac:dyDescent="0.3">
      <c r="A8" s="9">
        <v>43477</v>
      </c>
      <c r="B8" s="10">
        <v>1004</v>
      </c>
      <c r="C8" s="11">
        <v>0.14299999999999999</v>
      </c>
      <c r="D8" s="10">
        <v>3655</v>
      </c>
      <c r="E8" s="11">
        <v>0.186</v>
      </c>
      <c r="F8" s="10">
        <v>558259</v>
      </c>
      <c r="G8" s="11">
        <v>0.182</v>
      </c>
      <c r="H8" s="11">
        <v>0.40100000000000002</v>
      </c>
      <c r="I8" s="10">
        <v>1982344898</v>
      </c>
      <c r="J8" s="12" t="s">
        <v>493</v>
      </c>
      <c r="K8" s="10">
        <v>223603</v>
      </c>
      <c r="L8" s="12" t="s">
        <v>494</v>
      </c>
      <c r="M8" s="10">
        <v>4598255226</v>
      </c>
      <c r="N8" s="10">
        <v>535588</v>
      </c>
      <c r="O8" s="12">
        <v>2</v>
      </c>
    </row>
    <row r="9" spans="1:15" x14ac:dyDescent="0.3">
      <c r="A9" s="9">
        <v>43478</v>
      </c>
      <c r="B9" s="10">
        <v>1041</v>
      </c>
      <c r="C9" s="11">
        <v>0.14899999999999999</v>
      </c>
      <c r="D9" s="10">
        <v>3730</v>
      </c>
      <c r="E9" s="11">
        <v>0.19500000000000001</v>
      </c>
      <c r="F9" s="10">
        <v>575436</v>
      </c>
      <c r="G9" s="11">
        <v>0.192</v>
      </c>
      <c r="H9" s="11">
        <v>0.39900000000000002</v>
      </c>
      <c r="I9" s="10">
        <v>2040427250</v>
      </c>
      <c r="J9" s="12" t="s">
        <v>495</v>
      </c>
      <c r="K9" s="10">
        <v>229792</v>
      </c>
      <c r="L9" s="12" t="s">
        <v>496</v>
      </c>
      <c r="M9" s="10">
        <v>6638682476</v>
      </c>
      <c r="N9" s="10">
        <v>765380</v>
      </c>
      <c r="O9" s="12">
        <v>2</v>
      </c>
    </row>
    <row r="10" spans="1:15" ht="27" x14ac:dyDescent="0.3">
      <c r="A10" s="9">
        <v>43479</v>
      </c>
      <c r="B10" s="12">
        <v>963</v>
      </c>
      <c r="C10" s="11">
        <v>0.151</v>
      </c>
      <c r="D10" s="10">
        <v>3794</v>
      </c>
      <c r="E10" s="11">
        <v>0.214</v>
      </c>
      <c r="F10" s="10">
        <v>607095</v>
      </c>
      <c r="G10" s="11">
        <v>0.217</v>
      </c>
      <c r="H10" s="11">
        <v>0.158</v>
      </c>
      <c r="I10" s="10">
        <v>786887930</v>
      </c>
      <c r="J10" s="12" t="s">
        <v>497</v>
      </c>
      <c r="K10" s="10">
        <v>95878</v>
      </c>
      <c r="L10" s="12" t="s">
        <v>498</v>
      </c>
      <c r="M10" s="10">
        <v>7425570406</v>
      </c>
      <c r="N10" s="10">
        <v>861258</v>
      </c>
      <c r="O10" s="12">
        <v>2</v>
      </c>
    </row>
    <row r="11" spans="1:15" ht="27" x14ac:dyDescent="0.3">
      <c r="A11" s="9">
        <v>43480</v>
      </c>
      <c r="B11" s="10">
        <v>1004</v>
      </c>
      <c r="C11" s="11">
        <v>0.153</v>
      </c>
      <c r="D11" s="10">
        <v>3908</v>
      </c>
      <c r="E11" s="11">
        <v>0.22</v>
      </c>
      <c r="F11" s="10">
        <v>627017</v>
      </c>
      <c r="G11" s="11">
        <v>0.224</v>
      </c>
      <c r="H11" s="11">
        <v>0.14799999999999999</v>
      </c>
      <c r="I11" s="10">
        <v>759249150</v>
      </c>
      <c r="J11" s="12" t="s">
        <v>499</v>
      </c>
      <c r="K11" s="10">
        <v>92667</v>
      </c>
      <c r="L11" s="12" t="s">
        <v>500</v>
      </c>
      <c r="M11" s="10">
        <v>8184819556</v>
      </c>
      <c r="N11" s="10">
        <v>953925</v>
      </c>
      <c r="O11" s="12">
        <v>2</v>
      </c>
    </row>
    <row r="12" spans="1:15" ht="27" x14ac:dyDescent="0.3">
      <c r="A12" s="9">
        <v>43481</v>
      </c>
      <c r="B12" s="12">
        <v>954</v>
      </c>
      <c r="C12" s="11">
        <v>0.13500000000000001</v>
      </c>
      <c r="D12" s="10">
        <v>3612</v>
      </c>
      <c r="E12" s="11">
        <v>0.19900000000000001</v>
      </c>
      <c r="F12" s="10">
        <v>610297</v>
      </c>
      <c r="G12" s="11">
        <v>0.215</v>
      </c>
      <c r="H12" s="11">
        <v>0.14699999999999999</v>
      </c>
      <c r="I12" s="10">
        <v>725335550</v>
      </c>
      <c r="J12" s="12" t="s">
        <v>501</v>
      </c>
      <c r="K12" s="10">
        <v>89952</v>
      </c>
      <c r="L12" s="12" t="s">
        <v>502</v>
      </c>
      <c r="M12" s="10">
        <v>8910155106</v>
      </c>
      <c r="N12" s="10">
        <v>1043877</v>
      </c>
      <c r="O12" s="12">
        <v>2</v>
      </c>
    </row>
    <row r="13" spans="1:15" ht="27" x14ac:dyDescent="0.3">
      <c r="A13" s="9">
        <v>43482</v>
      </c>
      <c r="B13" s="12">
        <v>862</v>
      </c>
      <c r="C13" s="11">
        <v>0.11799999999999999</v>
      </c>
      <c r="D13" s="10">
        <v>3022</v>
      </c>
      <c r="E13" s="11">
        <v>0.16600000000000001</v>
      </c>
      <c r="F13" s="10">
        <v>495938</v>
      </c>
      <c r="G13" s="11">
        <v>0.17399999999999999</v>
      </c>
      <c r="H13" s="11">
        <v>0.152</v>
      </c>
      <c r="I13" s="10">
        <v>619988700</v>
      </c>
      <c r="J13" s="12" t="s">
        <v>503</v>
      </c>
      <c r="K13" s="10">
        <v>75564</v>
      </c>
      <c r="L13" s="12" t="s">
        <v>504</v>
      </c>
      <c r="M13" s="10">
        <v>9530143806</v>
      </c>
      <c r="N13" s="10">
        <v>1119441</v>
      </c>
      <c r="O13" s="12">
        <v>2</v>
      </c>
    </row>
    <row r="14" spans="1:15" ht="27" x14ac:dyDescent="0.3">
      <c r="A14" s="9">
        <v>43483</v>
      </c>
      <c r="B14" s="12">
        <v>899</v>
      </c>
      <c r="C14" s="11">
        <v>0.123</v>
      </c>
      <c r="D14" s="10">
        <v>3279</v>
      </c>
      <c r="E14" s="11">
        <v>0.17699999999999999</v>
      </c>
      <c r="F14" s="10">
        <v>533948</v>
      </c>
      <c r="G14" s="11">
        <v>0.185</v>
      </c>
      <c r="H14" s="11">
        <v>0.16900000000000001</v>
      </c>
      <c r="I14" s="10">
        <v>809182593</v>
      </c>
      <c r="J14" s="12" t="s">
        <v>505</v>
      </c>
      <c r="K14" s="10">
        <v>90405</v>
      </c>
      <c r="L14" s="12" t="s">
        <v>506</v>
      </c>
      <c r="M14" s="10">
        <v>10339326399</v>
      </c>
      <c r="N14" s="10">
        <v>1209846</v>
      </c>
      <c r="O14" s="12">
        <v>2</v>
      </c>
    </row>
    <row r="15" spans="1:15" ht="27" x14ac:dyDescent="0.3">
      <c r="A15" s="9">
        <v>43484</v>
      </c>
      <c r="B15" s="12">
        <v>992</v>
      </c>
      <c r="C15" s="11">
        <v>0.128</v>
      </c>
      <c r="D15" s="10">
        <v>3775</v>
      </c>
      <c r="E15" s="11">
        <v>0.19400000000000001</v>
      </c>
      <c r="F15" s="10">
        <v>620104</v>
      </c>
      <c r="G15" s="11">
        <v>0.20499999999999999</v>
      </c>
      <c r="H15" s="11">
        <v>0.316</v>
      </c>
      <c r="I15" s="10">
        <v>1739836358</v>
      </c>
      <c r="J15" s="12" t="s">
        <v>507</v>
      </c>
      <c r="K15" s="10">
        <v>195973</v>
      </c>
      <c r="L15" s="12" t="s">
        <v>508</v>
      </c>
      <c r="M15" s="10">
        <v>12079162757</v>
      </c>
      <c r="N15" s="10">
        <v>1405819</v>
      </c>
      <c r="O15" s="12">
        <v>2</v>
      </c>
    </row>
    <row r="16" spans="1:15" ht="27" x14ac:dyDescent="0.3">
      <c r="A16" s="9">
        <v>43485</v>
      </c>
      <c r="B16" s="12">
        <v>992</v>
      </c>
      <c r="C16" s="11">
        <v>0.129</v>
      </c>
      <c r="D16" s="10">
        <v>3743</v>
      </c>
      <c r="E16" s="11">
        <v>0.19800000000000001</v>
      </c>
      <c r="F16" s="10">
        <v>616385</v>
      </c>
      <c r="G16" s="11">
        <v>0.21</v>
      </c>
      <c r="H16" s="11">
        <v>0.31</v>
      </c>
      <c r="I16" s="10">
        <v>1701531340</v>
      </c>
      <c r="J16" s="12" t="s">
        <v>509</v>
      </c>
      <c r="K16" s="10">
        <v>191234</v>
      </c>
      <c r="L16" s="12" t="s">
        <v>510</v>
      </c>
      <c r="M16" s="10">
        <v>13780694097</v>
      </c>
      <c r="N16" s="10">
        <v>1597053</v>
      </c>
      <c r="O16" s="12">
        <v>2</v>
      </c>
    </row>
    <row r="17" spans="1:15" ht="27" x14ac:dyDescent="0.3">
      <c r="A17" s="9">
        <v>43486</v>
      </c>
      <c r="B17" s="12">
        <v>890</v>
      </c>
      <c r="C17" s="11">
        <v>0.129</v>
      </c>
      <c r="D17" s="10">
        <v>3565</v>
      </c>
      <c r="E17" s="11">
        <v>0.20399999999999999</v>
      </c>
      <c r="F17" s="10">
        <v>585604</v>
      </c>
      <c r="G17" s="11">
        <v>0.214</v>
      </c>
      <c r="H17" s="11">
        <v>0.122</v>
      </c>
      <c r="I17" s="10">
        <v>583598470</v>
      </c>
      <c r="J17" s="12" t="s">
        <v>511</v>
      </c>
      <c r="K17" s="10">
        <v>71568</v>
      </c>
      <c r="L17" s="12" t="s">
        <v>512</v>
      </c>
      <c r="M17" s="10">
        <v>14364292567</v>
      </c>
      <c r="N17" s="10">
        <v>1668621</v>
      </c>
      <c r="O17" s="12">
        <v>2</v>
      </c>
    </row>
    <row r="18" spans="1:15" ht="27" x14ac:dyDescent="0.3">
      <c r="A18" s="9">
        <v>43487</v>
      </c>
      <c r="B18" s="12">
        <v>913</v>
      </c>
      <c r="C18" s="11">
        <v>0.128</v>
      </c>
      <c r="D18" s="10">
        <v>3567</v>
      </c>
      <c r="E18" s="11">
        <v>0.20499999999999999</v>
      </c>
      <c r="F18" s="10">
        <v>586522</v>
      </c>
      <c r="G18" s="11">
        <v>0.215</v>
      </c>
      <c r="H18" s="11">
        <v>0.106</v>
      </c>
      <c r="I18" s="10">
        <v>504196110</v>
      </c>
      <c r="J18" s="12" t="s">
        <v>513</v>
      </c>
      <c r="K18" s="10">
        <v>62309</v>
      </c>
      <c r="L18" s="12" t="s">
        <v>514</v>
      </c>
      <c r="M18" s="10">
        <v>14868488677</v>
      </c>
      <c r="N18" s="10">
        <v>1730930</v>
      </c>
      <c r="O18" s="12">
        <v>2</v>
      </c>
    </row>
    <row r="19" spans="1:15" ht="27" x14ac:dyDescent="0.3">
      <c r="A19" s="9">
        <v>43488</v>
      </c>
      <c r="B19" s="12">
        <v>656</v>
      </c>
      <c r="C19" s="11">
        <v>0.107</v>
      </c>
      <c r="D19" s="10">
        <v>2243</v>
      </c>
      <c r="E19" s="11">
        <v>0.121</v>
      </c>
      <c r="F19" s="10">
        <v>310078</v>
      </c>
      <c r="G19" s="11">
        <v>0.106</v>
      </c>
      <c r="H19" s="11">
        <v>9.6000000000000002E-2</v>
      </c>
      <c r="I19" s="10">
        <v>239958580</v>
      </c>
      <c r="J19" s="12" t="s">
        <v>515</v>
      </c>
      <c r="K19" s="10">
        <v>29853</v>
      </c>
      <c r="L19" s="12" t="s">
        <v>516</v>
      </c>
      <c r="M19" s="10">
        <v>15108447257</v>
      </c>
      <c r="N19" s="10">
        <v>1760783</v>
      </c>
      <c r="O19" s="12">
        <v>3</v>
      </c>
    </row>
    <row r="20" spans="1:15" ht="27" x14ac:dyDescent="0.3">
      <c r="A20" s="9">
        <v>43489</v>
      </c>
      <c r="B20" s="12">
        <v>641</v>
      </c>
      <c r="C20" s="11">
        <v>0.10100000000000001</v>
      </c>
      <c r="D20" s="10">
        <v>2084</v>
      </c>
      <c r="E20" s="11">
        <v>0.113</v>
      </c>
      <c r="F20" s="10">
        <v>287562</v>
      </c>
      <c r="G20" s="11">
        <v>9.9000000000000005E-2</v>
      </c>
      <c r="H20" s="11">
        <v>7.9000000000000001E-2</v>
      </c>
      <c r="I20" s="10">
        <v>182246460</v>
      </c>
      <c r="J20" s="12" t="s">
        <v>517</v>
      </c>
      <c r="K20" s="10">
        <v>22822</v>
      </c>
      <c r="L20" s="12" t="s">
        <v>518</v>
      </c>
      <c r="M20" s="10">
        <v>15290693717</v>
      </c>
      <c r="N20" s="10">
        <v>1783605</v>
      </c>
      <c r="O20" s="12">
        <v>3</v>
      </c>
    </row>
    <row r="21" spans="1:15" x14ac:dyDescent="0.3">
      <c r="A21" s="9">
        <v>43490</v>
      </c>
      <c r="B21" s="12">
        <v>627</v>
      </c>
      <c r="C21" s="11">
        <v>0.1</v>
      </c>
      <c r="D21" s="10">
        <v>1976</v>
      </c>
      <c r="E21" s="11">
        <v>0.105</v>
      </c>
      <c r="F21" s="10">
        <v>266913</v>
      </c>
      <c r="G21" s="11">
        <v>0.09</v>
      </c>
      <c r="H21" s="11">
        <v>7.8E-2</v>
      </c>
      <c r="I21" s="10">
        <v>184765582</v>
      </c>
      <c r="J21" s="12" t="s">
        <v>519</v>
      </c>
      <c r="K21" s="10">
        <v>20908</v>
      </c>
      <c r="L21" s="12" t="s">
        <v>520</v>
      </c>
      <c r="M21" s="10">
        <v>15475459299</v>
      </c>
      <c r="N21" s="10">
        <v>1804513</v>
      </c>
      <c r="O21" s="12">
        <v>3</v>
      </c>
    </row>
    <row r="22" spans="1:15" ht="27" x14ac:dyDescent="0.3">
      <c r="A22" s="9">
        <v>43491</v>
      </c>
      <c r="B22" s="12">
        <v>617</v>
      </c>
      <c r="C22" s="11">
        <v>9.2999999999999999E-2</v>
      </c>
      <c r="D22" s="10">
        <v>1668</v>
      </c>
      <c r="E22" s="11">
        <v>8.4000000000000005E-2</v>
      </c>
      <c r="F22" s="10">
        <v>215705</v>
      </c>
      <c r="G22" s="11">
        <v>6.9000000000000006E-2</v>
      </c>
      <c r="H22" s="11">
        <v>0.16400000000000001</v>
      </c>
      <c r="I22" s="10">
        <v>310555658</v>
      </c>
      <c r="J22" s="12" t="s">
        <v>521</v>
      </c>
      <c r="K22" s="10">
        <v>35366</v>
      </c>
      <c r="L22" s="12" t="s">
        <v>522</v>
      </c>
      <c r="M22" s="10">
        <v>15786014957</v>
      </c>
      <c r="N22" s="10">
        <v>1839879</v>
      </c>
      <c r="O22" s="12">
        <v>4</v>
      </c>
    </row>
    <row r="23" spans="1:15" ht="27" x14ac:dyDescent="0.3">
      <c r="A23" s="9">
        <v>43492</v>
      </c>
      <c r="B23" s="12">
        <v>602</v>
      </c>
      <c r="C23" s="11">
        <v>9.2999999999999999E-2</v>
      </c>
      <c r="D23" s="10">
        <v>1522</v>
      </c>
      <c r="E23" s="11">
        <v>7.8E-2</v>
      </c>
      <c r="F23" s="10">
        <v>194858</v>
      </c>
      <c r="G23" s="11">
        <v>6.4000000000000001E-2</v>
      </c>
      <c r="H23" s="11">
        <v>0.16</v>
      </c>
      <c r="I23" s="10">
        <v>274123080</v>
      </c>
      <c r="J23" s="12" t="s">
        <v>523</v>
      </c>
      <c r="K23" s="10">
        <v>31245</v>
      </c>
      <c r="L23" s="12" t="s">
        <v>524</v>
      </c>
      <c r="M23" s="10">
        <v>16060138037</v>
      </c>
      <c r="N23" s="10">
        <v>1871124</v>
      </c>
      <c r="O23" s="12">
        <v>4</v>
      </c>
    </row>
    <row r="24" spans="1:15" ht="27" x14ac:dyDescent="0.3">
      <c r="A24" s="9">
        <v>43493</v>
      </c>
      <c r="B24" s="12">
        <v>589</v>
      </c>
      <c r="C24" s="11">
        <v>0.1</v>
      </c>
      <c r="D24" s="10">
        <v>1603</v>
      </c>
      <c r="E24" s="11">
        <v>8.7999999999999995E-2</v>
      </c>
      <c r="F24" s="10">
        <v>205700</v>
      </c>
      <c r="G24" s="11">
        <v>7.1999999999999995E-2</v>
      </c>
      <c r="H24" s="11">
        <v>7.0000000000000007E-2</v>
      </c>
      <c r="I24" s="10">
        <v>114697320</v>
      </c>
      <c r="J24" s="12" t="s">
        <v>525</v>
      </c>
      <c r="K24" s="10">
        <v>14309</v>
      </c>
      <c r="L24" s="12" t="s">
        <v>526</v>
      </c>
      <c r="M24" s="10">
        <v>16174835357</v>
      </c>
      <c r="N24" s="10">
        <v>1885433</v>
      </c>
      <c r="O24" s="12">
        <v>4</v>
      </c>
    </row>
    <row r="25" spans="1:15" x14ac:dyDescent="0.3">
      <c r="A25" s="9">
        <v>43494</v>
      </c>
      <c r="B25" s="12">
        <v>570</v>
      </c>
      <c r="C25" s="11">
        <v>9.2999999999999999E-2</v>
      </c>
      <c r="D25" s="10">
        <v>1578</v>
      </c>
      <c r="E25" s="11">
        <v>8.5999999999999993E-2</v>
      </c>
      <c r="F25" s="10">
        <v>202894</v>
      </c>
      <c r="G25" s="11">
        <v>7.0000000000000007E-2</v>
      </c>
      <c r="H25" s="11">
        <v>7.5999999999999998E-2</v>
      </c>
      <c r="I25" s="10">
        <v>122265930</v>
      </c>
      <c r="J25" s="12" t="s">
        <v>527</v>
      </c>
      <c r="K25" s="10">
        <v>15429</v>
      </c>
      <c r="L25" s="12" t="s">
        <v>528</v>
      </c>
      <c r="M25" s="10">
        <v>16297101287</v>
      </c>
      <c r="N25" s="10">
        <v>1900862</v>
      </c>
      <c r="O25" s="12">
        <v>4</v>
      </c>
    </row>
    <row r="26" spans="1:15" ht="27" x14ac:dyDescent="0.3">
      <c r="A26" s="9">
        <v>43495</v>
      </c>
      <c r="B26" s="12">
        <v>117</v>
      </c>
      <c r="C26" s="11">
        <v>2.3E-2</v>
      </c>
      <c r="D26" s="12">
        <v>165</v>
      </c>
      <c r="E26" s="11">
        <v>8.9999999999999993E-3</v>
      </c>
      <c r="F26" s="10">
        <v>18463</v>
      </c>
      <c r="G26" s="11">
        <v>6.0000000000000001E-3</v>
      </c>
      <c r="H26" s="11">
        <v>0.157</v>
      </c>
      <c r="I26" s="10">
        <v>17823390</v>
      </c>
      <c r="J26" s="12" t="s">
        <v>529</v>
      </c>
      <c r="K26" s="10">
        <v>2895</v>
      </c>
      <c r="L26" s="12" t="s">
        <v>530</v>
      </c>
      <c r="M26" s="10">
        <v>16314924677</v>
      </c>
      <c r="N26" s="10">
        <v>1903757</v>
      </c>
      <c r="O26" s="12">
        <v>8</v>
      </c>
    </row>
    <row r="27" spans="1:15" ht="27" x14ac:dyDescent="0.3">
      <c r="A27" s="9">
        <v>43496</v>
      </c>
      <c r="B27" s="12">
        <v>81</v>
      </c>
      <c r="C27" s="11">
        <v>1.4999999999999999E-2</v>
      </c>
      <c r="D27" s="12">
        <v>119</v>
      </c>
      <c r="E27" s="11">
        <v>6.0000000000000001E-3</v>
      </c>
      <c r="F27" s="10">
        <v>12317</v>
      </c>
      <c r="G27" s="11">
        <v>4.0000000000000001E-3</v>
      </c>
      <c r="H27" s="11">
        <v>0.11799999999999999</v>
      </c>
      <c r="I27" s="10">
        <v>10723280</v>
      </c>
      <c r="J27" s="12" t="s">
        <v>531</v>
      </c>
      <c r="K27" s="10">
        <v>1455</v>
      </c>
      <c r="L27" s="12" t="s">
        <v>532</v>
      </c>
      <c r="M27" s="10">
        <v>16325647957</v>
      </c>
      <c r="N27" s="10">
        <v>1905212</v>
      </c>
      <c r="O27" s="12">
        <v>14</v>
      </c>
    </row>
    <row r="28" spans="1:15" x14ac:dyDescent="0.3">
      <c r="A28" s="9">
        <v>43497</v>
      </c>
      <c r="B28" s="12">
        <v>81</v>
      </c>
      <c r="C28" s="11">
        <v>1.4999999999999999E-2</v>
      </c>
      <c r="D28" s="12">
        <v>112</v>
      </c>
      <c r="E28" s="11">
        <v>6.0000000000000001E-3</v>
      </c>
      <c r="F28" s="10">
        <v>11910</v>
      </c>
      <c r="G28" s="11">
        <v>4.0000000000000001E-3</v>
      </c>
      <c r="H28" s="11">
        <v>0.153</v>
      </c>
      <c r="I28" s="10">
        <v>13745220</v>
      </c>
      <c r="J28" s="12" t="s">
        <v>533</v>
      </c>
      <c r="K28" s="10">
        <v>1817</v>
      </c>
      <c r="L28" s="12" t="s">
        <v>534</v>
      </c>
      <c r="M28" s="10">
        <v>16339393177</v>
      </c>
      <c r="N28" s="10">
        <v>1907029</v>
      </c>
      <c r="O28" s="12">
        <v>10</v>
      </c>
    </row>
    <row r="29" spans="1:15" x14ac:dyDescent="0.3">
      <c r="A29" s="9">
        <v>43498</v>
      </c>
      <c r="B29" s="12">
        <v>61</v>
      </c>
      <c r="C29" s="11">
        <v>1.0999999999999999E-2</v>
      </c>
      <c r="D29" s="12">
        <v>87</v>
      </c>
      <c r="E29" s="11">
        <v>4.0000000000000001E-3</v>
      </c>
      <c r="F29" s="10">
        <v>9262</v>
      </c>
      <c r="G29" s="11">
        <v>3.0000000000000001E-3</v>
      </c>
      <c r="H29" s="11">
        <v>0.20599999999999999</v>
      </c>
      <c r="I29" s="10">
        <v>14787450</v>
      </c>
      <c r="J29" s="12" t="s">
        <v>535</v>
      </c>
      <c r="K29" s="10">
        <v>1906</v>
      </c>
      <c r="L29" s="12" t="s">
        <v>536</v>
      </c>
      <c r="M29" s="10">
        <v>16354180627</v>
      </c>
      <c r="N29" s="10">
        <v>1908935</v>
      </c>
      <c r="O29" s="12">
        <v>12</v>
      </c>
    </row>
    <row r="30" spans="1:15" x14ac:dyDescent="0.3">
      <c r="A30" s="9">
        <v>43499</v>
      </c>
      <c r="B30" s="12">
        <v>60</v>
      </c>
      <c r="C30" s="11">
        <v>0.01</v>
      </c>
      <c r="D30" s="12">
        <v>84</v>
      </c>
      <c r="E30" s="11">
        <v>4.0000000000000001E-3</v>
      </c>
      <c r="F30" s="10">
        <v>8617</v>
      </c>
      <c r="G30" s="11">
        <v>3.0000000000000001E-3</v>
      </c>
      <c r="H30" s="11">
        <v>0.217</v>
      </c>
      <c r="I30" s="10">
        <v>14303730</v>
      </c>
      <c r="J30" s="12" t="s">
        <v>537</v>
      </c>
      <c r="K30" s="10">
        <v>1867</v>
      </c>
      <c r="L30" s="12" t="s">
        <v>538</v>
      </c>
      <c r="M30" s="10">
        <v>16368484357</v>
      </c>
      <c r="N30" s="10">
        <v>1910802</v>
      </c>
      <c r="O30" s="12">
        <v>11</v>
      </c>
    </row>
    <row r="31" spans="1:15" x14ac:dyDescent="0.3">
      <c r="A31" s="9">
        <v>43500</v>
      </c>
      <c r="B31" s="12">
        <v>64</v>
      </c>
      <c r="C31" s="11">
        <v>1.0999999999999999E-2</v>
      </c>
      <c r="D31" s="12">
        <v>88</v>
      </c>
      <c r="E31" s="11">
        <v>4.0000000000000001E-3</v>
      </c>
      <c r="F31" s="10">
        <v>9120</v>
      </c>
      <c r="G31" s="11">
        <v>3.0000000000000001E-3</v>
      </c>
      <c r="H31" s="11">
        <v>0.219</v>
      </c>
      <c r="I31" s="10">
        <v>15011060</v>
      </c>
      <c r="J31" s="12" t="s">
        <v>539</v>
      </c>
      <c r="K31" s="10">
        <v>1994</v>
      </c>
      <c r="L31" s="12" t="s">
        <v>540</v>
      </c>
      <c r="M31" s="10">
        <v>16383495417</v>
      </c>
      <c r="N31" s="10">
        <v>1912796</v>
      </c>
      <c r="O31" s="12">
        <v>10</v>
      </c>
    </row>
    <row r="32" spans="1:15" ht="27" x14ac:dyDescent="0.3">
      <c r="A32" s="9">
        <v>43501</v>
      </c>
      <c r="B32" s="12">
        <v>19</v>
      </c>
      <c r="C32" s="11">
        <v>3.0000000000000001E-3</v>
      </c>
      <c r="D32" s="12">
        <v>25</v>
      </c>
      <c r="E32" s="11">
        <v>1E-3</v>
      </c>
      <c r="F32" s="10">
        <v>2389</v>
      </c>
      <c r="G32" s="11">
        <v>1E-3</v>
      </c>
      <c r="H32" s="11">
        <v>0.22600000000000001</v>
      </c>
      <c r="I32" s="10">
        <v>4364100</v>
      </c>
      <c r="J32" s="12" t="s">
        <v>541</v>
      </c>
      <c r="K32" s="12">
        <v>539</v>
      </c>
      <c r="L32" s="12" t="s">
        <v>542</v>
      </c>
      <c r="M32" s="10">
        <v>16387859517</v>
      </c>
      <c r="N32" s="10">
        <v>1913335</v>
      </c>
      <c r="O32" s="12">
        <v>13</v>
      </c>
    </row>
    <row r="33" spans="1:15" ht="27" x14ac:dyDescent="0.3">
      <c r="A33" s="9">
        <v>43502</v>
      </c>
      <c r="B33" s="12">
        <v>16</v>
      </c>
      <c r="C33" s="11">
        <v>3.0000000000000001E-3</v>
      </c>
      <c r="D33" s="12">
        <v>19</v>
      </c>
      <c r="E33" s="11">
        <v>1E-3</v>
      </c>
      <c r="F33" s="10">
        <v>2001</v>
      </c>
      <c r="G33" s="11">
        <v>1E-3</v>
      </c>
      <c r="H33" s="11">
        <v>0.20799999999999999</v>
      </c>
      <c r="I33" s="10">
        <v>3406300</v>
      </c>
      <c r="J33" s="12" t="s">
        <v>543</v>
      </c>
      <c r="K33" s="12">
        <v>417</v>
      </c>
      <c r="L33" s="12" t="s">
        <v>544</v>
      </c>
      <c r="M33" s="10">
        <v>16391265817</v>
      </c>
      <c r="N33" s="10">
        <v>1913752</v>
      </c>
      <c r="O33" s="12">
        <v>18</v>
      </c>
    </row>
    <row r="34" spans="1:15" ht="27" x14ac:dyDescent="0.3">
      <c r="A34" s="9">
        <v>43503</v>
      </c>
      <c r="B34" s="12">
        <v>8</v>
      </c>
      <c r="C34" s="11">
        <v>1E-3</v>
      </c>
      <c r="D34" s="12">
        <v>9</v>
      </c>
      <c r="E34" s="11">
        <v>0</v>
      </c>
      <c r="F34" s="12">
        <v>828</v>
      </c>
      <c r="G34" s="11">
        <v>0</v>
      </c>
      <c r="H34" s="11">
        <v>0.13300000000000001</v>
      </c>
      <c r="I34" s="10">
        <v>865000</v>
      </c>
      <c r="J34" s="12" t="s">
        <v>545</v>
      </c>
      <c r="K34" s="12">
        <v>110</v>
      </c>
      <c r="L34" s="12" t="s">
        <v>546</v>
      </c>
      <c r="M34" s="10">
        <v>16392130817</v>
      </c>
      <c r="N34" s="10">
        <v>1913862</v>
      </c>
      <c r="O34" s="12">
        <v>33</v>
      </c>
    </row>
    <row r="35" spans="1:15" x14ac:dyDescent="0.3">
      <c r="A35" s="9">
        <v>43504</v>
      </c>
      <c r="B35" s="12">
        <v>9</v>
      </c>
      <c r="C35" s="11">
        <v>2E-3</v>
      </c>
      <c r="D35" s="12">
        <v>10</v>
      </c>
      <c r="E35" s="11">
        <v>1E-3</v>
      </c>
      <c r="F35" s="10">
        <v>1092</v>
      </c>
      <c r="G35" s="11">
        <v>0</v>
      </c>
      <c r="H35" s="11">
        <v>0.108</v>
      </c>
      <c r="I35" s="10">
        <v>1036400</v>
      </c>
      <c r="J35" s="12" t="s">
        <v>547</v>
      </c>
      <c r="K35" s="12">
        <v>118</v>
      </c>
      <c r="L35" s="12" t="s">
        <v>548</v>
      </c>
      <c r="M35" s="10">
        <v>16393167217</v>
      </c>
      <c r="N35" s="10">
        <v>1913980</v>
      </c>
      <c r="O35" s="12">
        <v>36</v>
      </c>
    </row>
    <row r="36" spans="1:15" x14ac:dyDescent="0.3">
      <c r="A36" s="9">
        <v>43505</v>
      </c>
      <c r="B36" s="12">
        <v>10</v>
      </c>
      <c r="C36" s="11">
        <v>2E-3</v>
      </c>
      <c r="D36" s="12">
        <v>11</v>
      </c>
      <c r="E36" s="11">
        <v>1E-3</v>
      </c>
      <c r="F36" s="12">
        <v>916</v>
      </c>
      <c r="G36" s="11">
        <v>0</v>
      </c>
      <c r="H36" s="11">
        <v>0.25700000000000001</v>
      </c>
      <c r="I36" s="10">
        <v>1913200</v>
      </c>
      <c r="J36" s="12" t="s">
        <v>549</v>
      </c>
      <c r="K36" s="12">
        <v>235</v>
      </c>
      <c r="L36" s="12" t="s">
        <v>550</v>
      </c>
      <c r="M36" s="10">
        <v>16395080417</v>
      </c>
      <c r="N36" s="10">
        <v>1914215</v>
      </c>
      <c r="O36" s="12">
        <v>28</v>
      </c>
    </row>
    <row r="37" spans="1:15" ht="27" x14ac:dyDescent="0.3">
      <c r="A37" s="9">
        <v>43506</v>
      </c>
      <c r="B37" s="12">
        <v>9</v>
      </c>
      <c r="C37" s="11">
        <v>2E-3</v>
      </c>
      <c r="D37" s="12">
        <v>10</v>
      </c>
      <c r="E37" s="11">
        <v>1E-3</v>
      </c>
      <c r="F37" s="12">
        <v>830</v>
      </c>
      <c r="G37" s="11">
        <v>0</v>
      </c>
      <c r="H37" s="11">
        <v>0.20399999999999999</v>
      </c>
      <c r="I37" s="10">
        <v>1431500</v>
      </c>
      <c r="J37" s="12" t="s">
        <v>551</v>
      </c>
      <c r="K37" s="12">
        <v>169</v>
      </c>
      <c r="L37" s="12" t="s">
        <v>552</v>
      </c>
      <c r="M37" s="10">
        <v>16396511917</v>
      </c>
      <c r="N37" s="10">
        <v>1914384</v>
      </c>
      <c r="O37" s="12">
        <v>29</v>
      </c>
    </row>
    <row r="38" spans="1:15" ht="27" x14ac:dyDescent="0.3">
      <c r="A38" s="9">
        <v>43507</v>
      </c>
      <c r="B38" s="12">
        <v>8</v>
      </c>
      <c r="C38" s="11">
        <v>1E-3</v>
      </c>
      <c r="D38" s="12">
        <v>8</v>
      </c>
      <c r="E38" s="11">
        <v>0</v>
      </c>
      <c r="F38" s="12">
        <v>886</v>
      </c>
      <c r="G38" s="11">
        <v>0</v>
      </c>
      <c r="H38" s="11">
        <v>8.6999999999999994E-2</v>
      </c>
      <c r="I38" s="10">
        <v>599400</v>
      </c>
      <c r="J38" s="12" t="s">
        <v>553</v>
      </c>
      <c r="K38" s="12">
        <v>77</v>
      </c>
      <c r="L38" s="12" t="s">
        <v>554</v>
      </c>
      <c r="M38" s="10">
        <v>16397111317</v>
      </c>
      <c r="N38" s="10">
        <v>1914461</v>
      </c>
      <c r="O38" s="12">
        <v>33</v>
      </c>
    </row>
    <row r="39" spans="1:15" x14ac:dyDescent="0.3">
      <c r="A39" s="9">
        <v>43508</v>
      </c>
      <c r="B39" s="12">
        <v>9</v>
      </c>
      <c r="C39" s="11">
        <v>2E-3</v>
      </c>
      <c r="D39" s="12">
        <v>9</v>
      </c>
      <c r="E39" s="11">
        <v>0</v>
      </c>
      <c r="F39" s="12">
        <v>937</v>
      </c>
      <c r="G39" s="11">
        <v>0</v>
      </c>
      <c r="H39" s="11">
        <v>0.129</v>
      </c>
      <c r="I39" s="10">
        <v>946500</v>
      </c>
      <c r="J39" s="12" t="s">
        <v>555</v>
      </c>
      <c r="K39" s="12">
        <v>121</v>
      </c>
      <c r="L39" s="12" t="s">
        <v>556</v>
      </c>
      <c r="M39" s="10">
        <v>16398057817</v>
      </c>
      <c r="N39" s="10">
        <v>1914582</v>
      </c>
      <c r="O39" s="12">
        <v>36</v>
      </c>
    </row>
    <row r="40" spans="1:15" ht="27" x14ac:dyDescent="0.3">
      <c r="A40" s="9">
        <v>43509</v>
      </c>
      <c r="B40" s="12">
        <v>5</v>
      </c>
      <c r="C40" s="11">
        <v>1E-3</v>
      </c>
      <c r="D40" s="12">
        <v>5</v>
      </c>
      <c r="E40" s="11">
        <v>0</v>
      </c>
      <c r="F40" s="12">
        <v>738</v>
      </c>
      <c r="G40" s="11">
        <v>0</v>
      </c>
      <c r="H40" s="11">
        <v>0.55000000000000004</v>
      </c>
      <c r="I40" s="10">
        <v>3644650</v>
      </c>
      <c r="J40" s="12" t="s">
        <v>557</v>
      </c>
      <c r="K40" s="12">
        <v>406</v>
      </c>
      <c r="L40" s="12" t="s">
        <v>558</v>
      </c>
      <c r="M40" s="10">
        <v>16401702467</v>
      </c>
      <c r="N40" s="10">
        <v>1914988</v>
      </c>
      <c r="O40" s="12">
        <v>22</v>
      </c>
    </row>
    <row r="41" spans="1:15" ht="27" x14ac:dyDescent="0.3">
      <c r="A41" s="9">
        <v>43510</v>
      </c>
      <c r="B41" s="12">
        <v>3</v>
      </c>
      <c r="C41" s="11">
        <v>0</v>
      </c>
      <c r="D41" s="12">
        <v>3</v>
      </c>
      <c r="E41" s="11">
        <v>0</v>
      </c>
      <c r="F41" s="12">
        <v>636</v>
      </c>
      <c r="G41" s="11">
        <v>0</v>
      </c>
      <c r="H41" s="11">
        <v>0.38200000000000001</v>
      </c>
      <c r="I41" s="10">
        <v>1975000</v>
      </c>
      <c r="J41" s="12" t="s">
        <v>559</v>
      </c>
      <c r="K41" s="12">
        <v>243</v>
      </c>
      <c r="L41" s="12" t="s">
        <v>560</v>
      </c>
      <c r="M41" s="10">
        <v>16403677467</v>
      </c>
      <c r="N41" s="10">
        <v>1915231</v>
      </c>
      <c r="O41" s="12">
        <v>30</v>
      </c>
    </row>
    <row r="42" spans="1:15" ht="27" x14ac:dyDescent="0.3">
      <c r="A42" s="9">
        <v>43511</v>
      </c>
      <c r="B42" s="12">
        <v>2</v>
      </c>
      <c r="C42" s="11">
        <v>0</v>
      </c>
      <c r="D42" s="12">
        <v>2</v>
      </c>
      <c r="E42" s="11">
        <v>0</v>
      </c>
      <c r="F42" s="12">
        <v>418</v>
      </c>
      <c r="G42" s="11">
        <v>0</v>
      </c>
      <c r="H42" s="11">
        <v>0.14099999999999999</v>
      </c>
      <c r="I42" s="10">
        <v>301000</v>
      </c>
      <c r="J42" s="12" t="s">
        <v>561</v>
      </c>
      <c r="K42" s="12">
        <v>59</v>
      </c>
      <c r="L42" s="12" t="s">
        <v>562</v>
      </c>
      <c r="M42" s="10">
        <v>16403978467</v>
      </c>
      <c r="N42" s="10">
        <v>1915290</v>
      </c>
      <c r="O42" s="12">
        <v>43</v>
      </c>
    </row>
    <row r="43" spans="1:15" x14ac:dyDescent="0.3">
      <c r="A43" s="9">
        <v>43512</v>
      </c>
      <c r="B43" s="12">
        <v>2</v>
      </c>
      <c r="C43" s="11">
        <v>0</v>
      </c>
      <c r="D43" s="12">
        <v>2</v>
      </c>
      <c r="E43" s="11">
        <v>0</v>
      </c>
      <c r="F43" s="12">
        <v>378</v>
      </c>
      <c r="G43" s="11">
        <v>0</v>
      </c>
      <c r="H43" s="11">
        <v>0.193</v>
      </c>
      <c r="I43" s="10">
        <v>444600</v>
      </c>
      <c r="J43" s="12" t="s">
        <v>563</v>
      </c>
      <c r="K43" s="12">
        <v>73</v>
      </c>
      <c r="L43" s="12" t="s">
        <v>564</v>
      </c>
      <c r="M43" s="10">
        <v>16404423067</v>
      </c>
      <c r="N43" s="10">
        <v>1915363</v>
      </c>
      <c r="O43" s="12">
        <v>42</v>
      </c>
    </row>
    <row r="44" spans="1:15" x14ac:dyDescent="0.3">
      <c r="A44" s="9">
        <v>43513</v>
      </c>
      <c r="B44" s="12">
        <v>3</v>
      </c>
      <c r="C44" s="11">
        <v>0</v>
      </c>
      <c r="D44" s="12">
        <v>3</v>
      </c>
      <c r="E44" s="11">
        <v>0</v>
      </c>
      <c r="F44" s="12">
        <v>507</v>
      </c>
      <c r="G44" s="11">
        <v>0</v>
      </c>
      <c r="H44" s="11">
        <v>0.223</v>
      </c>
      <c r="I44" s="10">
        <v>620000</v>
      </c>
      <c r="J44" s="12" t="s">
        <v>565</v>
      </c>
      <c r="K44" s="12">
        <v>113</v>
      </c>
      <c r="L44" s="12" t="s">
        <v>566</v>
      </c>
      <c r="M44" s="10">
        <v>16405043067</v>
      </c>
      <c r="N44" s="10">
        <v>1915476</v>
      </c>
      <c r="O44" s="12">
        <v>34</v>
      </c>
    </row>
    <row r="45" spans="1:15" x14ac:dyDescent="0.3">
      <c r="A45" s="9">
        <v>43514</v>
      </c>
      <c r="B45" s="12">
        <v>3</v>
      </c>
      <c r="C45" s="11">
        <v>0</v>
      </c>
      <c r="D45" s="12">
        <v>3</v>
      </c>
      <c r="E45" s="11">
        <v>0</v>
      </c>
      <c r="F45" s="12">
        <v>509</v>
      </c>
      <c r="G45" s="11">
        <v>0</v>
      </c>
      <c r="H45" s="11">
        <v>0.22600000000000001</v>
      </c>
      <c r="I45" s="10">
        <v>604000</v>
      </c>
      <c r="J45" s="12" t="s">
        <v>567</v>
      </c>
      <c r="K45" s="12">
        <v>115</v>
      </c>
      <c r="L45" s="12" t="s">
        <v>568</v>
      </c>
      <c r="M45" s="10">
        <v>16405647067</v>
      </c>
      <c r="N45" s="10">
        <v>1915591</v>
      </c>
      <c r="O45" s="12">
        <v>35</v>
      </c>
    </row>
    <row r="46" spans="1:15" x14ac:dyDescent="0.3">
      <c r="A46" s="9">
        <v>43515</v>
      </c>
      <c r="B46" s="12">
        <v>4</v>
      </c>
      <c r="C46" s="11">
        <v>1E-3</v>
      </c>
      <c r="D46" s="12">
        <v>4</v>
      </c>
      <c r="E46" s="11">
        <v>0</v>
      </c>
      <c r="F46" s="12">
        <v>606</v>
      </c>
      <c r="G46" s="11">
        <v>0</v>
      </c>
      <c r="H46" s="11">
        <v>0.18</v>
      </c>
      <c r="I46" s="10">
        <v>569000</v>
      </c>
      <c r="J46" s="12" t="s">
        <v>569</v>
      </c>
      <c r="K46" s="12">
        <v>109</v>
      </c>
      <c r="L46" s="12" t="s">
        <v>570</v>
      </c>
      <c r="M46" s="10">
        <v>16406216067</v>
      </c>
      <c r="N46" s="10">
        <v>1915700</v>
      </c>
      <c r="O46" s="12">
        <v>41</v>
      </c>
    </row>
    <row r="47" spans="1:15" x14ac:dyDescent="0.3">
      <c r="A47" s="9">
        <v>43516</v>
      </c>
      <c r="B47" s="12">
        <v>3</v>
      </c>
      <c r="C47" s="11">
        <v>0</v>
      </c>
      <c r="D47" s="12">
        <v>3</v>
      </c>
      <c r="E47" s="11">
        <v>0</v>
      </c>
      <c r="F47" s="12">
        <v>433</v>
      </c>
      <c r="G47" s="11">
        <v>0</v>
      </c>
      <c r="H47" s="11">
        <v>0.252</v>
      </c>
      <c r="I47" s="10">
        <v>567000</v>
      </c>
      <c r="J47" s="12" t="s">
        <v>571</v>
      </c>
      <c r="K47" s="12">
        <v>109</v>
      </c>
      <c r="L47" s="12" t="s">
        <v>292</v>
      </c>
      <c r="M47" s="10">
        <v>16406783067</v>
      </c>
      <c r="N47" s="10">
        <v>1915809</v>
      </c>
      <c r="O47" s="12">
        <v>41</v>
      </c>
    </row>
    <row r="48" spans="1:15" x14ac:dyDescent="0.3">
      <c r="A48" s="9">
        <v>43517</v>
      </c>
      <c r="B48" s="12">
        <v>3</v>
      </c>
      <c r="C48" s="11">
        <v>0</v>
      </c>
      <c r="D48" s="12">
        <v>3</v>
      </c>
      <c r="E48" s="11">
        <v>0</v>
      </c>
      <c r="F48" s="12">
        <v>390</v>
      </c>
      <c r="G48" s="11">
        <v>0</v>
      </c>
      <c r="H48" s="11">
        <v>0.25900000000000001</v>
      </c>
      <c r="I48" s="10">
        <v>505000</v>
      </c>
      <c r="J48" s="12" t="s">
        <v>572</v>
      </c>
      <c r="K48" s="12">
        <v>101</v>
      </c>
      <c r="L48" s="12" t="s">
        <v>573</v>
      </c>
      <c r="M48" s="10">
        <v>16407288067</v>
      </c>
      <c r="N48" s="10">
        <v>1915910</v>
      </c>
      <c r="O48" s="12">
        <v>46</v>
      </c>
    </row>
    <row r="49" spans="1:15" ht="27" x14ac:dyDescent="0.3">
      <c r="A49" s="9">
        <v>43518</v>
      </c>
      <c r="B49" s="12">
        <v>1</v>
      </c>
      <c r="C49" s="11">
        <v>0</v>
      </c>
      <c r="D49" s="12">
        <v>1</v>
      </c>
      <c r="E49" s="11">
        <v>0</v>
      </c>
      <c r="F49" s="12">
        <v>173</v>
      </c>
      <c r="G49" s="11">
        <v>0</v>
      </c>
      <c r="H49" s="11">
        <v>0.17899999999999999</v>
      </c>
      <c r="I49" s="10">
        <v>185000</v>
      </c>
      <c r="J49" s="12" t="s">
        <v>574</v>
      </c>
      <c r="K49" s="12">
        <v>31</v>
      </c>
      <c r="L49" s="12" t="s">
        <v>575</v>
      </c>
      <c r="M49" s="10">
        <v>16407473067</v>
      </c>
      <c r="N49" s="10">
        <v>1915941</v>
      </c>
      <c r="O49" s="12">
        <v>55</v>
      </c>
    </row>
    <row r="50" spans="1:15" x14ac:dyDescent="0.3">
      <c r="A50" s="9">
        <v>43521</v>
      </c>
      <c r="B50" s="12">
        <v>2</v>
      </c>
      <c r="C50" s="11">
        <v>0</v>
      </c>
      <c r="D50" s="12">
        <v>5</v>
      </c>
      <c r="E50" s="11">
        <v>0</v>
      </c>
      <c r="F50" s="12">
        <v>945</v>
      </c>
      <c r="G50" s="11">
        <v>0</v>
      </c>
      <c r="H50" s="11">
        <v>3.3000000000000002E-2</v>
      </c>
      <c r="I50" s="10">
        <v>95000</v>
      </c>
      <c r="J50" s="12" t="s">
        <v>576</v>
      </c>
      <c r="K50" s="12">
        <v>31</v>
      </c>
      <c r="L50" s="12" t="s">
        <v>577</v>
      </c>
      <c r="M50" s="10">
        <v>16407568067</v>
      </c>
      <c r="N50" s="10">
        <v>1915972</v>
      </c>
      <c r="O50" s="12">
        <v>60</v>
      </c>
    </row>
    <row r="51" spans="1:15" ht="27" x14ac:dyDescent="0.3">
      <c r="A51" s="9">
        <v>43522</v>
      </c>
      <c r="B51" s="12">
        <v>14</v>
      </c>
      <c r="C51" s="11">
        <v>2E-3</v>
      </c>
      <c r="D51" s="12">
        <v>14</v>
      </c>
      <c r="E51" s="11">
        <v>1E-3</v>
      </c>
      <c r="F51" s="10">
        <v>1289</v>
      </c>
      <c r="G51" s="11">
        <v>0</v>
      </c>
      <c r="H51" s="11">
        <v>0.36199999999999999</v>
      </c>
      <c r="I51" s="10">
        <v>2405500</v>
      </c>
      <c r="J51" s="12" t="s">
        <v>578</v>
      </c>
      <c r="K51" s="12">
        <v>467</v>
      </c>
      <c r="L51" s="12" t="s">
        <v>579</v>
      </c>
      <c r="M51" s="10">
        <v>16409973567</v>
      </c>
      <c r="N51" s="10">
        <v>1916439</v>
      </c>
      <c r="O51" s="12">
        <v>29</v>
      </c>
    </row>
    <row r="52" spans="1:15" ht="27" x14ac:dyDescent="0.3">
      <c r="A52" s="9">
        <v>43523</v>
      </c>
      <c r="B52" s="12">
        <v>2</v>
      </c>
      <c r="C52" s="11">
        <v>0</v>
      </c>
      <c r="D52" s="12">
        <v>2</v>
      </c>
      <c r="E52" s="11">
        <v>0</v>
      </c>
      <c r="F52" s="12">
        <v>194</v>
      </c>
      <c r="G52" s="11">
        <v>0</v>
      </c>
      <c r="H52" s="11">
        <v>0.309</v>
      </c>
      <c r="I52" s="10">
        <v>300000</v>
      </c>
      <c r="J52" s="12" t="s">
        <v>580</v>
      </c>
      <c r="K52" s="12">
        <v>60</v>
      </c>
      <c r="L52" s="12" t="s">
        <v>581</v>
      </c>
      <c r="M52" s="10">
        <v>16410273567</v>
      </c>
      <c r="N52" s="10">
        <v>1916499</v>
      </c>
      <c r="O52" s="12">
        <v>64</v>
      </c>
    </row>
    <row r="53" spans="1:15" ht="27" x14ac:dyDescent="0.3">
      <c r="A53" s="9">
        <v>43524</v>
      </c>
      <c r="B53" s="12">
        <v>11</v>
      </c>
      <c r="C53" s="11">
        <v>2E-3</v>
      </c>
      <c r="D53" s="12">
        <v>11</v>
      </c>
      <c r="E53" s="11">
        <v>1E-3</v>
      </c>
      <c r="F53" s="10">
        <v>1332</v>
      </c>
      <c r="G53" s="11">
        <v>0</v>
      </c>
      <c r="H53" s="11">
        <v>0.26300000000000001</v>
      </c>
      <c r="I53" s="10">
        <v>1801000</v>
      </c>
      <c r="J53" s="12" t="s">
        <v>582</v>
      </c>
      <c r="K53" s="12">
        <v>350</v>
      </c>
      <c r="L53" s="12" t="s">
        <v>583</v>
      </c>
      <c r="M53" s="10">
        <v>16412074567</v>
      </c>
      <c r="N53" s="10">
        <v>1916849</v>
      </c>
      <c r="O53" s="12">
        <v>34</v>
      </c>
    </row>
    <row r="54" spans="1:15" x14ac:dyDescent="0.3">
      <c r="A54" s="9">
        <v>43529</v>
      </c>
      <c r="B54" s="12">
        <v>1</v>
      </c>
      <c r="C54" s="11">
        <v>0</v>
      </c>
      <c r="D54" s="12">
        <v>1</v>
      </c>
      <c r="E54" s="11">
        <v>0</v>
      </c>
      <c r="F54" s="12">
        <v>97</v>
      </c>
      <c r="G54" s="11">
        <v>0</v>
      </c>
      <c r="H54" s="11">
        <v>0.01</v>
      </c>
      <c r="I54" s="10">
        <v>5000</v>
      </c>
      <c r="J54" s="12" t="s">
        <v>584</v>
      </c>
      <c r="K54" s="12">
        <v>1</v>
      </c>
      <c r="L54" s="12" t="s">
        <v>312</v>
      </c>
      <c r="M54" s="10">
        <v>16412079567</v>
      </c>
      <c r="N54" s="10">
        <v>1916850</v>
      </c>
      <c r="O54" s="12">
        <v>84</v>
      </c>
    </row>
    <row r="55" spans="1:15" x14ac:dyDescent="0.3">
      <c r="A55" s="9">
        <v>43530</v>
      </c>
      <c r="B55" s="12">
        <v>1</v>
      </c>
      <c r="C55" s="11">
        <v>0</v>
      </c>
      <c r="D55" s="12">
        <v>1</v>
      </c>
      <c r="E55" s="11">
        <v>0</v>
      </c>
      <c r="F55" s="12">
        <v>104</v>
      </c>
      <c r="G55" s="11">
        <v>0</v>
      </c>
      <c r="H55" s="11">
        <v>0.01</v>
      </c>
      <c r="I55" s="10">
        <v>5000</v>
      </c>
      <c r="J55" s="12" t="s">
        <v>292</v>
      </c>
      <c r="K55" s="12">
        <v>1</v>
      </c>
      <c r="L55" s="12" t="s">
        <v>292</v>
      </c>
      <c r="M55" s="10">
        <v>16412084567</v>
      </c>
      <c r="N55" s="10">
        <v>1916851</v>
      </c>
      <c r="O55" s="12">
        <v>83</v>
      </c>
    </row>
    <row r="56" spans="1:15" x14ac:dyDescent="0.3">
      <c r="A56" s="9">
        <v>43544</v>
      </c>
      <c r="B56" s="12">
        <v>1</v>
      </c>
      <c r="C56" s="11">
        <v>0</v>
      </c>
      <c r="D56" s="12">
        <v>1</v>
      </c>
      <c r="E56" s="11">
        <v>0</v>
      </c>
      <c r="F56" s="12">
        <v>83</v>
      </c>
      <c r="G56" s="11">
        <v>0</v>
      </c>
      <c r="H56" s="11">
        <v>4.8000000000000001E-2</v>
      </c>
      <c r="I56" s="10">
        <v>32000</v>
      </c>
      <c r="J56" s="12" t="s">
        <v>585</v>
      </c>
      <c r="K56" s="12">
        <v>4</v>
      </c>
      <c r="L56" s="12" t="s">
        <v>296</v>
      </c>
      <c r="M56" s="10">
        <v>16412116567</v>
      </c>
      <c r="N56" s="10">
        <v>1916855</v>
      </c>
      <c r="O56" s="12">
        <v>77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E0F6-862F-4686-BD27-EC7FFF59C936}">
  <dimension ref="A1:O70"/>
  <sheetViews>
    <sheetView workbookViewId="0">
      <selection activeCell="N13" sqref="N13"/>
    </sheetView>
  </sheetViews>
  <sheetFormatPr defaultRowHeight="16.5" x14ac:dyDescent="0.3"/>
  <sheetData>
    <row r="1" spans="1:15" ht="19.5" x14ac:dyDescent="0.3">
      <c r="A1" s="197" t="s">
        <v>586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43468</v>
      </c>
      <c r="B5" s="12">
        <v>962</v>
      </c>
      <c r="C5" s="11">
        <v>0.13700000000000001</v>
      </c>
      <c r="D5" s="10">
        <v>3269</v>
      </c>
      <c r="E5" s="11">
        <v>0.17699999999999999</v>
      </c>
      <c r="F5" s="10">
        <v>510067</v>
      </c>
      <c r="G5" s="11">
        <v>0.17699999999999999</v>
      </c>
      <c r="H5" s="11">
        <v>0.247</v>
      </c>
      <c r="I5" s="10">
        <v>942808600</v>
      </c>
      <c r="J5" s="12" t="s">
        <v>587</v>
      </c>
      <c r="K5" s="10">
        <v>125882</v>
      </c>
      <c r="L5" s="12" t="s">
        <v>588</v>
      </c>
      <c r="M5" s="10">
        <v>985518600</v>
      </c>
      <c r="N5" s="10">
        <v>130447</v>
      </c>
      <c r="O5" s="12">
        <v>1</v>
      </c>
    </row>
    <row r="6" spans="1:15" ht="27" x14ac:dyDescent="0.3">
      <c r="A6" s="9">
        <v>43469</v>
      </c>
      <c r="B6" s="10">
        <v>1123</v>
      </c>
      <c r="C6" s="11">
        <v>0.16</v>
      </c>
      <c r="D6" s="10">
        <v>3698</v>
      </c>
      <c r="E6" s="11">
        <v>0.19700000000000001</v>
      </c>
      <c r="F6" s="10">
        <v>584851</v>
      </c>
      <c r="G6" s="11">
        <v>0.2</v>
      </c>
      <c r="H6" s="11">
        <v>0.19600000000000001</v>
      </c>
      <c r="I6" s="10">
        <v>944568145</v>
      </c>
      <c r="J6" s="12" t="s">
        <v>589</v>
      </c>
      <c r="K6" s="10">
        <v>114355</v>
      </c>
      <c r="L6" s="12" t="s">
        <v>590</v>
      </c>
      <c r="M6" s="10">
        <v>1930086745</v>
      </c>
      <c r="N6" s="10">
        <v>244802</v>
      </c>
      <c r="O6" s="12">
        <v>1</v>
      </c>
    </row>
    <row r="7" spans="1:15" ht="40.5" x14ac:dyDescent="0.3">
      <c r="A7" s="9">
        <v>43470</v>
      </c>
      <c r="B7" s="10">
        <v>1393</v>
      </c>
      <c r="C7" s="11">
        <v>0.18</v>
      </c>
      <c r="D7" s="10">
        <v>4712</v>
      </c>
      <c r="E7" s="11">
        <v>0.24199999999999999</v>
      </c>
      <c r="F7" s="10">
        <v>773617</v>
      </c>
      <c r="G7" s="11">
        <v>0.25600000000000001</v>
      </c>
      <c r="H7" s="11">
        <v>0.34699999999999998</v>
      </c>
      <c r="I7" s="10">
        <v>2200001603</v>
      </c>
      <c r="J7" s="12" t="s">
        <v>591</v>
      </c>
      <c r="K7" s="10">
        <v>268326</v>
      </c>
      <c r="L7" s="12" t="s">
        <v>592</v>
      </c>
      <c r="M7" s="10">
        <v>4130088348</v>
      </c>
      <c r="N7" s="10">
        <v>513128</v>
      </c>
      <c r="O7" s="12">
        <v>1</v>
      </c>
    </row>
    <row r="8" spans="1:15" ht="40.5" x14ac:dyDescent="0.3">
      <c r="A8" s="9">
        <v>43471</v>
      </c>
      <c r="B8" s="10">
        <v>1453</v>
      </c>
      <c r="C8" s="11">
        <v>0.187</v>
      </c>
      <c r="D8" s="10">
        <v>4862</v>
      </c>
      <c r="E8" s="11">
        <v>0.25600000000000001</v>
      </c>
      <c r="F8" s="10">
        <v>806115</v>
      </c>
      <c r="G8" s="11">
        <v>0.27200000000000002</v>
      </c>
      <c r="H8" s="11">
        <v>0.30399999999999999</v>
      </c>
      <c r="I8" s="10">
        <v>2021064800</v>
      </c>
      <c r="J8" s="12" t="s">
        <v>593</v>
      </c>
      <c r="K8" s="10">
        <v>245225</v>
      </c>
      <c r="L8" s="12" t="s">
        <v>594</v>
      </c>
      <c r="M8" s="10">
        <v>6151153148</v>
      </c>
      <c r="N8" s="10">
        <v>758353</v>
      </c>
      <c r="O8" s="12">
        <v>1</v>
      </c>
    </row>
    <row r="9" spans="1:15" ht="54" x14ac:dyDescent="0.3">
      <c r="A9" s="9">
        <v>43472</v>
      </c>
      <c r="B9" s="10">
        <v>1185</v>
      </c>
      <c r="C9" s="11">
        <v>0.17499999999999999</v>
      </c>
      <c r="D9" s="10">
        <v>4329</v>
      </c>
      <c r="E9" s="11">
        <v>0.246</v>
      </c>
      <c r="F9" s="10">
        <v>744778</v>
      </c>
      <c r="G9" s="11">
        <v>0.27</v>
      </c>
      <c r="H9" s="11">
        <v>9.6000000000000002E-2</v>
      </c>
      <c r="I9" s="10">
        <v>543643950</v>
      </c>
      <c r="J9" s="12" t="s">
        <v>595</v>
      </c>
      <c r="K9" s="10">
        <v>71418</v>
      </c>
      <c r="L9" s="12" t="s">
        <v>596</v>
      </c>
      <c r="M9" s="10">
        <v>6694797098</v>
      </c>
      <c r="N9" s="10">
        <v>829771</v>
      </c>
      <c r="O9" s="12">
        <v>1</v>
      </c>
    </row>
    <row r="10" spans="1:15" ht="27" x14ac:dyDescent="0.3">
      <c r="A10" s="9">
        <v>43473</v>
      </c>
      <c r="B10" s="10">
        <v>1176</v>
      </c>
      <c r="C10" s="11">
        <v>0.17</v>
      </c>
      <c r="D10" s="10">
        <v>4315</v>
      </c>
      <c r="E10" s="11">
        <v>0.24399999999999999</v>
      </c>
      <c r="F10" s="10">
        <v>740260</v>
      </c>
      <c r="G10" s="11">
        <v>0.26700000000000002</v>
      </c>
      <c r="H10" s="11">
        <v>0.10199999999999999</v>
      </c>
      <c r="I10" s="10">
        <v>563766500</v>
      </c>
      <c r="J10" s="12" t="s">
        <v>597</v>
      </c>
      <c r="K10" s="10">
        <v>75411</v>
      </c>
      <c r="L10" s="12" t="s">
        <v>598</v>
      </c>
      <c r="M10" s="10">
        <v>7258563598</v>
      </c>
      <c r="N10" s="10">
        <v>905182</v>
      </c>
      <c r="O10" s="12">
        <v>1</v>
      </c>
    </row>
    <row r="11" spans="1:15" ht="27" x14ac:dyDescent="0.3">
      <c r="A11" s="9">
        <v>43474</v>
      </c>
      <c r="B11" s="12">
        <v>908</v>
      </c>
      <c r="C11" s="11">
        <v>0.14899999999999999</v>
      </c>
      <c r="D11" s="10">
        <v>2982</v>
      </c>
      <c r="E11" s="11">
        <v>0.16900000000000001</v>
      </c>
      <c r="F11" s="10">
        <v>469060</v>
      </c>
      <c r="G11" s="11">
        <v>0.16900000000000001</v>
      </c>
      <c r="H11" s="11">
        <v>0.13400000000000001</v>
      </c>
      <c r="I11" s="10">
        <v>465559200</v>
      </c>
      <c r="J11" s="12" t="s">
        <v>599</v>
      </c>
      <c r="K11" s="10">
        <v>62802</v>
      </c>
      <c r="L11" s="12" t="s">
        <v>600</v>
      </c>
      <c r="M11" s="10">
        <v>7724122798</v>
      </c>
      <c r="N11" s="10">
        <v>967984</v>
      </c>
      <c r="O11" s="12">
        <v>3</v>
      </c>
    </row>
    <row r="12" spans="1:15" ht="27" x14ac:dyDescent="0.3">
      <c r="A12" s="9">
        <v>43475</v>
      </c>
      <c r="B12" s="12">
        <v>870</v>
      </c>
      <c r="C12" s="11">
        <v>0.129</v>
      </c>
      <c r="D12" s="10">
        <v>2598</v>
      </c>
      <c r="E12" s="11">
        <v>0.14199999999999999</v>
      </c>
      <c r="F12" s="10">
        <v>408084</v>
      </c>
      <c r="G12" s="11">
        <v>0.14299999999999999</v>
      </c>
      <c r="H12" s="11">
        <v>0.14299999999999999</v>
      </c>
      <c r="I12" s="10">
        <v>426395850</v>
      </c>
      <c r="J12" s="12" t="s">
        <v>601</v>
      </c>
      <c r="K12" s="10">
        <v>58195</v>
      </c>
      <c r="L12" s="12" t="s">
        <v>602</v>
      </c>
      <c r="M12" s="10">
        <v>8150518648</v>
      </c>
      <c r="N12" s="10">
        <v>1026179</v>
      </c>
      <c r="O12" s="12">
        <v>3</v>
      </c>
    </row>
    <row r="13" spans="1:15" ht="27" x14ac:dyDescent="0.3">
      <c r="A13" s="9">
        <v>43476</v>
      </c>
      <c r="B13" s="12">
        <v>897</v>
      </c>
      <c r="C13" s="11">
        <v>0.13100000000000001</v>
      </c>
      <c r="D13" s="10">
        <v>2590</v>
      </c>
      <c r="E13" s="11">
        <v>0.13800000000000001</v>
      </c>
      <c r="F13" s="10">
        <v>397758</v>
      </c>
      <c r="G13" s="11">
        <v>0.13600000000000001</v>
      </c>
      <c r="H13" s="11">
        <v>0.14899999999999999</v>
      </c>
      <c r="I13" s="10">
        <v>475543929</v>
      </c>
      <c r="J13" s="12" t="s">
        <v>603</v>
      </c>
      <c r="K13" s="10">
        <v>59365</v>
      </c>
      <c r="L13" s="12" t="s">
        <v>604</v>
      </c>
      <c r="M13" s="10">
        <v>8626062577</v>
      </c>
      <c r="N13" s="10">
        <v>1085544</v>
      </c>
      <c r="O13" s="12">
        <v>3</v>
      </c>
    </row>
    <row r="14" spans="1:15" ht="27" x14ac:dyDescent="0.3">
      <c r="A14" s="9">
        <v>43477</v>
      </c>
      <c r="B14" s="12">
        <v>934</v>
      </c>
      <c r="C14" s="11">
        <v>0.13300000000000001</v>
      </c>
      <c r="D14" s="10">
        <v>2690</v>
      </c>
      <c r="E14" s="11">
        <v>0.13700000000000001</v>
      </c>
      <c r="F14" s="10">
        <v>407523</v>
      </c>
      <c r="G14" s="11">
        <v>0.13300000000000001</v>
      </c>
      <c r="H14" s="11">
        <v>0.33100000000000002</v>
      </c>
      <c r="I14" s="10">
        <v>1104689996</v>
      </c>
      <c r="J14" s="12" t="s">
        <v>605</v>
      </c>
      <c r="K14" s="10">
        <v>134929</v>
      </c>
      <c r="L14" s="12" t="s">
        <v>606</v>
      </c>
      <c r="M14" s="10">
        <v>9730752573</v>
      </c>
      <c r="N14" s="10">
        <v>1220473</v>
      </c>
      <c r="O14" s="12">
        <v>3</v>
      </c>
    </row>
    <row r="15" spans="1:15" ht="40.5" x14ac:dyDescent="0.3">
      <c r="A15" s="9">
        <v>43478</v>
      </c>
      <c r="B15" s="12">
        <v>933</v>
      </c>
      <c r="C15" s="11">
        <v>0.13400000000000001</v>
      </c>
      <c r="D15" s="10">
        <v>2630</v>
      </c>
      <c r="E15" s="11">
        <v>0.13700000000000001</v>
      </c>
      <c r="F15" s="10">
        <v>393009</v>
      </c>
      <c r="G15" s="11">
        <v>0.13100000000000001</v>
      </c>
      <c r="H15" s="11">
        <v>0.31</v>
      </c>
      <c r="I15" s="10">
        <v>1000295580</v>
      </c>
      <c r="J15" s="12" t="s">
        <v>607</v>
      </c>
      <c r="K15" s="10">
        <v>121811</v>
      </c>
      <c r="L15" s="12" t="s">
        <v>608</v>
      </c>
      <c r="M15" s="10">
        <v>10731048153</v>
      </c>
      <c r="N15" s="10">
        <v>1342284</v>
      </c>
      <c r="O15" s="12">
        <v>3</v>
      </c>
    </row>
    <row r="16" spans="1:15" ht="40.5" x14ac:dyDescent="0.3">
      <c r="A16" s="9">
        <v>43479</v>
      </c>
      <c r="B16" s="12">
        <v>835</v>
      </c>
      <c r="C16" s="11">
        <v>0.13100000000000001</v>
      </c>
      <c r="D16" s="10">
        <v>2316</v>
      </c>
      <c r="E16" s="11">
        <v>0.13100000000000001</v>
      </c>
      <c r="F16" s="10">
        <v>345869</v>
      </c>
      <c r="G16" s="11">
        <v>0.124</v>
      </c>
      <c r="H16" s="11">
        <v>9.8000000000000004E-2</v>
      </c>
      <c r="I16" s="10">
        <v>251454900</v>
      </c>
      <c r="J16" s="12" t="s">
        <v>609</v>
      </c>
      <c r="K16" s="10">
        <v>33913</v>
      </c>
      <c r="L16" s="12" t="s">
        <v>610</v>
      </c>
      <c r="M16" s="10">
        <v>10982503053</v>
      </c>
      <c r="N16" s="10">
        <v>1376197</v>
      </c>
      <c r="O16" s="12">
        <v>3</v>
      </c>
    </row>
    <row r="17" spans="1:15" ht="27" x14ac:dyDescent="0.3">
      <c r="A17" s="9">
        <v>43480</v>
      </c>
      <c r="B17" s="12">
        <v>827</v>
      </c>
      <c r="C17" s="11">
        <v>0.126</v>
      </c>
      <c r="D17" s="10">
        <v>2279</v>
      </c>
      <c r="E17" s="11">
        <v>0.128</v>
      </c>
      <c r="F17" s="10">
        <v>339309</v>
      </c>
      <c r="G17" s="11">
        <v>0.121</v>
      </c>
      <c r="H17" s="11">
        <v>0.107</v>
      </c>
      <c r="I17" s="10">
        <v>264926870</v>
      </c>
      <c r="J17" s="12" t="s">
        <v>611</v>
      </c>
      <c r="K17" s="10">
        <v>36337</v>
      </c>
      <c r="L17" s="12" t="s">
        <v>612</v>
      </c>
      <c r="M17" s="10">
        <v>11247429923</v>
      </c>
      <c r="N17" s="10">
        <v>1412534</v>
      </c>
      <c r="O17" s="12">
        <v>3</v>
      </c>
    </row>
    <row r="18" spans="1:15" ht="27" x14ac:dyDescent="0.3">
      <c r="A18" s="9">
        <v>43481</v>
      </c>
      <c r="B18" s="12">
        <v>636</v>
      </c>
      <c r="C18" s="11">
        <v>0.09</v>
      </c>
      <c r="D18" s="10">
        <v>1366</v>
      </c>
      <c r="E18" s="11">
        <v>7.4999999999999997E-2</v>
      </c>
      <c r="F18" s="10">
        <v>199223</v>
      </c>
      <c r="G18" s="11">
        <v>7.0000000000000007E-2</v>
      </c>
      <c r="H18" s="11">
        <v>0.15</v>
      </c>
      <c r="I18" s="10">
        <v>219538080</v>
      </c>
      <c r="J18" s="12" t="s">
        <v>613</v>
      </c>
      <c r="K18" s="10">
        <v>29914</v>
      </c>
      <c r="L18" s="12" t="s">
        <v>614</v>
      </c>
      <c r="M18" s="10">
        <v>11466968003</v>
      </c>
      <c r="N18" s="10">
        <v>1442448</v>
      </c>
      <c r="O18" s="12">
        <v>3</v>
      </c>
    </row>
    <row r="19" spans="1:15" ht="27" x14ac:dyDescent="0.3">
      <c r="A19" s="9">
        <v>43482</v>
      </c>
      <c r="B19" s="12">
        <v>531</v>
      </c>
      <c r="C19" s="11">
        <v>7.2999999999999995E-2</v>
      </c>
      <c r="D19" s="12">
        <v>997</v>
      </c>
      <c r="E19" s="11">
        <v>5.5E-2</v>
      </c>
      <c r="F19" s="10">
        <v>131215</v>
      </c>
      <c r="G19" s="11">
        <v>4.5999999999999999E-2</v>
      </c>
      <c r="H19" s="11">
        <v>0.17499999999999999</v>
      </c>
      <c r="I19" s="10">
        <v>165775320</v>
      </c>
      <c r="J19" s="12" t="s">
        <v>615</v>
      </c>
      <c r="K19" s="10">
        <v>22921</v>
      </c>
      <c r="L19" s="12" t="s">
        <v>616</v>
      </c>
      <c r="M19" s="10">
        <v>11632743323</v>
      </c>
      <c r="N19" s="10">
        <v>1465369</v>
      </c>
      <c r="O19" s="12">
        <v>4</v>
      </c>
    </row>
    <row r="20" spans="1:15" ht="27" x14ac:dyDescent="0.3">
      <c r="A20" s="9">
        <v>43483</v>
      </c>
      <c r="B20" s="12">
        <v>591</v>
      </c>
      <c r="C20" s="11">
        <v>8.1000000000000003E-2</v>
      </c>
      <c r="D20" s="10">
        <v>1036</v>
      </c>
      <c r="E20" s="11">
        <v>5.6000000000000001E-2</v>
      </c>
      <c r="F20" s="10">
        <v>137614</v>
      </c>
      <c r="G20" s="11">
        <v>4.8000000000000001E-2</v>
      </c>
      <c r="H20" s="11">
        <v>0.17599999999999999</v>
      </c>
      <c r="I20" s="10">
        <v>190726930</v>
      </c>
      <c r="J20" s="12" t="s">
        <v>617</v>
      </c>
      <c r="K20" s="10">
        <v>24286</v>
      </c>
      <c r="L20" s="12" t="s">
        <v>618</v>
      </c>
      <c r="M20" s="10">
        <v>11823470253</v>
      </c>
      <c r="N20" s="10">
        <v>1489655</v>
      </c>
      <c r="O20" s="12">
        <v>4</v>
      </c>
    </row>
    <row r="21" spans="1:15" ht="27" x14ac:dyDescent="0.3">
      <c r="A21" s="9">
        <v>43484</v>
      </c>
      <c r="B21" s="12">
        <v>645</v>
      </c>
      <c r="C21" s="11">
        <v>8.3000000000000004E-2</v>
      </c>
      <c r="D21" s="10">
        <v>1234</v>
      </c>
      <c r="E21" s="11">
        <v>6.3E-2</v>
      </c>
      <c r="F21" s="10">
        <v>165062</v>
      </c>
      <c r="G21" s="11">
        <v>5.5E-2</v>
      </c>
      <c r="H21" s="11">
        <v>0.35799999999999998</v>
      </c>
      <c r="I21" s="10">
        <v>474053270</v>
      </c>
      <c r="J21" s="12" t="s">
        <v>619</v>
      </c>
      <c r="K21" s="10">
        <v>59071</v>
      </c>
      <c r="L21" s="12" t="s">
        <v>620</v>
      </c>
      <c r="M21" s="10">
        <v>12297523523</v>
      </c>
      <c r="N21" s="10">
        <v>1548726</v>
      </c>
      <c r="O21" s="12">
        <v>4</v>
      </c>
    </row>
    <row r="22" spans="1:15" ht="27" x14ac:dyDescent="0.3">
      <c r="A22" s="9">
        <v>43485</v>
      </c>
      <c r="B22" s="12">
        <v>651</v>
      </c>
      <c r="C22" s="11">
        <v>8.5000000000000006E-2</v>
      </c>
      <c r="D22" s="10">
        <v>1257</v>
      </c>
      <c r="E22" s="11">
        <v>6.6000000000000003E-2</v>
      </c>
      <c r="F22" s="10">
        <v>170028</v>
      </c>
      <c r="G22" s="11">
        <v>5.8000000000000003E-2</v>
      </c>
      <c r="H22" s="11">
        <v>0.34300000000000003</v>
      </c>
      <c r="I22" s="10">
        <v>474912320</v>
      </c>
      <c r="J22" s="12" t="s">
        <v>621</v>
      </c>
      <c r="K22" s="10">
        <v>58241</v>
      </c>
      <c r="L22" s="12" t="s">
        <v>622</v>
      </c>
      <c r="M22" s="10">
        <v>12772435843</v>
      </c>
      <c r="N22" s="10">
        <v>1606967</v>
      </c>
      <c r="O22" s="12">
        <v>4</v>
      </c>
    </row>
    <row r="23" spans="1:15" ht="40.5" x14ac:dyDescent="0.3">
      <c r="A23" s="9">
        <v>43486</v>
      </c>
      <c r="B23" s="12">
        <v>553</v>
      </c>
      <c r="C23" s="11">
        <v>0.08</v>
      </c>
      <c r="D23" s="10">
        <v>1060</v>
      </c>
      <c r="E23" s="11">
        <v>6.0999999999999999E-2</v>
      </c>
      <c r="F23" s="10">
        <v>142898</v>
      </c>
      <c r="G23" s="11">
        <v>5.1999999999999998E-2</v>
      </c>
      <c r="H23" s="11">
        <v>0.113</v>
      </c>
      <c r="I23" s="10">
        <v>118863780</v>
      </c>
      <c r="J23" s="12" t="s">
        <v>623</v>
      </c>
      <c r="K23" s="10">
        <v>16128</v>
      </c>
      <c r="L23" s="12" t="s">
        <v>624</v>
      </c>
      <c r="M23" s="10">
        <v>12891299623</v>
      </c>
      <c r="N23" s="10">
        <v>1623095</v>
      </c>
      <c r="O23" s="12">
        <v>4</v>
      </c>
    </row>
    <row r="24" spans="1:15" ht="27" x14ac:dyDescent="0.3">
      <c r="A24" s="9">
        <v>43487</v>
      </c>
      <c r="B24" s="12">
        <v>568</v>
      </c>
      <c r="C24" s="11">
        <v>0.08</v>
      </c>
      <c r="D24" s="10">
        <v>1071</v>
      </c>
      <c r="E24" s="11">
        <v>6.2E-2</v>
      </c>
      <c r="F24" s="10">
        <v>144894</v>
      </c>
      <c r="G24" s="11">
        <v>5.2999999999999999E-2</v>
      </c>
      <c r="H24" s="11">
        <v>0.124</v>
      </c>
      <c r="I24" s="10">
        <v>130157100</v>
      </c>
      <c r="J24" s="12" t="s">
        <v>625</v>
      </c>
      <c r="K24" s="10">
        <v>17939</v>
      </c>
      <c r="L24" s="12" t="s">
        <v>626</v>
      </c>
      <c r="M24" s="10">
        <v>13021456723</v>
      </c>
      <c r="N24" s="10">
        <v>1641034</v>
      </c>
      <c r="O24" s="12">
        <v>4</v>
      </c>
    </row>
    <row r="25" spans="1:15" ht="27" x14ac:dyDescent="0.3">
      <c r="A25" s="9">
        <v>43488</v>
      </c>
      <c r="B25" s="12">
        <v>400</v>
      </c>
      <c r="C25" s="11">
        <v>6.5000000000000002E-2</v>
      </c>
      <c r="D25" s="12">
        <v>647</v>
      </c>
      <c r="E25" s="11">
        <v>3.5000000000000003E-2</v>
      </c>
      <c r="F25" s="10">
        <v>80652</v>
      </c>
      <c r="G25" s="11">
        <v>2.8000000000000001E-2</v>
      </c>
      <c r="H25" s="11">
        <v>0.14899999999999999</v>
      </c>
      <c r="I25" s="10">
        <v>84996760</v>
      </c>
      <c r="J25" s="12" t="s">
        <v>627</v>
      </c>
      <c r="K25" s="10">
        <v>12020</v>
      </c>
      <c r="L25" s="12" t="s">
        <v>628</v>
      </c>
      <c r="M25" s="10">
        <v>13106453483</v>
      </c>
      <c r="N25" s="10">
        <v>1653054</v>
      </c>
      <c r="O25" s="12">
        <v>4</v>
      </c>
    </row>
    <row r="26" spans="1:15" ht="27" x14ac:dyDescent="0.3">
      <c r="A26" s="9">
        <v>43489</v>
      </c>
      <c r="B26" s="12">
        <v>388</v>
      </c>
      <c r="C26" s="11">
        <v>6.0999999999999999E-2</v>
      </c>
      <c r="D26" s="12">
        <v>608</v>
      </c>
      <c r="E26" s="11">
        <v>3.3000000000000002E-2</v>
      </c>
      <c r="F26" s="10">
        <v>76474</v>
      </c>
      <c r="G26" s="11">
        <v>2.5999999999999999E-2</v>
      </c>
      <c r="H26" s="11">
        <v>0.159</v>
      </c>
      <c r="I26" s="10">
        <v>85745460</v>
      </c>
      <c r="J26" s="12" t="s">
        <v>629</v>
      </c>
      <c r="K26" s="10">
        <v>12161</v>
      </c>
      <c r="L26" s="12" t="s">
        <v>630</v>
      </c>
      <c r="M26" s="10">
        <v>13192198943</v>
      </c>
      <c r="N26" s="10">
        <v>1665215</v>
      </c>
      <c r="O26" s="12">
        <v>4</v>
      </c>
    </row>
    <row r="27" spans="1:15" ht="27" x14ac:dyDescent="0.3">
      <c r="A27" s="9">
        <v>43490</v>
      </c>
      <c r="B27" s="12">
        <v>405</v>
      </c>
      <c r="C27" s="11">
        <v>6.4000000000000001E-2</v>
      </c>
      <c r="D27" s="12">
        <v>625</v>
      </c>
      <c r="E27" s="11">
        <v>3.3000000000000002E-2</v>
      </c>
      <c r="F27" s="10">
        <v>79148</v>
      </c>
      <c r="G27" s="11">
        <v>2.7E-2</v>
      </c>
      <c r="H27" s="11">
        <v>0.13800000000000001</v>
      </c>
      <c r="I27" s="10">
        <v>83508030</v>
      </c>
      <c r="J27" s="12" t="s">
        <v>631</v>
      </c>
      <c r="K27" s="10">
        <v>10887</v>
      </c>
      <c r="L27" s="12" t="s">
        <v>632</v>
      </c>
      <c r="M27" s="10">
        <v>13275706973</v>
      </c>
      <c r="N27" s="10">
        <v>1676102</v>
      </c>
      <c r="O27" s="12">
        <v>4</v>
      </c>
    </row>
    <row r="28" spans="1:15" ht="27" x14ac:dyDescent="0.3">
      <c r="A28" s="9">
        <v>43491</v>
      </c>
      <c r="B28" s="12">
        <v>497</v>
      </c>
      <c r="C28" s="11">
        <v>7.4999999999999997E-2</v>
      </c>
      <c r="D28" s="12">
        <v>751</v>
      </c>
      <c r="E28" s="11">
        <v>3.7999999999999999E-2</v>
      </c>
      <c r="F28" s="10">
        <v>94258</v>
      </c>
      <c r="G28" s="11">
        <v>0.03</v>
      </c>
      <c r="H28" s="11">
        <v>0.312</v>
      </c>
      <c r="I28" s="10">
        <v>234504120</v>
      </c>
      <c r="J28" s="12" t="s">
        <v>633</v>
      </c>
      <c r="K28" s="10">
        <v>29395</v>
      </c>
      <c r="L28" s="12" t="s">
        <v>634</v>
      </c>
      <c r="M28" s="10">
        <v>13510211093</v>
      </c>
      <c r="N28" s="10">
        <v>1705497</v>
      </c>
      <c r="O28" s="12">
        <v>5</v>
      </c>
    </row>
    <row r="29" spans="1:15" ht="27" x14ac:dyDescent="0.3">
      <c r="A29" s="9">
        <v>43492</v>
      </c>
      <c r="B29" s="12">
        <v>482</v>
      </c>
      <c r="C29" s="11">
        <v>7.3999999999999996E-2</v>
      </c>
      <c r="D29" s="12">
        <v>748</v>
      </c>
      <c r="E29" s="11">
        <v>3.7999999999999999E-2</v>
      </c>
      <c r="F29" s="10">
        <v>93598</v>
      </c>
      <c r="G29" s="11">
        <v>3.1E-2</v>
      </c>
      <c r="H29" s="11">
        <v>0.318</v>
      </c>
      <c r="I29" s="10">
        <v>237812560</v>
      </c>
      <c r="J29" s="12" t="s">
        <v>635</v>
      </c>
      <c r="K29" s="10">
        <v>29734</v>
      </c>
      <c r="L29" s="12" t="s">
        <v>636</v>
      </c>
      <c r="M29" s="10">
        <v>13748023653</v>
      </c>
      <c r="N29" s="10">
        <v>1735231</v>
      </c>
      <c r="O29" s="12">
        <v>5</v>
      </c>
    </row>
    <row r="30" spans="1:15" ht="40.5" x14ac:dyDescent="0.3">
      <c r="A30" s="9">
        <v>43493</v>
      </c>
      <c r="B30" s="12">
        <v>380</v>
      </c>
      <c r="C30" s="11">
        <v>6.4000000000000001E-2</v>
      </c>
      <c r="D30" s="12">
        <v>602</v>
      </c>
      <c r="E30" s="11">
        <v>3.3000000000000002E-2</v>
      </c>
      <c r="F30" s="10">
        <v>77190</v>
      </c>
      <c r="G30" s="11">
        <v>2.7E-2</v>
      </c>
      <c r="H30" s="11">
        <v>8.6999999999999994E-2</v>
      </c>
      <c r="I30" s="10">
        <v>48524560</v>
      </c>
      <c r="J30" s="12" t="s">
        <v>637</v>
      </c>
      <c r="K30" s="10">
        <v>6686</v>
      </c>
      <c r="L30" s="12" t="s">
        <v>638</v>
      </c>
      <c r="M30" s="10">
        <v>13796548213</v>
      </c>
      <c r="N30" s="10">
        <v>1741917</v>
      </c>
      <c r="O30" s="12">
        <v>5</v>
      </c>
    </row>
    <row r="31" spans="1:15" ht="27" x14ac:dyDescent="0.3">
      <c r="A31" s="9">
        <v>43494</v>
      </c>
      <c r="B31" s="12">
        <v>398</v>
      </c>
      <c r="C31" s="11">
        <v>6.5000000000000002E-2</v>
      </c>
      <c r="D31" s="12">
        <v>616</v>
      </c>
      <c r="E31" s="11">
        <v>3.4000000000000002E-2</v>
      </c>
      <c r="F31" s="10">
        <v>77930</v>
      </c>
      <c r="G31" s="11">
        <v>2.7E-2</v>
      </c>
      <c r="H31" s="11">
        <v>9.7000000000000003E-2</v>
      </c>
      <c r="I31" s="10">
        <v>53997460</v>
      </c>
      <c r="J31" s="12" t="s">
        <v>639</v>
      </c>
      <c r="K31" s="10">
        <v>7590</v>
      </c>
      <c r="L31" s="12" t="s">
        <v>640</v>
      </c>
      <c r="M31" s="10">
        <v>13850545673</v>
      </c>
      <c r="N31" s="10">
        <v>1749507</v>
      </c>
      <c r="O31" s="12">
        <v>5</v>
      </c>
    </row>
    <row r="32" spans="1:15" ht="27" x14ac:dyDescent="0.3">
      <c r="A32" s="9">
        <v>43495</v>
      </c>
      <c r="B32" s="12">
        <v>62</v>
      </c>
      <c r="C32" s="11">
        <v>1.2E-2</v>
      </c>
      <c r="D32" s="12">
        <v>78</v>
      </c>
      <c r="E32" s="11">
        <v>4.0000000000000001E-3</v>
      </c>
      <c r="F32" s="10">
        <v>8469</v>
      </c>
      <c r="G32" s="11">
        <v>3.0000000000000001E-3</v>
      </c>
      <c r="H32" s="11">
        <v>0.192</v>
      </c>
      <c r="I32" s="10">
        <v>10615380</v>
      </c>
      <c r="J32" s="12" t="s">
        <v>641</v>
      </c>
      <c r="K32" s="10">
        <v>1626</v>
      </c>
      <c r="L32" s="12" t="s">
        <v>642</v>
      </c>
      <c r="M32" s="10">
        <v>13861161053</v>
      </c>
      <c r="N32" s="10">
        <v>1751133</v>
      </c>
      <c r="O32" s="12">
        <v>10</v>
      </c>
    </row>
    <row r="33" spans="1:15" ht="27" x14ac:dyDescent="0.3">
      <c r="A33" s="9">
        <v>43496</v>
      </c>
      <c r="B33" s="12">
        <v>35</v>
      </c>
      <c r="C33" s="11">
        <v>6.0000000000000001E-3</v>
      </c>
      <c r="D33" s="12">
        <v>40</v>
      </c>
      <c r="E33" s="11">
        <v>2E-3</v>
      </c>
      <c r="F33" s="10">
        <v>4576</v>
      </c>
      <c r="G33" s="11">
        <v>2E-3</v>
      </c>
      <c r="H33" s="11">
        <v>0.20799999999999999</v>
      </c>
      <c r="I33" s="10">
        <v>6379850</v>
      </c>
      <c r="J33" s="12" t="s">
        <v>643</v>
      </c>
      <c r="K33" s="12">
        <v>951</v>
      </c>
      <c r="L33" s="12" t="s">
        <v>644</v>
      </c>
      <c r="M33" s="10">
        <v>13867540903</v>
      </c>
      <c r="N33" s="10">
        <v>1752084</v>
      </c>
      <c r="O33" s="12">
        <v>16</v>
      </c>
    </row>
    <row r="34" spans="1:15" ht="27" x14ac:dyDescent="0.3">
      <c r="A34" s="9">
        <v>43497</v>
      </c>
      <c r="B34" s="12">
        <v>25</v>
      </c>
      <c r="C34" s="11">
        <v>5.0000000000000001E-3</v>
      </c>
      <c r="D34" s="12">
        <v>31</v>
      </c>
      <c r="E34" s="11">
        <v>2E-3</v>
      </c>
      <c r="F34" s="10">
        <v>3274</v>
      </c>
      <c r="G34" s="11">
        <v>1E-3</v>
      </c>
      <c r="H34" s="11">
        <v>0.17899999999999999</v>
      </c>
      <c r="I34" s="10">
        <v>4897930</v>
      </c>
      <c r="J34" s="12" t="s">
        <v>645</v>
      </c>
      <c r="K34" s="12">
        <v>585</v>
      </c>
      <c r="L34" s="12" t="s">
        <v>646</v>
      </c>
      <c r="M34" s="10">
        <v>13872438833</v>
      </c>
      <c r="N34" s="10">
        <v>1752669</v>
      </c>
      <c r="O34" s="12">
        <v>14</v>
      </c>
    </row>
    <row r="35" spans="1:15" ht="27" x14ac:dyDescent="0.3">
      <c r="A35" s="9">
        <v>43498</v>
      </c>
      <c r="B35" s="12">
        <v>22</v>
      </c>
      <c r="C35" s="11">
        <v>4.0000000000000001E-3</v>
      </c>
      <c r="D35" s="12">
        <v>25</v>
      </c>
      <c r="E35" s="11">
        <v>1E-3</v>
      </c>
      <c r="F35" s="10">
        <v>2677</v>
      </c>
      <c r="G35" s="11">
        <v>1E-3</v>
      </c>
      <c r="H35" s="11">
        <v>0.38700000000000001</v>
      </c>
      <c r="I35" s="10">
        <v>8168490</v>
      </c>
      <c r="J35" s="12" t="s">
        <v>647</v>
      </c>
      <c r="K35" s="10">
        <v>1037</v>
      </c>
      <c r="L35" s="12" t="s">
        <v>648</v>
      </c>
      <c r="M35" s="10">
        <v>13880607323</v>
      </c>
      <c r="N35" s="10">
        <v>1753706</v>
      </c>
      <c r="O35" s="12">
        <v>15</v>
      </c>
    </row>
    <row r="36" spans="1:15" ht="27" x14ac:dyDescent="0.3">
      <c r="A36" s="9">
        <v>43499</v>
      </c>
      <c r="B36" s="12">
        <v>24</v>
      </c>
      <c r="C36" s="11">
        <v>4.0000000000000001E-3</v>
      </c>
      <c r="D36" s="12">
        <v>29</v>
      </c>
      <c r="E36" s="11">
        <v>1E-3</v>
      </c>
      <c r="F36" s="10">
        <v>3163</v>
      </c>
      <c r="G36" s="11">
        <v>1E-3</v>
      </c>
      <c r="H36" s="11">
        <v>0.39300000000000002</v>
      </c>
      <c r="I36" s="10">
        <v>10089230</v>
      </c>
      <c r="J36" s="12" t="s">
        <v>649</v>
      </c>
      <c r="K36" s="10">
        <v>1244</v>
      </c>
      <c r="L36" s="12" t="s">
        <v>650</v>
      </c>
      <c r="M36" s="10">
        <v>13890696553</v>
      </c>
      <c r="N36" s="10">
        <v>1754950</v>
      </c>
      <c r="O36" s="12">
        <v>14</v>
      </c>
    </row>
    <row r="37" spans="1:15" ht="27" x14ac:dyDescent="0.3">
      <c r="A37" s="9">
        <v>43500</v>
      </c>
      <c r="B37" s="12">
        <v>26</v>
      </c>
      <c r="C37" s="11">
        <v>5.0000000000000001E-3</v>
      </c>
      <c r="D37" s="12">
        <v>32</v>
      </c>
      <c r="E37" s="11">
        <v>2E-3</v>
      </c>
      <c r="F37" s="10">
        <v>3577</v>
      </c>
      <c r="G37" s="11">
        <v>1E-3</v>
      </c>
      <c r="H37" s="11">
        <v>0.36</v>
      </c>
      <c r="I37" s="10">
        <v>11135980</v>
      </c>
      <c r="J37" s="12" t="s">
        <v>651</v>
      </c>
      <c r="K37" s="10">
        <v>1289</v>
      </c>
      <c r="L37" s="12" t="s">
        <v>652</v>
      </c>
      <c r="M37" s="10">
        <v>13901832533</v>
      </c>
      <c r="N37" s="10">
        <v>1756239</v>
      </c>
      <c r="O37" s="12">
        <v>11</v>
      </c>
    </row>
    <row r="38" spans="1:15" ht="27" x14ac:dyDescent="0.3">
      <c r="A38" s="9">
        <v>43501</v>
      </c>
      <c r="B38" s="12">
        <v>13</v>
      </c>
      <c r="C38" s="11">
        <v>2E-3</v>
      </c>
      <c r="D38" s="12">
        <v>15</v>
      </c>
      <c r="E38" s="11">
        <v>1E-3</v>
      </c>
      <c r="F38" s="10">
        <v>1608</v>
      </c>
      <c r="G38" s="11">
        <v>1E-3</v>
      </c>
      <c r="H38" s="11">
        <v>0.20499999999999999</v>
      </c>
      <c r="I38" s="10">
        <v>2936000</v>
      </c>
      <c r="J38" s="12" t="s">
        <v>653</v>
      </c>
      <c r="K38" s="12">
        <v>330</v>
      </c>
      <c r="L38" s="12" t="s">
        <v>654</v>
      </c>
      <c r="M38" s="10">
        <v>13904768533</v>
      </c>
      <c r="N38" s="10">
        <v>1756569</v>
      </c>
      <c r="O38" s="12">
        <v>17</v>
      </c>
    </row>
    <row r="39" spans="1:15" ht="27" x14ac:dyDescent="0.3">
      <c r="A39" s="9">
        <v>43502</v>
      </c>
      <c r="B39" s="12">
        <v>5</v>
      </c>
      <c r="C39" s="11">
        <v>1E-3</v>
      </c>
      <c r="D39" s="12">
        <v>7</v>
      </c>
      <c r="E39" s="11">
        <v>0</v>
      </c>
      <c r="F39" s="12">
        <v>793</v>
      </c>
      <c r="G39" s="11">
        <v>0</v>
      </c>
      <c r="H39" s="11">
        <v>0.34</v>
      </c>
      <c r="I39" s="10">
        <v>2223480</v>
      </c>
      <c r="J39" s="12" t="s">
        <v>655</v>
      </c>
      <c r="K39" s="12">
        <v>270</v>
      </c>
      <c r="L39" s="12" t="s">
        <v>656</v>
      </c>
      <c r="M39" s="10">
        <v>13906992013</v>
      </c>
      <c r="N39" s="10">
        <v>1756839</v>
      </c>
      <c r="O39" s="12">
        <v>23</v>
      </c>
    </row>
    <row r="40" spans="1:15" ht="27" x14ac:dyDescent="0.3">
      <c r="A40" s="9">
        <v>43503</v>
      </c>
      <c r="B40" s="12">
        <v>3</v>
      </c>
      <c r="C40" s="11">
        <v>1E-3</v>
      </c>
      <c r="D40" s="12">
        <v>4</v>
      </c>
      <c r="E40" s="11">
        <v>0</v>
      </c>
      <c r="F40" s="12">
        <v>639</v>
      </c>
      <c r="G40" s="11">
        <v>0</v>
      </c>
      <c r="H40" s="11">
        <v>6.6000000000000003E-2</v>
      </c>
      <c r="I40" s="10">
        <v>286500</v>
      </c>
      <c r="J40" s="12" t="s">
        <v>657</v>
      </c>
      <c r="K40" s="12">
        <v>42</v>
      </c>
      <c r="L40" s="12" t="s">
        <v>658</v>
      </c>
      <c r="M40" s="10">
        <v>13907278513</v>
      </c>
      <c r="N40" s="10">
        <v>1756881</v>
      </c>
      <c r="O40" s="12">
        <v>43</v>
      </c>
    </row>
    <row r="41" spans="1:15" ht="27" x14ac:dyDescent="0.3">
      <c r="A41" s="9">
        <v>43504</v>
      </c>
      <c r="B41" s="12">
        <v>2</v>
      </c>
      <c r="C41" s="11">
        <v>0</v>
      </c>
      <c r="D41" s="12">
        <v>3</v>
      </c>
      <c r="E41" s="11">
        <v>0</v>
      </c>
      <c r="F41" s="12">
        <v>446</v>
      </c>
      <c r="G41" s="11">
        <v>0</v>
      </c>
      <c r="H41" s="11">
        <v>7.1999999999999995E-2</v>
      </c>
      <c r="I41" s="10">
        <v>272150</v>
      </c>
      <c r="J41" s="12" t="s">
        <v>659</v>
      </c>
      <c r="K41" s="12">
        <v>32</v>
      </c>
      <c r="L41" s="12" t="s">
        <v>660</v>
      </c>
      <c r="M41" s="10">
        <v>13907550663</v>
      </c>
      <c r="N41" s="10">
        <v>1756913</v>
      </c>
      <c r="O41" s="12">
        <v>56</v>
      </c>
    </row>
    <row r="42" spans="1:15" ht="27" x14ac:dyDescent="0.3">
      <c r="A42" s="9">
        <v>43505</v>
      </c>
      <c r="B42" s="12">
        <v>3</v>
      </c>
      <c r="C42" s="11">
        <v>0</v>
      </c>
      <c r="D42" s="12">
        <v>5</v>
      </c>
      <c r="E42" s="11">
        <v>0</v>
      </c>
      <c r="F42" s="12">
        <v>929</v>
      </c>
      <c r="G42" s="11">
        <v>0</v>
      </c>
      <c r="H42" s="11">
        <v>0.16900000000000001</v>
      </c>
      <c r="I42" s="10">
        <v>1357150</v>
      </c>
      <c r="J42" s="12" t="s">
        <v>661</v>
      </c>
      <c r="K42" s="12">
        <v>157</v>
      </c>
      <c r="L42" s="12" t="s">
        <v>662</v>
      </c>
      <c r="M42" s="10">
        <v>13908907813</v>
      </c>
      <c r="N42" s="10">
        <v>1757070</v>
      </c>
      <c r="O42" s="12">
        <v>33</v>
      </c>
    </row>
    <row r="43" spans="1:15" ht="27" x14ac:dyDescent="0.3">
      <c r="A43" s="9">
        <v>43506</v>
      </c>
      <c r="B43" s="12">
        <v>2</v>
      </c>
      <c r="C43" s="11">
        <v>0</v>
      </c>
      <c r="D43" s="12">
        <v>3</v>
      </c>
      <c r="E43" s="11">
        <v>0</v>
      </c>
      <c r="F43" s="12">
        <v>548</v>
      </c>
      <c r="G43" s="11">
        <v>0</v>
      </c>
      <c r="H43" s="11">
        <v>0.29199999999999998</v>
      </c>
      <c r="I43" s="10">
        <v>1397800</v>
      </c>
      <c r="J43" s="12" t="s">
        <v>663</v>
      </c>
      <c r="K43" s="12">
        <v>160</v>
      </c>
      <c r="L43" s="12" t="s">
        <v>664</v>
      </c>
      <c r="M43" s="10">
        <v>13910305613</v>
      </c>
      <c r="N43" s="10">
        <v>1757230</v>
      </c>
      <c r="O43" s="12">
        <v>31</v>
      </c>
    </row>
    <row r="44" spans="1:15" ht="27" x14ac:dyDescent="0.3">
      <c r="A44" s="9">
        <v>43507</v>
      </c>
      <c r="B44" s="12">
        <v>1</v>
      </c>
      <c r="C44" s="11">
        <v>0</v>
      </c>
      <c r="D44" s="12">
        <v>2</v>
      </c>
      <c r="E44" s="11">
        <v>0</v>
      </c>
      <c r="F44" s="12">
        <v>376</v>
      </c>
      <c r="G44" s="11">
        <v>0</v>
      </c>
      <c r="H44" s="11">
        <v>0.106</v>
      </c>
      <c r="I44" s="10">
        <v>323000</v>
      </c>
      <c r="J44" s="12" t="s">
        <v>665</v>
      </c>
      <c r="K44" s="12">
        <v>40</v>
      </c>
      <c r="L44" s="12" t="s">
        <v>666</v>
      </c>
      <c r="M44" s="10">
        <v>13910628613</v>
      </c>
      <c r="N44" s="10">
        <v>1757270</v>
      </c>
      <c r="O44" s="12">
        <v>37</v>
      </c>
    </row>
    <row r="45" spans="1:15" ht="27" x14ac:dyDescent="0.3">
      <c r="A45" s="9">
        <v>43508</v>
      </c>
      <c r="B45" s="12">
        <v>11</v>
      </c>
      <c r="C45" s="11">
        <v>2E-3</v>
      </c>
      <c r="D45" s="12">
        <v>12</v>
      </c>
      <c r="E45" s="11">
        <v>1E-3</v>
      </c>
      <c r="F45" s="10">
        <v>2823</v>
      </c>
      <c r="G45" s="11">
        <v>1E-3</v>
      </c>
      <c r="H45" s="11">
        <v>3.3000000000000002E-2</v>
      </c>
      <c r="I45" s="10">
        <v>547480</v>
      </c>
      <c r="J45" s="12" t="s">
        <v>667</v>
      </c>
      <c r="K45" s="12">
        <v>92</v>
      </c>
      <c r="L45" s="12" t="s">
        <v>668</v>
      </c>
      <c r="M45" s="10">
        <v>13911176093</v>
      </c>
      <c r="N45" s="10">
        <v>1757362</v>
      </c>
      <c r="O45" s="12">
        <v>42</v>
      </c>
    </row>
    <row r="46" spans="1:15" ht="27" x14ac:dyDescent="0.3">
      <c r="A46" s="9">
        <v>43509</v>
      </c>
      <c r="B46" s="12">
        <v>12</v>
      </c>
      <c r="C46" s="11">
        <v>2E-3</v>
      </c>
      <c r="D46" s="12">
        <v>13</v>
      </c>
      <c r="E46" s="11">
        <v>1E-3</v>
      </c>
      <c r="F46" s="10">
        <v>2749</v>
      </c>
      <c r="G46" s="11">
        <v>1E-3</v>
      </c>
      <c r="H46" s="11">
        <v>6.9000000000000006E-2</v>
      </c>
      <c r="I46" s="10">
        <v>1414630</v>
      </c>
      <c r="J46" s="12" t="s">
        <v>669</v>
      </c>
      <c r="K46" s="12">
        <v>191</v>
      </c>
      <c r="L46" s="12" t="s">
        <v>670</v>
      </c>
      <c r="M46" s="10">
        <v>13912590723</v>
      </c>
      <c r="N46" s="10">
        <v>1757553</v>
      </c>
      <c r="O46" s="12">
        <v>41</v>
      </c>
    </row>
    <row r="47" spans="1:15" ht="27" x14ac:dyDescent="0.3">
      <c r="A47" s="9">
        <v>43510</v>
      </c>
      <c r="B47" s="12">
        <v>12</v>
      </c>
      <c r="C47" s="11">
        <v>2E-3</v>
      </c>
      <c r="D47" s="12">
        <v>12</v>
      </c>
      <c r="E47" s="11">
        <v>1E-3</v>
      </c>
      <c r="F47" s="10">
        <v>2953</v>
      </c>
      <c r="G47" s="11">
        <v>1E-3</v>
      </c>
      <c r="H47" s="11">
        <v>6.4000000000000001E-2</v>
      </c>
      <c r="I47" s="10">
        <v>998000</v>
      </c>
      <c r="J47" s="12" t="s">
        <v>671</v>
      </c>
      <c r="K47" s="12">
        <v>190</v>
      </c>
      <c r="L47" s="12" t="s">
        <v>672</v>
      </c>
      <c r="M47" s="10">
        <v>13913588723</v>
      </c>
      <c r="N47" s="10">
        <v>1757743</v>
      </c>
      <c r="O47" s="12">
        <v>34</v>
      </c>
    </row>
    <row r="48" spans="1:15" ht="27" x14ac:dyDescent="0.3">
      <c r="A48" s="9">
        <v>43511</v>
      </c>
      <c r="B48" s="12">
        <v>11</v>
      </c>
      <c r="C48" s="11">
        <v>2E-3</v>
      </c>
      <c r="D48" s="12">
        <v>11</v>
      </c>
      <c r="E48" s="11">
        <v>1E-3</v>
      </c>
      <c r="F48" s="10">
        <v>2953</v>
      </c>
      <c r="G48" s="11">
        <v>1E-3</v>
      </c>
      <c r="H48" s="11">
        <v>2.3E-2</v>
      </c>
      <c r="I48" s="10">
        <v>356000</v>
      </c>
      <c r="J48" s="12" t="s">
        <v>673</v>
      </c>
      <c r="K48" s="12">
        <v>69</v>
      </c>
      <c r="L48" s="12" t="s">
        <v>674</v>
      </c>
      <c r="M48" s="10">
        <v>13913944723</v>
      </c>
      <c r="N48" s="10">
        <v>1757812</v>
      </c>
      <c r="O48" s="12">
        <v>40</v>
      </c>
    </row>
    <row r="49" spans="1:15" ht="27" x14ac:dyDescent="0.3">
      <c r="A49" s="9">
        <v>43512</v>
      </c>
      <c r="B49" s="12">
        <v>10</v>
      </c>
      <c r="C49" s="11">
        <v>2E-3</v>
      </c>
      <c r="D49" s="12">
        <v>10</v>
      </c>
      <c r="E49" s="11">
        <v>0</v>
      </c>
      <c r="F49" s="10">
        <v>2540</v>
      </c>
      <c r="G49" s="11">
        <v>1E-3</v>
      </c>
      <c r="H49" s="11">
        <v>2.4E-2</v>
      </c>
      <c r="I49" s="10">
        <v>300000</v>
      </c>
      <c r="J49" s="12" t="s">
        <v>675</v>
      </c>
      <c r="K49" s="12">
        <v>60</v>
      </c>
      <c r="L49" s="12" t="s">
        <v>676</v>
      </c>
      <c r="M49" s="10">
        <v>13914244723</v>
      </c>
      <c r="N49" s="10">
        <v>1757872</v>
      </c>
      <c r="O49" s="12">
        <v>44</v>
      </c>
    </row>
    <row r="50" spans="1:15" ht="27" x14ac:dyDescent="0.3">
      <c r="A50" s="9">
        <v>43513</v>
      </c>
      <c r="B50" s="12">
        <v>11</v>
      </c>
      <c r="C50" s="11">
        <v>2E-3</v>
      </c>
      <c r="D50" s="12">
        <v>11</v>
      </c>
      <c r="E50" s="11">
        <v>1E-3</v>
      </c>
      <c r="F50" s="10">
        <v>2834</v>
      </c>
      <c r="G50" s="11">
        <v>1E-3</v>
      </c>
      <c r="H50" s="11">
        <v>2.4E-2</v>
      </c>
      <c r="I50" s="10">
        <v>345000</v>
      </c>
      <c r="J50" s="12" t="s">
        <v>677</v>
      </c>
      <c r="K50" s="12">
        <v>69</v>
      </c>
      <c r="L50" s="12" t="s">
        <v>678</v>
      </c>
      <c r="M50" s="10">
        <v>13914589723</v>
      </c>
      <c r="N50" s="10">
        <v>1757941</v>
      </c>
      <c r="O50" s="12">
        <v>46</v>
      </c>
    </row>
    <row r="51" spans="1:15" ht="27" x14ac:dyDescent="0.3">
      <c r="A51" s="9">
        <v>43514</v>
      </c>
      <c r="B51" s="12">
        <v>10</v>
      </c>
      <c r="C51" s="11">
        <v>2E-3</v>
      </c>
      <c r="D51" s="12">
        <v>10</v>
      </c>
      <c r="E51" s="11">
        <v>1E-3</v>
      </c>
      <c r="F51" s="10">
        <v>2421</v>
      </c>
      <c r="G51" s="11">
        <v>1E-3</v>
      </c>
      <c r="H51" s="11">
        <v>2.1000000000000001E-2</v>
      </c>
      <c r="I51" s="10">
        <v>250000</v>
      </c>
      <c r="J51" s="12" t="s">
        <v>679</v>
      </c>
      <c r="K51" s="12">
        <v>50</v>
      </c>
      <c r="L51" s="12" t="s">
        <v>680</v>
      </c>
      <c r="M51" s="10">
        <v>13914839723</v>
      </c>
      <c r="N51" s="10">
        <v>1757991</v>
      </c>
      <c r="O51" s="12">
        <v>47</v>
      </c>
    </row>
    <row r="52" spans="1:15" x14ac:dyDescent="0.3">
      <c r="A52" s="9">
        <v>43515</v>
      </c>
      <c r="B52" s="12">
        <v>10</v>
      </c>
      <c r="C52" s="11">
        <v>2E-3</v>
      </c>
      <c r="D52" s="12">
        <v>10</v>
      </c>
      <c r="E52" s="11">
        <v>1E-3</v>
      </c>
      <c r="F52" s="10">
        <v>2521</v>
      </c>
      <c r="G52" s="11">
        <v>1E-3</v>
      </c>
      <c r="H52" s="11">
        <v>0.02</v>
      </c>
      <c r="I52" s="10">
        <v>250000</v>
      </c>
      <c r="J52" s="12" t="s">
        <v>292</v>
      </c>
      <c r="K52" s="12">
        <v>50</v>
      </c>
      <c r="L52" s="12" t="s">
        <v>292</v>
      </c>
      <c r="M52" s="10">
        <v>13915089723</v>
      </c>
      <c r="N52" s="10">
        <v>1758041</v>
      </c>
      <c r="O52" s="12">
        <v>51</v>
      </c>
    </row>
    <row r="53" spans="1:15" x14ac:dyDescent="0.3">
      <c r="A53" s="9">
        <v>43516</v>
      </c>
      <c r="B53" s="12">
        <v>10</v>
      </c>
      <c r="C53" s="11">
        <v>2E-3</v>
      </c>
      <c r="D53" s="12">
        <v>10</v>
      </c>
      <c r="E53" s="11">
        <v>1E-3</v>
      </c>
      <c r="F53" s="10">
        <v>2568</v>
      </c>
      <c r="G53" s="11">
        <v>1E-3</v>
      </c>
      <c r="H53" s="11">
        <v>1.9E-2</v>
      </c>
      <c r="I53" s="10">
        <v>250000</v>
      </c>
      <c r="J53" s="12" t="s">
        <v>292</v>
      </c>
      <c r="K53" s="12">
        <v>50</v>
      </c>
      <c r="L53" s="12" t="s">
        <v>292</v>
      </c>
      <c r="M53" s="10">
        <v>13915339723</v>
      </c>
      <c r="N53" s="10">
        <v>1758091</v>
      </c>
      <c r="O53" s="12">
        <v>52</v>
      </c>
    </row>
    <row r="54" spans="1:15" x14ac:dyDescent="0.3">
      <c r="A54" s="9">
        <v>43517</v>
      </c>
      <c r="B54" s="12">
        <v>10</v>
      </c>
      <c r="C54" s="11">
        <v>2E-3</v>
      </c>
      <c r="D54" s="12">
        <v>10</v>
      </c>
      <c r="E54" s="11">
        <v>1E-3</v>
      </c>
      <c r="F54" s="10">
        <v>2521</v>
      </c>
      <c r="G54" s="11">
        <v>1E-3</v>
      </c>
      <c r="H54" s="11">
        <v>0.02</v>
      </c>
      <c r="I54" s="10">
        <v>250000</v>
      </c>
      <c r="J54" s="12" t="s">
        <v>292</v>
      </c>
      <c r="K54" s="12">
        <v>50</v>
      </c>
      <c r="L54" s="12" t="s">
        <v>292</v>
      </c>
      <c r="M54" s="10">
        <v>13915589723</v>
      </c>
      <c r="N54" s="10">
        <v>1758141</v>
      </c>
      <c r="O54" s="12">
        <v>59</v>
      </c>
    </row>
    <row r="55" spans="1:15" ht="27" x14ac:dyDescent="0.3">
      <c r="A55" s="9">
        <v>43518</v>
      </c>
      <c r="B55" s="12">
        <v>11</v>
      </c>
      <c r="C55" s="11">
        <v>2E-3</v>
      </c>
      <c r="D55" s="12">
        <v>11</v>
      </c>
      <c r="E55" s="11">
        <v>1E-3</v>
      </c>
      <c r="F55" s="10">
        <v>2604</v>
      </c>
      <c r="G55" s="11">
        <v>1E-3</v>
      </c>
      <c r="H55" s="11">
        <v>0.02</v>
      </c>
      <c r="I55" s="10">
        <v>265000</v>
      </c>
      <c r="J55" s="12" t="s">
        <v>681</v>
      </c>
      <c r="K55" s="12">
        <v>53</v>
      </c>
      <c r="L55" s="12" t="s">
        <v>682</v>
      </c>
      <c r="M55" s="10">
        <v>13915854723</v>
      </c>
      <c r="N55" s="10">
        <v>1758194</v>
      </c>
      <c r="O55" s="12">
        <v>51</v>
      </c>
    </row>
    <row r="56" spans="1:15" ht="27" x14ac:dyDescent="0.3">
      <c r="A56" s="9">
        <v>43519</v>
      </c>
      <c r="B56" s="12">
        <v>10</v>
      </c>
      <c r="C56" s="11">
        <v>1E-3</v>
      </c>
      <c r="D56" s="12">
        <v>10</v>
      </c>
      <c r="E56" s="11">
        <v>1E-3</v>
      </c>
      <c r="F56" s="10">
        <v>2568</v>
      </c>
      <c r="G56" s="11">
        <v>1E-3</v>
      </c>
      <c r="H56" s="11">
        <v>1.9E-2</v>
      </c>
      <c r="I56" s="10">
        <v>250000</v>
      </c>
      <c r="J56" s="12" t="s">
        <v>683</v>
      </c>
      <c r="K56" s="12">
        <v>50</v>
      </c>
      <c r="L56" s="12" t="s">
        <v>684</v>
      </c>
      <c r="M56" s="10">
        <v>13916104723</v>
      </c>
      <c r="N56" s="10">
        <v>1758244</v>
      </c>
      <c r="O56" s="12">
        <v>57</v>
      </c>
    </row>
    <row r="57" spans="1:15" ht="27" x14ac:dyDescent="0.3">
      <c r="A57" s="9">
        <v>43520</v>
      </c>
      <c r="B57" s="12">
        <v>11</v>
      </c>
      <c r="C57" s="11">
        <v>2E-3</v>
      </c>
      <c r="D57" s="12">
        <v>11</v>
      </c>
      <c r="E57" s="11">
        <v>1E-3</v>
      </c>
      <c r="F57" s="10">
        <v>2981</v>
      </c>
      <c r="G57" s="11">
        <v>1E-3</v>
      </c>
      <c r="H57" s="11">
        <v>3.1E-2</v>
      </c>
      <c r="I57" s="10">
        <v>516000</v>
      </c>
      <c r="J57" s="12" t="s">
        <v>685</v>
      </c>
      <c r="K57" s="12">
        <v>92</v>
      </c>
      <c r="L57" s="12" t="s">
        <v>686</v>
      </c>
      <c r="M57" s="10">
        <v>13916620723</v>
      </c>
      <c r="N57" s="10">
        <v>1758336</v>
      </c>
      <c r="O57" s="12">
        <v>51</v>
      </c>
    </row>
    <row r="58" spans="1:15" ht="27" x14ac:dyDescent="0.3">
      <c r="A58" s="9">
        <v>43521</v>
      </c>
      <c r="B58" s="12">
        <v>10</v>
      </c>
      <c r="C58" s="11">
        <v>2E-3</v>
      </c>
      <c r="D58" s="12">
        <v>10</v>
      </c>
      <c r="E58" s="11">
        <v>1E-3</v>
      </c>
      <c r="F58" s="10">
        <v>2767</v>
      </c>
      <c r="G58" s="11">
        <v>1E-3</v>
      </c>
      <c r="H58" s="11">
        <v>1.7999999999999999E-2</v>
      </c>
      <c r="I58" s="10">
        <v>250000</v>
      </c>
      <c r="J58" s="12" t="s">
        <v>687</v>
      </c>
      <c r="K58" s="12">
        <v>50</v>
      </c>
      <c r="L58" s="12" t="s">
        <v>688</v>
      </c>
      <c r="M58" s="10">
        <v>13916870723</v>
      </c>
      <c r="N58" s="10">
        <v>1758386</v>
      </c>
      <c r="O58" s="12">
        <v>56</v>
      </c>
    </row>
    <row r="59" spans="1:15" ht="27" x14ac:dyDescent="0.3">
      <c r="A59" s="9">
        <v>43522</v>
      </c>
      <c r="B59" s="12">
        <v>11</v>
      </c>
      <c r="C59" s="11">
        <v>2E-3</v>
      </c>
      <c r="D59" s="12">
        <v>11</v>
      </c>
      <c r="E59" s="11">
        <v>1E-3</v>
      </c>
      <c r="F59" s="10">
        <v>3409</v>
      </c>
      <c r="G59" s="11">
        <v>1E-3</v>
      </c>
      <c r="H59" s="11">
        <v>0.02</v>
      </c>
      <c r="I59" s="10">
        <v>351000</v>
      </c>
      <c r="J59" s="12" t="s">
        <v>689</v>
      </c>
      <c r="K59" s="12">
        <v>67</v>
      </c>
      <c r="L59" s="12" t="s">
        <v>690</v>
      </c>
      <c r="M59" s="10">
        <v>13917221723</v>
      </c>
      <c r="N59" s="10">
        <v>1758453</v>
      </c>
      <c r="O59" s="12">
        <v>64</v>
      </c>
    </row>
    <row r="60" spans="1:15" ht="27" x14ac:dyDescent="0.3">
      <c r="A60" s="9">
        <v>43523</v>
      </c>
      <c r="B60" s="12">
        <v>10</v>
      </c>
      <c r="C60" s="11">
        <v>2E-3</v>
      </c>
      <c r="D60" s="12">
        <v>10</v>
      </c>
      <c r="E60" s="11">
        <v>1E-3</v>
      </c>
      <c r="F60" s="10">
        <v>2399</v>
      </c>
      <c r="G60" s="11">
        <v>1E-3</v>
      </c>
      <c r="H60" s="11">
        <v>2.1000000000000001E-2</v>
      </c>
      <c r="I60" s="10">
        <v>250000</v>
      </c>
      <c r="J60" s="12" t="s">
        <v>691</v>
      </c>
      <c r="K60" s="12">
        <v>50</v>
      </c>
      <c r="L60" s="12" t="s">
        <v>692</v>
      </c>
      <c r="M60" s="10">
        <v>13917471723</v>
      </c>
      <c r="N60" s="10">
        <v>1758503</v>
      </c>
      <c r="O60" s="12">
        <v>67</v>
      </c>
    </row>
    <row r="61" spans="1:15" x14ac:dyDescent="0.3">
      <c r="A61" s="9">
        <v>43524</v>
      </c>
      <c r="B61" s="12">
        <v>10</v>
      </c>
      <c r="C61" s="11">
        <v>2E-3</v>
      </c>
      <c r="D61" s="12">
        <v>10</v>
      </c>
      <c r="E61" s="11">
        <v>1E-3</v>
      </c>
      <c r="F61" s="10">
        <v>2429</v>
      </c>
      <c r="G61" s="11">
        <v>1E-3</v>
      </c>
      <c r="H61" s="11">
        <v>2.1000000000000001E-2</v>
      </c>
      <c r="I61" s="10">
        <v>250000</v>
      </c>
      <c r="J61" s="12" t="s">
        <v>292</v>
      </c>
      <c r="K61" s="12">
        <v>50</v>
      </c>
      <c r="L61" s="12" t="s">
        <v>292</v>
      </c>
      <c r="M61" s="10">
        <v>13917721723</v>
      </c>
      <c r="N61" s="10">
        <v>1758553</v>
      </c>
      <c r="O61" s="12">
        <v>61</v>
      </c>
    </row>
    <row r="62" spans="1:15" x14ac:dyDescent="0.3">
      <c r="A62" s="9">
        <v>43525</v>
      </c>
      <c r="B62" s="12">
        <v>10</v>
      </c>
      <c r="C62" s="11">
        <v>1E-3</v>
      </c>
      <c r="D62" s="12">
        <v>10</v>
      </c>
      <c r="E62" s="11">
        <v>0</v>
      </c>
      <c r="F62" s="10">
        <v>2429</v>
      </c>
      <c r="G62" s="11">
        <v>1E-3</v>
      </c>
      <c r="H62" s="11">
        <v>2.1000000000000001E-2</v>
      </c>
      <c r="I62" s="10">
        <v>250000</v>
      </c>
      <c r="J62" s="12" t="s">
        <v>292</v>
      </c>
      <c r="K62" s="12">
        <v>50</v>
      </c>
      <c r="L62" s="12" t="s">
        <v>292</v>
      </c>
      <c r="M62" s="10">
        <v>13917971723</v>
      </c>
      <c r="N62" s="10">
        <v>1758603</v>
      </c>
      <c r="O62" s="12">
        <v>54</v>
      </c>
    </row>
    <row r="63" spans="1:15" ht="27" x14ac:dyDescent="0.3">
      <c r="A63" s="9">
        <v>43526</v>
      </c>
      <c r="B63" s="12">
        <v>11</v>
      </c>
      <c r="C63" s="11">
        <v>1E-3</v>
      </c>
      <c r="D63" s="12">
        <v>11</v>
      </c>
      <c r="E63" s="11">
        <v>1E-3</v>
      </c>
      <c r="F63" s="10">
        <v>3240</v>
      </c>
      <c r="G63" s="11">
        <v>1E-3</v>
      </c>
      <c r="H63" s="11">
        <v>1.7999999999999999E-2</v>
      </c>
      <c r="I63" s="10">
        <v>295000</v>
      </c>
      <c r="J63" s="12" t="s">
        <v>693</v>
      </c>
      <c r="K63" s="12">
        <v>59</v>
      </c>
      <c r="L63" s="12" t="s">
        <v>694</v>
      </c>
      <c r="M63" s="10">
        <v>13918266723</v>
      </c>
      <c r="N63" s="10">
        <v>1758662</v>
      </c>
      <c r="O63" s="12">
        <v>57</v>
      </c>
    </row>
    <row r="64" spans="1:15" ht="27" x14ac:dyDescent="0.3">
      <c r="A64" s="9">
        <v>43527</v>
      </c>
      <c r="B64" s="12">
        <v>10</v>
      </c>
      <c r="C64" s="11">
        <v>1E-3</v>
      </c>
      <c r="D64" s="12">
        <v>10</v>
      </c>
      <c r="E64" s="11">
        <v>1E-3</v>
      </c>
      <c r="F64" s="10">
        <v>2429</v>
      </c>
      <c r="G64" s="11">
        <v>1E-3</v>
      </c>
      <c r="H64" s="11">
        <v>2.1000000000000001E-2</v>
      </c>
      <c r="I64" s="10">
        <v>250000</v>
      </c>
      <c r="J64" s="12" t="s">
        <v>695</v>
      </c>
      <c r="K64" s="12">
        <v>50</v>
      </c>
      <c r="L64" s="12" t="s">
        <v>696</v>
      </c>
      <c r="M64" s="10">
        <v>13918516723</v>
      </c>
      <c r="N64" s="10">
        <v>1758712</v>
      </c>
      <c r="O64" s="12">
        <v>56</v>
      </c>
    </row>
    <row r="65" spans="1:15" x14ac:dyDescent="0.3">
      <c r="A65" s="9">
        <v>43528</v>
      </c>
      <c r="B65" s="12">
        <v>10</v>
      </c>
      <c r="C65" s="11">
        <v>2E-3</v>
      </c>
      <c r="D65" s="12">
        <v>10</v>
      </c>
      <c r="E65" s="11">
        <v>1E-3</v>
      </c>
      <c r="F65" s="10">
        <v>2429</v>
      </c>
      <c r="G65" s="11">
        <v>1E-3</v>
      </c>
      <c r="H65" s="11">
        <v>2.1000000000000001E-2</v>
      </c>
      <c r="I65" s="10">
        <v>250000</v>
      </c>
      <c r="J65" s="12" t="s">
        <v>292</v>
      </c>
      <c r="K65" s="12">
        <v>50</v>
      </c>
      <c r="L65" s="12" t="s">
        <v>292</v>
      </c>
      <c r="M65" s="10">
        <v>13918766723</v>
      </c>
      <c r="N65" s="10">
        <v>1758762</v>
      </c>
      <c r="O65" s="12">
        <v>47</v>
      </c>
    </row>
    <row r="66" spans="1:15" x14ac:dyDescent="0.3">
      <c r="A66" s="9">
        <v>43529</v>
      </c>
      <c r="B66" s="12">
        <v>10</v>
      </c>
      <c r="C66" s="11">
        <v>2E-3</v>
      </c>
      <c r="D66" s="12">
        <v>10</v>
      </c>
      <c r="E66" s="11">
        <v>1E-3</v>
      </c>
      <c r="F66" s="10">
        <v>2429</v>
      </c>
      <c r="G66" s="11">
        <v>1E-3</v>
      </c>
      <c r="H66" s="11">
        <v>2.1000000000000001E-2</v>
      </c>
      <c r="I66" s="10">
        <v>250000</v>
      </c>
      <c r="J66" s="12" t="s">
        <v>292</v>
      </c>
      <c r="K66" s="12">
        <v>50</v>
      </c>
      <c r="L66" s="12" t="s">
        <v>292</v>
      </c>
      <c r="M66" s="10">
        <v>13919016723</v>
      </c>
      <c r="N66" s="10">
        <v>1758812</v>
      </c>
      <c r="O66" s="12">
        <v>50</v>
      </c>
    </row>
    <row r="67" spans="1:15" ht="27" x14ac:dyDescent="0.3">
      <c r="A67" s="9">
        <v>43530</v>
      </c>
      <c r="B67" s="12">
        <v>11</v>
      </c>
      <c r="C67" s="11">
        <v>2E-3</v>
      </c>
      <c r="D67" s="12">
        <v>11</v>
      </c>
      <c r="E67" s="11">
        <v>1E-3</v>
      </c>
      <c r="F67" s="10">
        <v>3841</v>
      </c>
      <c r="G67" s="11">
        <v>1E-3</v>
      </c>
      <c r="H67" s="11">
        <v>1.4999999999999999E-2</v>
      </c>
      <c r="I67" s="10">
        <v>298000</v>
      </c>
      <c r="J67" s="12" t="s">
        <v>697</v>
      </c>
      <c r="K67" s="12">
        <v>57</v>
      </c>
      <c r="L67" s="12" t="s">
        <v>698</v>
      </c>
      <c r="M67" s="10">
        <v>13919314723</v>
      </c>
      <c r="N67" s="10">
        <v>1758869</v>
      </c>
      <c r="O67" s="12">
        <v>43</v>
      </c>
    </row>
    <row r="68" spans="1:15" ht="27" x14ac:dyDescent="0.3">
      <c r="A68" s="9">
        <v>43533</v>
      </c>
      <c r="B68" s="12">
        <v>1</v>
      </c>
      <c r="C68" s="11">
        <v>0</v>
      </c>
      <c r="D68" s="12">
        <v>1</v>
      </c>
      <c r="E68" s="11">
        <v>0</v>
      </c>
      <c r="F68" s="12">
        <v>413</v>
      </c>
      <c r="G68" s="11">
        <v>0</v>
      </c>
      <c r="H68" s="11">
        <v>2.7E-2</v>
      </c>
      <c r="I68" s="10">
        <v>55000</v>
      </c>
      <c r="J68" s="12" t="s">
        <v>699</v>
      </c>
      <c r="K68" s="12">
        <v>11</v>
      </c>
      <c r="L68" s="12" t="s">
        <v>700</v>
      </c>
      <c r="M68" s="10">
        <v>13919369723</v>
      </c>
      <c r="N68" s="10">
        <v>1758880</v>
      </c>
      <c r="O68" s="12">
        <v>72</v>
      </c>
    </row>
    <row r="69" spans="1:15" x14ac:dyDescent="0.3">
      <c r="A69" s="9">
        <v>43538</v>
      </c>
      <c r="B69" s="12">
        <v>1</v>
      </c>
      <c r="C69" s="11">
        <v>0</v>
      </c>
      <c r="D69" s="12">
        <v>1</v>
      </c>
      <c r="E69" s="11">
        <v>0</v>
      </c>
      <c r="F69" s="12">
        <v>841</v>
      </c>
      <c r="G69" s="11">
        <v>0</v>
      </c>
      <c r="H69" s="11">
        <v>0</v>
      </c>
      <c r="I69" s="12">
        <v>0</v>
      </c>
      <c r="J69" s="12" t="s">
        <v>292</v>
      </c>
      <c r="K69" s="12">
        <v>0</v>
      </c>
      <c r="L69" s="12" t="s">
        <v>292</v>
      </c>
      <c r="M69" s="10">
        <v>13919369723</v>
      </c>
      <c r="N69" s="10">
        <v>1758880</v>
      </c>
      <c r="O69" s="12">
        <v>97</v>
      </c>
    </row>
    <row r="70" spans="1:15" ht="27" x14ac:dyDescent="0.3">
      <c r="A70" s="9">
        <v>43541</v>
      </c>
      <c r="B70" s="12">
        <v>1</v>
      </c>
      <c r="C70" s="11">
        <v>0</v>
      </c>
      <c r="D70" s="12">
        <v>1</v>
      </c>
      <c r="E70" s="11">
        <v>0</v>
      </c>
      <c r="F70" s="12">
        <v>841</v>
      </c>
      <c r="G70" s="11">
        <v>0</v>
      </c>
      <c r="H70" s="11">
        <v>1.2999999999999999E-2</v>
      </c>
      <c r="I70" s="10">
        <v>55000</v>
      </c>
      <c r="J70" s="12" t="s">
        <v>699</v>
      </c>
      <c r="K70" s="12">
        <v>11</v>
      </c>
      <c r="L70" s="12" t="s">
        <v>700</v>
      </c>
      <c r="M70" s="10">
        <v>13919424723</v>
      </c>
      <c r="N70" s="10">
        <v>1758891</v>
      </c>
      <c r="O70" s="12">
        <v>84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CE0B5-D642-45F4-903B-26A2BF2284E4}">
  <dimension ref="A1:O61"/>
  <sheetViews>
    <sheetView workbookViewId="0">
      <selection activeCell="B5" sqref="B5"/>
    </sheetView>
  </sheetViews>
  <sheetFormatPr defaultRowHeight="16.5" x14ac:dyDescent="0.3"/>
  <sheetData>
    <row r="1" spans="1:15" ht="19.5" x14ac:dyDescent="0.3">
      <c r="A1" s="197" t="s">
        <v>701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9" t="s">
        <v>110</v>
      </c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43453</v>
      </c>
      <c r="B5" s="12">
        <v>993</v>
      </c>
      <c r="C5" s="11">
        <v>0.157</v>
      </c>
      <c r="D5" s="10">
        <v>3839</v>
      </c>
      <c r="E5" s="11">
        <v>0.222</v>
      </c>
      <c r="F5" s="10">
        <v>641605</v>
      </c>
      <c r="G5" s="11">
        <v>0.23799999999999999</v>
      </c>
      <c r="H5" s="11">
        <v>0.22700000000000001</v>
      </c>
      <c r="I5" s="10">
        <v>1229668100</v>
      </c>
      <c r="J5" s="12" t="s">
        <v>702</v>
      </c>
      <c r="K5" s="10">
        <v>145383</v>
      </c>
      <c r="L5" s="12" t="s">
        <v>703</v>
      </c>
      <c r="M5" s="10">
        <v>1280267100</v>
      </c>
      <c r="N5" s="10">
        <v>151184</v>
      </c>
      <c r="O5" s="12">
        <v>2</v>
      </c>
    </row>
    <row r="6" spans="1:15" ht="40.5" x14ac:dyDescent="0.3">
      <c r="A6" s="9">
        <v>43454</v>
      </c>
      <c r="B6" s="10">
        <v>1060</v>
      </c>
      <c r="C6" s="11">
        <v>0.16400000000000001</v>
      </c>
      <c r="D6" s="10">
        <v>3916</v>
      </c>
      <c r="E6" s="11">
        <v>0.22700000000000001</v>
      </c>
      <c r="F6" s="10">
        <v>648663</v>
      </c>
      <c r="G6" s="11">
        <v>0.24099999999999999</v>
      </c>
      <c r="H6" s="11">
        <v>0.20399999999999999</v>
      </c>
      <c r="I6" s="10">
        <v>1108854100</v>
      </c>
      <c r="J6" s="12" t="s">
        <v>704</v>
      </c>
      <c r="K6" s="10">
        <v>132636</v>
      </c>
      <c r="L6" s="12" t="s">
        <v>705</v>
      </c>
      <c r="M6" s="10">
        <v>2389121200</v>
      </c>
      <c r="N6" s="10">
        <v>283820</v>
      </c>
      <c r="O6" s="12">
        <v>2</v>
      </c>
    </row>
    <row r="7" spans="1:15" ht="27" x14ac:dyDescent="0.3">
      <c r="A7" s="9">
        <v>43455</v>
      </c>
      <c r="B7" s="10">
        <v>1114</v>
      </c>
      <c r="C7" s="11">
        <v>0.17</v>
      </c>
      <c r="D7" s="10">
        <v>4146</v>
      </c>
      <c r="E7" s="11">
        <v>0.23499999999999999</v>
      </c>
      <c r="F7" s="10">
        <v>690561</v>
      </c>
      <c r="G7" s="11">
        <v>0.25</v>
      </c>
      <c r="H7" s="11">
        <v>0.26300000000000001</v>
      </c>
      <c r="I7" s="10">
        <v>1632638131</v>
      </c>
      <c r="J7" s="12" t="s">
        <v>706</v>
      </c>
      <c r="K7" s="10">
        <v>181806</v>
      </c>
      <c r="L7" s="12" t="s">
        <v>707</v>
      </c>
      <c r="M7" s="10">
        <v>4021759331</v>
      </c>
      <c r="N7" s="10">
        <v>465626</v>
      </c>
      <c r="O7" s="12">
        <v>2</v>
      </c>
    </row>
    <row r="8" spans="1:15" ht="40.5" x14ac:dyDescent="0.3">
      <c r="A8" s="9">
        <v>43456</v>
      </c>
      <c r="B8" s="10">
        <v>1192</v>
      </c>
      <c r="C8" s="11">
        <v>0.17199999999999999</v>
      </c>
      <c r="D8" s="10">
        <v>4691</v>
      </c>
      <c r="E8" s="11">
        <v>0.247</v>
      </c>
      <c r="F8" s="10">
        <v>792449</v>
      </c>
      <c r="G8" s="11">
        <v>0.26900000000000002</v>
      </c>
      <c r="H8" s="11">
        <v>0.47799999999999998</v>
      </c>
      <c r="I8" s="10">
        <v>3501067267</v>
      </c>
      <c r="J8" s="12" t="s">
        <v>708</v>
      </c>
      <c r="K8" s="10">
        <v>378681</v>
      </c>
      <c r="L8" s="12" t="s">
        <v>709</v>
      </c>
      <c r="M8" s="10">
        <v>7522826598</v>
      </c>
      <c r="N8" s="10">
        <v>844307</v>
      </c>
      <c r="O8" s="12">
        <v>1</v>
      </c>
    </row>
    <row r="9" spans="1:15" ht="27" x14ac:dyDescent="0.3">
      <c r="A9" s="9">
        <v>43457</v>
      </c>
      <c r="B9" s="10">
        <v>1272</v>
      </c>
      <c r="C9" s="11">
        <v>0.182</v>
      </c>
      <c r="D9" s="10">
        <v>4918</v>
      </c>
      <c r="E9" s="11">
        <v>0.26100000000000001</v>
      </c>
      <c r="F9" s="10">
        <v>842234</v>
      </c>
      <c r="G9" s="11">
        <v>0.28799999999999998</v>
      </c>
      <c r="H9" s="11">
        <v>0.48199999999999998</v>
      </c>
      <c r="I9" s="10">
        <v>3743790200</v>
      </c>
      <c r="J9" s="12" t="s">
        <v>710</v>
      </c>
      <c r="K9" s="10">
        <v>405753</v>
      </c>
      <c r="L9" s="12" t="s">
        <v>711</v>
      </c>
      <c r="M9" s="10">
        <v>11266616798</v>
      </c>
      <c r="N9" s="10">
        <v>1250060</v>
      </c>
      <c r="O9" s="12">
        <v>1</v>
      </c>
    </row>
    <row r="10" spans="1:15" ht="40.5" x14ac:dyDescent="0.3">
      <c r="A10" s="9">
        <v>43458</v>
      </c>
      <c r="B10" s="10">
        <v>1285</v>
      </c>
      <c r="C10" s="11">
        <v>0.17299999999999999</v>
      </c>
      <c r="D10" s="10">
        <v>4899</v>
      </c>
      <c r="E10" s="11">
        <v>0.25600000000000001</v>
      </c>
      <c r="F10" s="10">
        <v>861760</v>
      </c>
      <c r="G10" s="11">
        <v>0.28899999999999998</v>
      </c>
      <c r="H10" s="11">
        <v>0.39900000000000002</v>
      </c>
      <c r="I10" s="10">
        <v>2900481900</v>
      </c>
      <c r="J10" s="12" t="s">
        <v>712</v>
      </c>
      <c r="K10" s="10">
        <v>343758</v>
      </c>
      <c r="L10" s="12" t="s">
        <v>713</v>
      </c>
      <c r="M10" s="10">
        <v>14167098698</v>
      </c>
      <c r="N10" s="10">
        <v>1593818</v>
      </c>
      <c r="O10" s="12">
        <v>1</v>
      </c>
    </row>
    <row r="11" spans="1:15" ht="27" x14ac:dyDescent="0.3">
      <c r="A11" s="9">
        <v>43459</v>
      </c>
      <c r="B11" s="10">
        <v>1174</v>
      </c>
      <c r="C11" s="11">
        <v>0.158</v>
      </c>
      <c r="D11" s="10">
        <v>4283</v>
      </c>
      <c r="E11" s="11">
        <v>0.214</v>
      </c>
      <c r="F11" s="10">
        <v>752160</v>
      </c>
      <c r="G11" s="11">
        <v>0.24</v>
      </c>
      <c r="H11" s="11">
        <v>0.67500000000000004</v>
      </c>
      <c r="I11" s="10">
        <v>4561138450</v>
      </c>
      <c r="J11" s="12" t="s">
        <v>714</v>
      </c>
      <c r="K11" s="10">
        <v>507940</v>
      </c>
      <c r="L11" s="12" t="s">
        <v>715</v>
      </c>
      <c r="M11" s="10">
        <v>18728237148</v>
      </c>
      <c r="N11" s="10">
        <v>2101758</v>
      </c>
      <c r="O11" s="12">
        <v>1</v>
      </c>
    </row>
    <row r="12" spans="1:15" ht="54" x14ac:dyDescent="0.3">
      <c r="A12" s="9">
        <v>43460</v>
      </c>
      <c r="B12" s="12">
        <v>985</v>
      </c>
      <c r="C12" s="11">
        <v>0.14899999999999999</v>
      </c>
      <c r="D12" s="10">
        <v>3230</v>
      </c>
      <c r="E12" s="11">
        <v>0.17499999999999999</v>
      </c>
      <c r="F12" s="10">
        <v>535472</v>
      </c>
      <c r="G12" s="11">
        <v>0.184</v>
      </c>
      <c r="H12" s="11">
        <v>0.313</v>
      </c>
      <c r="I12" s="10">
        <v>1079765400</v>
      </c>
      <c r="J12" s="12" t="s">
        <v>716</v>
      </c>
      <c r="K12" s="10">
        <v>167392</v>
      </c>
      <c r="L12" s="12" t="s">
        <v>717</v>
      </c>
      <c r="M12" s="10">
        <v>19808002548</v>
      </c>
      <c r="N12" s="10">
        <v>2269150</v>
      </c>
      <c r="O12" s="12">
        <v>2</v>
      </c>
    </row>
    <row r="13" spans="1:15" ht="40.5" x14ac:dyDescent="0.3">
      <c r="A13" s="9">
        <v>43461</v>
      </c>
      <c r="B13" s="10">
        <v>1009</v>
      </c>
      <c r="C13" s="11">
        <v>0.151</v>
      </c>
      <c r="D13" s="10">
        <v>3434</v>
      </c>
      <c r="E13" s="11">
        <v>0.186</v>
      </c>
      <c r="F13" s="10">
        <v>584514</v>
      </c>
      <c r="G13" s="11">
        <v>0.20100000000000001</v>
      </c>
      <c r="H13" s="11">
        <v>0.19400000000000001</v>
      </c>
      <c r="I13" s="10">
        <v>926499750</v>
      </c>
      <c r="J13" s="12" t="s">
        <v>718</v>
      </c>
      <c r="K13" s="10">
        <v>113341</v>
      </c>
      <c r="L13" s="12" t="s">
        <v>719</v>
      </c>
      <c r="M13" s="10">
        <v>20734502298</v>
      </c>
      <c r="N13" s="10">
        <v>2382491</v>
      </c>
      <c r="O13" s="12">
        <v>2</v>
      </c>
    </row>
    <row r="14" spans="1:15" ht="27" x14ac:dyDescent="0.3">
      <c r="A14" s="9">
        <v>43462</v>
      </c>
      <c r="B14" s="10">
        <v>1092</v>
      </c>
      <c r="C14" s="11">
        <v>0.158</v>
      </c>
      <c r="D14" s="10">
        <v>3791</v>
      </c>
      <c r="E14" s="11">
        <v>0.2</v>
      </c>
      <c r="F14" s="10">
        <v>653667</v>
      </c>
      <c r="G14" s="11">
        <v>0.22</v>
      </c>
      <c r="H14" s="11">
        <v>0.23300000000000001</v>
      </c>
      <c r="I14" s="10">
        <v>1368491987</v>
      </c>
      <c r="J14" s="12" t="s">
        <v>720</v>
      </c>
      <c r="K14" s="10">
        <v>152165</v>
      </c>
      <c r="L14" s="12" t="s">
        <v>721</v>
      </c>
      <c r="M14" s="10">
        <v>22102994285</v>
      </c>
      <c r="N14" s="10">
        <v>2534656</v>
      </c>
      <c r="O14" s="12">
        <v>2</v>
      </c>
    </row>
    <row r="15" spans="1:15" ht="40.5" x14ac:dyDescent="0.3">
      <c r="A15" s="9">
        <v>43463</v>
      </c>
      <c r="B15" s="10">
        <v>1159</v>
      </c>
      <c r="C15" s="11">
        <v>0.158</v>
      </c>
      <c r="D15" s="10">
        <v>4328</v>
      </c>
      <c r="E15" s="11">
        <v>0.22</v>
      </c>
      <c r="F15" s="10">
        <v>774055</v>
      </c>
      <c r="G15" s="11">
        <v>0.252</v>
      </c>
      <c r="H15" s="11">
        <v>0.41699999999999998</v>
      </c>
      <c r="I15" s="10">
        <v>2905850946</v>
      </c>
      <c r="J15" s="12" t="s">
        <v>722</v>
      </c>
      <c r="K15" s="10">
        <v>322870</v>
      </c>
      <c r="L15" s="12" t="s">
        <v>723</v>
      </c>
      <c r="M15" s="10">
        <v>25008845231</v>
      </c>
      <c r="N15" s="10">
        <v>2857526</v>
      </c>
      <c r="O15" s="12">
        <v>1</v>
      </c>
    </row>
    <row r="16" spans="1:15" ht="27" x14ac:dyDescent="0.3">
      <c r="A16" s="9">
        <v>43464</v>
      </c>
      <c r="B16" s="10">
        <v>1168</v>
      </c>
      <c r="C16" s="11">
        <v>0.16200000000000001</v>
      </c>
      <c r="D16" s="10">
        <v>4416</v>
      </c>
      <c r="E16" s="11">
        <v>0.22700000000000001</v>
      </c>
      <c r="F16" s="10">
        <v>797246</v>
      </c>
      <c r="G16" s="11">
        <v>0.26300000000000001</v>
      </c>
      <c r="H16" s="11">
        <v>0.435</v>
      </c>
      <c r="I16" s="10">
        <v>3117421850</v>
      </c>
      <c r="J16" s="12" t="s">
        <v>724</v>
      </c>
      <c r="K16" s="10">
        <v>346637</v>
      </c>
      <c r="L16" s="12" t="s">
        <v>725</v>
      </c>
      <c r="M16" s="10">
        <v>28126267081</v>
      </c>
      <c r="N16" s="10">
        <v>3204163</v>
      </c>
      <c r="O16" s="12">
        <v>1</v>
      </c>
    </row>
    <row r="17" spans="1:15" ht="40.5" x14ac:dyDescent="0.3">
      <c r="A17" s="9">
        <v>43465</v>
      </c>
      <c r="B17" s="10">
        <v>1161</v>
      </c>
      <c r="C17" s="11">
        <v>0.16800000000000001</v>
      </c>
      <c r="D17" s="10">
        <v>4590</v>
      </c>
      <c r="E17" s="11">
        <v>0.23699999999999999</v>
      </c>
      <c r="F17" s="10">
        <v>851745</v>
      </c>
      <c r="G17" s="11">
        <v>0.28299999999999997</v>
      </c>
      <c r="H17" s="11">
        <v>0.33800000000000002</v>
      </c>
      <c r="I17" s="10">
        <v>2328025300</v>
      </c>
      <c r="J17" s="12" t="s">
        <v>726</v>
      </c>
      <c r="K17" s="10">
        <v>287694</v>
      </c>
      <c r="L17" s="12" t="s">
        <v>727</v>
      </c>
      <c r="M17" s="10">
        <v>30454292381</v>
      </c>
      <c r="N17" s="10">
        <v>3491857</v>
      </c>
      <c r="O17" s="12">
        <v>1</v>
      </c>
    </row>
    <row r="18" spans="1:15" ht="27" x14ac:dyDescent="0.3">
      <c r="A18" s="9">
        <v>43466</v>
      </c>
      <c r="B18" s="10">
        <v>1158</v>
      </c>
      <c r="C18" s="11">
        <v>0.16200000000000001</v>
      </c>
      <c r="D18" s="10">
        <v>4594</v>
      </c>
      <c r="E18" s="11">
        <v>0.23599999999999999</v>
      </c>
      <c r="F18" s="10">
        <v>885015</v>
      </c>
      <c r="G18" s="11">
        <v>0.29299999999999998</v>
      </c>
      <c r="H18" s="11">
        <v>0.434</v>
      </c>
      <c r="I18" s="10">
        <v>3482411050</v>
      </c>
      <c r="J18" s="12" t="s">
        <v>728</v>
      </c>
      <c r="K18" s="10">
        <v>384106</v>
      </c>
      <c r="L18" s="12" t="s">
        <v>729</v>
      </c>
      <c r="M18" s="10">
        <v>33936703431</v>
      </c>
      <c r="N18" s="10">
        <v>3875963</v>
      </c>
      <c r="O18" s="12">
        <v>1</v>
      </c>
    </row>
    <row r="19" spans="1:15" ht="54" x14ac:dyDescent="0.3">
      <c r="A19" s="9">
        <v>43467</v>
      </c>
      <c r="B19" s="10">
        <v>1110</v>
      </c>
      <c r="C19" s="11">
        <v>0.16400000000000001</v>
      </c>
      <c r="D19" s="10">
        <v>4364</v>
      </c>
      <c r="E19" s="11">
        <v>0.23699999999999999</v>
      </c>
      <c r="F19" s="10">
        <v>843025</v>
      </c>
      <c r="G19" s="11">
        <v>0.29499999999999998</v>
      </c>
      <c r="H19" s="11">
        <v>0.125</v>
      </c>
      <c r="I19" s="10">
        <v>873960050</v>
      </c>
      <c r="J19" s="12" t="s">
        <v>730</v>
      </c>
      <c r="K19" s="10">
        <v>105089</v>
      </c>
      <c r="L19" s="12" t="s">
        <v>731</v>
      </c>
      <c r="M19" s="10">
        <v>34810663481</v>
      </c>
      <c r="N19" s="10">
        <v>3981052</v>
      </c>
      <c r="O19" s="12">
        <v>1</v>
      </c>
    </row>
    <row r="20" spans="1:15" ht="40.5" x14ac:dyDescent="0.3">
      <c r="A20" s="9">
        <v>43468</v>
      </c>
      <c r="B20" s="10">
        <v>1074</v>
      </c>
      <c r="C20" s="11">
        <v>0.153</v>
      </c>
      <c r="D20" s="10">
        <v>3853</v>
      </c>
      <c r="E20" s="11">
        <v>0.20799999999999999</v>
      </c>
      <c r="F20" s="10">
        <v>746033</v>
      </c>
      <c r="G20" s="11">
        <v>0.25900000000000001</v>
      </c>
      <c r="H20" s="11">
        <v>0.109</v>
      </c>
      <c r="I20" s="10">
        <v>664994950</v>
      </c>
      <c r="J20" s="12" t="s">
        <v>732</v>
      </c>
      <c r="K20" s="10">
        <v>81399</v>
      </c>
      <c r="L20" s="12" t="s">
        <v>733</v>
      </c>
      <c r="M20" s="10">
        <v>35475658431</v>
      </c>
      <c r="N20" s="10">
        <v>4062451</v>
      </c>
      <c r="O20" s="12">
        <v>2</v>
      </c>
    </row>
    <row r="21" spans="1:15" ht="27" x14ac:dyDescent="0.3">
      <c r="A21" s="9">
        <v>43469</v>
      </c>
      <c r="B21" s="10">
        <v>1094</v>
      </c>
      <c r="C21" s="11">
        <v>0.156</v>
      </c>
      <c r="D21" s="10">
        <v>3956</v>
      </c>
      <c r="E21" s="11">
        <v>0.21099999999999999</v>
      </c>
      <c r="F21" s="10">
        <v>767292</v>
      </c>
      <c r="G21" s="11">
        <v>0.26200000000000001</v>
      </c>
      <c r="H21" s="11">
        <v>0.123</v>
      </c>
      <c r="I21" s="10">
        <v>849423421</v>
      </c>
      <c r="J21" s="12" t="s">
        <v>734</v>
      </c>
      <c r="K21" s="10">
        <v>94390</v>
      </c>
      <c r="L21" s="12" t="s">
        <v>735</v>
      </c>
      <c r="M21" s="10">
        <v>36325081852</v>
      </c>
      <c r="N21" s="10">
        <v>4156841</v>
      </c>
      <c r="O21" s="12">
        <v>2</v>
      </c>
    </row>
    <row r="22" spans="1:15" ht="40.5" x14ac:dyDescent="0.3">
      <c r="A22" s="9">
        <v>43470</v>
      </c>
      <c r="B22" s="10">
        <v>1123</v>
      </c>
      <c r="C22" s="11">
        <v>0.14499999999999999</v>
      </c>
      <c r="D22" s="10">
        <v>4004</v>
      </c>
      <c r="E22" s="11">
        <v>0.20599999999999999</v>
      </c>
      <c r="F22" s="10">
        <v>767555</v>
      </c>
      <c r="G22" s="11">
        <v>0.254</v>
      </c>
      <c r="H22" s="11">
        <v>0.27300000000000002</v>
      </c>
      <c r="I22" s="10">
        <v>1904787577</v>
      </c>
      <c r="J22" s="12" t="s">
        <v>736</v>
      </c>
      <c r="K22" s="10">
        <v>209224</v>
      </c>
      <c r="L22" s="12" t="s">
        <v>737</v>
      </c>
      <c r="M22" s="10">
        <v>38229869429</v>
      </c>
      <c r="N22" s="10">
        <v>4366065</v>
      </c>
      <c r="O22" s="12">
        <v>2</v>
      </c>
    </row>
    <row r="23" spans="1:15" ht="40.5" x14ac:dyDescent="0.3">
      <c r="A23" s="9">
        <v>43471</v>
      </c>
      <c r="B23" s="10">
        <v>1121</v>
      </c>
      <c r="C23" s="11">
        <v>0.14499999999999999</v>
      </c>
      <c r="D23" s="10">
        <v>3874</v>
      </c>
      <c r="E23" s="11">
        <v>0.20399999999999999</v>
      </c>
      <c r="F23" s="10">
        <v>735981</v>
      </c>
      <c r="G23" s="11">
        <v>0.248</v>
      </c>
      <c r="H23" s="11">
        <v>0.24199999999999999</v>
      </c>
      <c r="I23" s="10">
        <v>1615337400</v>
      </c>
      <c r="J23" s="12" t="s">
        <v>738</v>
      </c>
      <c r="K23" s="10">
        <v>178306</v>
      </c>
      <c r="L23" s="12" t="s">
        <v>739</v>
      </c>
      <c r="M23" s="10">
        <v>39845206829</v>
      </c>
      <c r="N23" s="10">
        <v>4544371</v>
      </c>
      <c r="O23" s="12">
        <v>2</v>
      </c>
    </row>
    <row r="24" spans="1:15" ht="54" x14ac:dyDescent="0.3">
      <c r="A24" s="9">
        <v>43472</v>
      </c>
      <c r="B24" s="10">
        <v>1083</v>
      </c>
      <c r="C24" s="11">
        <v>0.16</v>
      </c>
      <c r="D24" s="10">
        <v>3733</v>
      </c>
      <c r="E24" s="11">
        <v>0.21199999999999999</v>
      </c>
      <c r="F24" s="10">
        <v>702541</v>
      </c>
      <c r="G24" s="11">
        <v>0.254</v>
      </c>
      <c r="H24" s="11">
        <v>8.5999999999999993E-2</v>
      </c>
      <c r="I24" s="10">
        <v>501140000</v>
      </c>
      <c r="J24" s="12" t="s">
        <v>740</v>
      </c>
      <c r="K24" s="10">
        <v>60679</v>
      </c>
      <c r="L24" s="12" t="s">
        <v>741</v>
      </c>
      <c r="M24" s="10">
        <v>40346346829</v>
      </c>
      <c r="N24" s="10">
        <v>4605050</v>
      </c>
      <c r="O24" s="12">
        <v>2</v>
      </c>
    </row>
    <row r="25" spans="1:15" ht="27" x14ac:dyDescent="0.3">
      <c r="A25" s="9">
        <v>43473</v>
      </c>
      <c r="B25" s="10">
        <v>1086</v>
      </c>
      <c r="C25" s="11">
        <v>0.157</v>
      </c>
      <c r="D25" s="10">
        <v>3720</v>
      </c>
      <c r="E25" s="11">
        <v>0.21099999999999999</v>
      </c>
      <c r="F25" s="10">
        <v>706217</v>
      </c>
      <c r="G25" s="11">
        <v>0.255</v>
      </c>
      <c r="H25" s="11">
        <v>8.4000000000000005E-2</v>
      </c>
      <c r="I25" s="10">
        <v>488214950</v>
      </c>
      <c r="J25" s="12" t="s">
        <v>742</v>
      </c>
      <c r="K25" s="10">
        <v>59260</v>
      </c>
      <c r="L25" s="12" t="s">
        <v>743</v>
      </c>
      <c r="M25" s="10">
        <v>40834561779</v>
      </c>
      <c r="N25" s="10">
        <v>4664310</v>
      </c>
      <c r="O25" s="12">
        <v>2</v>
      </c>
    </row>
    <row r="26" spans="1:15" ht="40.5" x14ac:dyDescent="0.3">
      <c r="A26" s="9">
        <v>43474</v>
      </c>
      <c r="B26" s="12">
        <v>749</v>
      </c>
      <c r="C26" s="11">
        <v>0.123</v>
      </c>
      <c r="D26" s="10">
        <v>2423</v>
      </c>
      <c r="E26" s="11">
        <v>0.13700000000000001</v>
      </c>
      <c r="F26" s="10">
        <v>404067</v>
      </c>
      <c r="G26" s="11">
        <v>0.14599999999999999</v>
      </c>
      <c r="H26" s="11">
        <v>0.10100000000000001</v>
      </c>
      <c r="I26" s="10">
        <v>339313050</v>
      </c>
      <c r="J26" s="12" t="s">
        <v>744</v>
      </c>
      <c r="K26" s="10">
        <v>40815</v>
      </c>
      <c r="L26" s="12" t="s">
        <v>745</v>
      </c>
      <c r="M26" s="10">
        <v>41173874829</v>
      </c>
      <c r="N26" s="10">
        <v>4705125</v>
      </c>
      <c r="O26" s="12">
        <v>4</v>
      </c>
    </row>
    <row r="27" spans="1:15" ht="27" x14ac:dyDescent="0.3">
      <c r="A27" s="9">
        <v>43475</v>
      </c>
      <c r="B27" s="12">
        <v>722</v>
      </c>
      <c r="C27" s="11">
        <v>0.107</v>
      </c>
      <c r="D27" s="10">
        <v>2119</v>
      </c>
      <c r="E27" s="11">
        <v>0.11600000000000001</v>
      </c>
      <c r="F27" s="10">
        <v>348424</v>
      </c>
      <c r="G27" s="11">
        <v>0.122</v>
      </c>
      <c r="H27" s="11">
        <v>9.6000000000000002E-2</v>
      </c>
      <c r="I27" s="10">
        <v>278939460</v>
      </c>
      <c r="J27" s="12" t="s">
        <v>746</v>
      </c>
      <c r="K27" s="10">
        <v>33396</v>
      </c>
      <c r="L27" s="12" t="s">
        <v>747</v>
      </c>
      <c r="M27" s="10">
        <v>41452814289</v>
      </c>
      <c r="N27" s="10">
        <v>4738521</v>
      </c>
      <c r="O27" s="12">
        <v>5</v>
      </c>
    </row>
    <row r="28" spans="1:15" ht="27" x14ac:dyDescent="0.3">
      <c r="A28" s="9">
        <v>43476</v>
      </c>
      <c r="B28" s="12">
        <v>716</v>
      </c>
      <c r="C28" s="11">
        <v>0.104</v>
      </c>
      <c r="D28" s="10">
        <v>2108</v>
      </c>
      <c r="E28" s="11">
        <v>0.112</v>
      </c>
      <c r="F28" s="10">
        <v>344796</v>
      </c>
      <c r="G28" s="11">
        <v>0.11799999999999999</v>
      </c>
      <c r="H28" s="11">
        <v>0.112</v>
      </c>
      <c r="I28" s="10">
        <v>353927401</v>
      </c>
      <c r="J28" s="12" t="s">
        <v>748</v>
      </c>
      <c r="K28" s="10">
        <v>38741</v>
      </c>
      <c r="L28" s="12" t="s">
        <v>749</v>
      </c>
      <c r="M28" s="10">
        <v>41806741690</v>
      </c>
      <c r="N28" s="10">
        <v>4777262</v>
      </c>
      <c r="O28" s="12">
        <v>4</v>
      </c>
    </row>
    <row r="29" spans="1:15" ht="27" x14ac:dyDescent="0.3">
      <c r="A29" s="9">
        <v>43477</v>
      </c>
      <c r="B29" s="12">
        <v>738</v>
      </c>
      <c r="C29" s="11">
        <v>0.105</v>
      </c>
      <c r="D29" s="10">
        <v>1995</v>
      </c>
      <c r="E29" s="11">
        <v>0.10100000000000001</v>
      </c>
      <c r="F29" s="10">
        <v>303192</v>
      </c>
      <c r="G29" s="11">
        <v>9.9000000000000005E-2</v>
      </c>
      <c r="H29" s="11">
        <v>0.25600000000000001</v>
      </c>
      <c r="I29" s="10">
        <v>715517514</v>
      </c>
      <c r="J29" s="12" t="s">
        <v>750</v>
      </c>
      <c r="K29" s="10">
        <v>77639</v>
      </c>
      <c r="L29" s="12" t="s">
        <v>751</v>
      </c>
      <c r="M29" s="10">
        <v>42522259204</v>
      </c>
      <c r="N29" s="10">
        <v>4854901</v>
      </c>
      <c r="O29" s="12">
        <v>5</v>
      </c>
    </row>
    <row r="30" spans="1:15" ht="40.5" x14ac:dyDescent="0.3">
      <c r="A30" s="9">
        <v>43478</v>
      </c>
      <c r="B30" s="12">
        <v>734</v>
      </c>
      <c r="C30" s="11">
        <v>0.105</v>
      </c>
      <c r="D30" s="10">
        <v>1876</v>
      </c>
      <c r="E30" s="11">
        <v>9.8000000000000004E-2</v>
      </c>
      <c r="F30" s="10">
        <v>281746</v>
      </c>
      <c r="G30" s="11">
        <v>9.4E-2</v>
      </c>
      <c r="H30" s="11">
        <v>0.23400000000000001</v>
      </c>
      <c r="I30" s="10">
        <v>603315610</v>
      </c>
      <c r="J30" s="12" t="s">
        <v>752</v>
      </c>
      <c r="K30" s="10">
        <v>65834</v>
      </c>
      <c r="L30" s="12" t="s">
        <v>753</v>
      </c>
      <c r="M30" s="10">
        <v>43125574814</v>
      </c>
      <c r="N30" s="10">
        <v>4920735</v>
      </c>
      <c r="O30" s="12">
        <v>5</v>
      </c>
    </row>
    <row r="31" spans="1:15" ht="40.5" x14ac:dyDescent="0.3">
      <c r="A31" s="9">
        <v>43479</v>
      </c>
      <c r="B31" s="12">
        <v>653</v>
      </c>
      <c r="C31" s="11">
        <v>0.10199999999999999</v>
      </c>
      <c r="D31" s="10">
        <v>1769</v>
      </c>
      <c r="E31" s="11">
        <v>0.1</v>
      </c>
      <c r="F31" s="10">
        <v>262637</v>
      </c>
      <c r="G31" s="11">
        <v>9.4E-2</v>
      </c>
      <c r="H31" s="11">
        <v>0.08</v>
      </c>
      <c r="I31" s="10">
        <v>175729340</v>
      </c>
      <c r="J31" s="12" t="s">
        <v>754</v>
      </c>
      <c r="K31" s="10">
        <v>21105</v>
      </c>
      <c r="L31" s="12" t="s">
        <v>755</v>
      </c>
      <c r="M31" s="10">
        <v>43301304154</v>
      </c>
      <c r="N31" s="10">
        <v>4941840</v>
      </c>
      <c r="O31" s="12">
        <v>4</v>
      </c>
    </row>
    <row r="32" spans="1:15" ht="27" x14ac:dyDescent="0.3">
      <c r="A32" s="9">
        <v>43480</v>
      </c>
      <c r="B32" s="12">
        <v>663</v>
      </c>
      <c r="C32" s="11">
        <v>0.10100000000000001</v>
      </c>
      <c r="D32" s="10">
        <v>1733</v>
      </c>
      <c r="E32" s="11">
        <v>9.7000000000000003E-2</v>
      </c>
      <c r="F32" s="10">
        <v>258078</v>
      </c>
      <c r="G32" s="11">
        <v>9.1999999999999998E-2</v>
      </c>
      <c r="H32" s="11">
        <v>8.2000000000000003E-2</v>
      </c>
      <c r="I32" s="10">
        <v>172980050</v>
      </c>
      <c r="J32" s="12" t="s">
        <v>756</v>
      </c>
      <c r="K32" s="10">
        <v>21064</v>
      </c>
      <c r="L32" s="12" t="s">
        <v>757</v>
      </c>
      <c r="M32" s="10">
        <v>43474284204</v>
      </c>
      <c r="N32" s="10">
        <v>4962904</v>
      </c>
      <c r="O32" s="12">
        <v>4</v>
      </c>
    </row>
    <row r="33" spans="1:15" ht="27" x14ac:dyDescent="0.3">
      <c r="A33" s="9">
        <v>43481</v>
      </c>
      <c r="B33" s="12">
        <v>438</v>
      </c>
      <c r="C33" s="11">
        <v>6.2E-2</v>
      </c>
      <c r="D33" s="12">
        <v>875</v>
      </c>
      <c r="E33" s="11">
        <v>4.8000000000000001E-2</v>
      </c>
      <c r="F33" s="10">
        <v>129042</v>
      </c>
      <c r="G33" s="11">
        <v>4.4999999999999998E-2</v>
      </c>
      <c r="H33" s="11">
        <v>0.106</v>
      </c>
      <c r="I33" s="10">
        <v>114317270</v>
      </c>
      <c r="J33" s="12" t="s">
        <v>758</v>
      </c>
      <c r="K33" s="10">
        <v>13701</v>
      </c>
      <c r="L33" s="12" t="s">
        <v>759</v>
      </c>
      <c r="M33" s="10">
        <v>43588601474</v>
      </c>
      <c r="N33" s="10">
        <v>4976605</v>
      </c>
      <c r="O33" s="12">
        <v>7</v>
      </c>
    </row>
    <row r="34" spans="1:15" ht="27" x14ac:dyDescent="0.3">
      <c r="A34" s="9">
        <v>43482</v>
      </c>
      <c r="B34" s="12">
        <v>297</v>
      </c>
      <c r="C34" s="11">
        <v>4.1000000000000002E-2</v>
      </c>
      <c r="D34" s="12">
        <v>468</v>
      </c>
      <c r="E34" s="11">
        <v>2.5999999999999999E-2</v>
      </c>
      <c r="F34" s="10">
        <v>57881</v>
      </c>
      <c r="G34" s="11">
        <v>0.02</v>
      </c>
      <c r="H34" s="11">
        <v>0.11700000000000001</v>
      </c>
      <c r="I34" s="10">
        <v>54014990</v>
      </c>
      <c r="J34" s="12" t="s">
        <v>760</v>
      </c>
      <c r="K34" s="10">
        <v>6784</v>
      </c>
      <c r="L34" s="12" t="s">
        <v>761</v>
      </c>
      <c r="M34" s="10">
        <v>43642616464</v>
      </c>
      <c r="N34" s="10">
        <v>4983389</v>
      </c>
      <c r="O34" s="12">
        <v>11</v>
      </c>
    </row>
    <row r="35" spans="1:15" ht="27" x14ac:dyDescent="0.3">
      <c r="A35" s="9">
        <v>43483</v>
      </c>
      <c r="B35" s="12">
        <v>306</v>
      </c>
      <c r="C35" s="11">
        <v>4.2000000000000003E-2</v>
      </c>
      <c r="D35" s="12">
        <v>473</v>
      </c>
      <c r="E35" s="11">
        <v>2.5999999999999999E-2</v>
      </c>
      <c r="F35" s="10">
        <v>61157</v>
      </c>
      <c r="G35" s="11">
        <v>2.1000000000000001E-2</v>
      </c>
      <c r="H35" s="11">
        <v>0.124</v>
      </c>
      <c r="I35" s="10">
        <v>67607480</v>
      </c>
      <c r="J35" s="12" t="s">
        <v>762</v>
      </c>
      <c r="K35" s="10">
        <v>7576</v>
      </c>
      <c r="L35" s="12" t="s">
        <v>763</v>
      </c>
      <c r="M35" s="10">
        <v>43710223944</v>
      </c>
      <c r="N35" s="10">
        <v>4990965</v>
      </c>
      <c r="O35" s="12">
        <v>10</v>
      </c>
    </row>
    <row r="36" spans="1:15" ht="27" x14ac:dyDescent="0.3">
      <c r="A36" s="9">
        <v>43484</v>
      </c>
      <c r="B36" s="12">
        <v>298</v>
      </c>
      <c r="C36" s="11">
        <v>3.7999999999999999E-2</v>
      </c>
      <c r="D36" s="12">
        <v>466</v>
      </c>
      <c r="E36" s="11">
        <v>2.4E-2</v>
      </c>
      <c r="F36" s="10">
        <v>60084</v>
      </c>
      <c r="G36" s="11">
        <v>0.02</v>
      </c>
      <c r="H36" s="11">
        <v>0.255</v>
      </c>
      <c r="I36" s="10">
        <v>135911450</v>
      </c>
      <c r="J36" s="12" t="s">
        <v>764</v>
      </c>
      <c r="K36" s="10">
        <v>15300</v>
      </c>
      <c r="L36" s="12" t="s">
        <v>765</v>
      </c>
      <c r="M36" s="10">
        <v>43846135394</v>
      </c>
      <c r="N36" s="10">
        <v>5006265</v>
      </c>
      <c r="O36" s="12">
        <v>10</v>
      </c>
    </row>
    <row r="37" spans="1:15" ht="27" x14ac:dyDescent="0.3">
      <c r="A37" s="9">
        <v>43485</v>
      </c>
      <c r="B37" s="12">
        <v>302</v>
      </c>
      <c r="C37" s="11">
        <v>3.9E-2</v>
      </c>
      <c r="D37" s="12">
        <v>466</v>
      </c>
      <c r="E37" s="11">
        <v>2.5000000000000001E-2</v>
      </c>
      <c r="F37" s="10">
        <v>59703</v>
      </c>
      <c r="G37" s="11">
        <v>0.02</v>
      </c>
      <c r="H37" s="11">
        <v>0.217</v>
      </c>
      <c r="I37" s="10">
        <v>114135510</v>
      </c>
      <c r="J37" s="12" t="s">
        <v>766</v>
      </c>
      <c r="K37" s="10">
        <v>12970</v>
      </c>
      <c r="L37" s="12" t="s">
        <v>767</v>
      </c>
      <c r="M37" s="10">
        <v>43960270904</v>
      </c>
      <c r="N37" s="10">
        <v>5019235</v>
      </c>
      <c r="O37" s="12">
        <v>11</v>
      </c>
    </row>
    <row r="38" spans="1:15" ht="27" x14ac:dyDescent="0.3">
      <c r="A38" s="9">
        <v>43486</v>
      </c>
      <c r="B38" s="12">
        <v>299</v>
      </c>
      <c r="C38" s="11">
        <v>4.2999999999999997E-2</v>
      </c>
      <c r="D38" s="12">
        <v>447</v>
      </c>
      <c r="E38" s="11">
        <v>2.5999999999999999E-2</v>
      </c>
      <c r="F38" s="10">
        <v>57625</v>
      </c>
      <c r="G38" s="11">
        <v>2.1000000000000001E-2</v>
      </c>
      <c r="H38" s="11">
        <v>8.1000000000000003E-2</v>
      </c>
      <c r="I38" s="10">
        <v>37573200</v>
      </c>
      <c r="J38" s="12" t="s">
        <v>768</v>
      </c>
      <c r="K38" s="10">
        <v>4694</v>
      </c>
      <c r="L38" s="12" t="s">
        <v>769</v>
      </c>
      <c r="M38" s="10">
        <v>43997844104</v>
      </c>
      <c r="N38" s="10">
        <v>5023929</v>
      </c>
      <c r="O38" s="12">
        <v>10</v>
      </c>
    </row>
    <row r="39" spans="1:15" ht="27" x14ac:dyDescent="0.3">
      <c r="A39" s="9">
        <v>43487</v>
      </c>
      <c r="B39" s="12">
        <v>300</v>
      </c>
      <c r="C39" s="11">
        <v>4.2000000000000003E-2</v>
      </c>
      <c r="D39" s="12">
        <v>438</v>
      </c>
      <c r="E39" s="11">
        <v>2.5000000000000001E-2</v>
      </c>
      <c r="F39" s="10">
        <v>56986</v>
      </c>
      <c r="G39" s="11">
        <v>2.1000000000000001E-2</v>
      </c>
      <c r="H39" s="11">
        <v>0.08</v>
      </c>
      <c r="I39" s="10">
        <v>36230770</v>
      </c>
      <c r="J39" s="12" t="s">
        <v>770</v>
      </c>
      <c r="K39" s="10">
        <v>4572</v>
      </c>
      <c r="L39" s="12" t="s">
        <v>771</v>
      </c>
      <c r="M39" s="10">
        <v>44034074874</v>
      </c>
      <c r="N39" s="10">
        <v>5028501</v>
      </c>
      <c r="O39" s="12">
        <v>11</v>
      </c>
    </row>
    <row r="40" spans="1:15" ht="27" x14ac:dyDescent="0.3">
      <c r="A40" s="9">
        <v>43488</v>
      </c>
      <c r="B40" s="12">
        <v>91</v>
      </c>
      <c r="C40" s="11">
        <v>1.4999999999999999E-2</v>
      </c>
      <c r="D40" s="12">
        <v>129</v>
      </c>
      <c r="E40" s="11">
        <v>7.0000000000000001E-3</v>
      </c>
      <c r="F40" s="10">
        <v>16253</v>
      </c>
      <c r="G40" s="11">
        <v>6.0000000000000001E-3</v>
      </c>
      <c r="H40" s="11">
        <v>8.5000000000000006E-2</v>
      </c>
      <c r="I40" s="10">
        <v>10760730</v>
      </c>
      <c r="J40" s="12" t="s">
        <v>772</v>
      </c>
      <c r="K40" s="10">
        <v>1375</v>
      </c>
      <c r="L40" s="12" t="s">
        <v>773</v>
      </c>
      <c r="M40" s="10">
        <v>44044835604</v>
      </c>
      <c r="N40" s="10">
        <v>5029876</v>
      </c>
      <c r="O40" s="12">
        <v>14</v>
      </c>
    </row>
    <row r="41" spans="1:15" ht="27" x14ac:dyDescent="0.3">
      <c r="A41" s="9">
        <v>43489</v>
      </c>
      <c r="B41" s="12">
        <v>86</v>
      </c>
      <c r="C41" s="11">
        <v>1.4E-2</v>
      </c>
      <c r="D41" s="12">
        <v>123</v>
      </c>
      <c r="E41" s="11">
        <v>7.0000000000000001E-3</v>
      </c>
      <c r="F41" s="10">
        <v>15617</v>
      </c>
      <c r="G41" s="11">
        <v>5.0000000000000001E-3</v>
      </c>
      <c r="H41" s="11">
        <v>0.08</v>
      </c>
      <c r="I41" s="10">
        <v>9649260</v>
      </c>
      <c r="J41" s="12" t="s">
        <v>774</v>
      </c>
      <c r="K41" s="10">
        <v>1253</v>
      </c>
      <c r="L41" s="12" t="s">
        <v>775</v>
      </c>
      <c r="M41" s="10">
        <v>44054484864</v>
      </c>
      <c r="N41" s="10">
        <v>5031129</v>
      </c>
      <c r="O41" s="12">
        <v>18</v>
      </c>
    </row>
    <row r="42" spans="1:15" ht="27" x14ac:dyDescent="0.3">
      <c r="A42" s="9">
        <v>43490</v>
      </c>
      <c r="B42" s="12">
        <v>76</v>
      </c>
      <c r="C42" s="11">
        <v>1.2E-2</v>
      </c>
      <c r="D42" s="12">
        <v>104</v>
      </c>
      <c r="E42" s="11">
        <v>6.0000000000000001E-3</v>
      </c>
      <c r="F42" s="10">
        <v>13093</v>
      </c>
      <c r="G42" s="11">
        <v>4.0000000000000001E-3</v>
      </c>
      <c r="H42" s="11">
        <v>7.1999999999999995E-2</v>
      </c>
      <c r="I42" s="10">
        <v>7975480</v>
      </c>
      <c r="J42" s="12" t="s">
        <v>776</v>
      </c>
      <c r="K42" s="12">
        <v>941</v>
      </c>
      <c r="L42" s="12" t="s">
        <v>777</v>
      </c>
      <c r="M42" s="10">
        <v>44062460344</v>
      </c>
      <c r="N42" s="10">
        <v>5032070</v>
      </c>
      <c r="O42" s="12">
        <v>18</v>
      </c>
    </row>
    <row r="43" spans="1:15" ht="27" x14ac:dyDescent="0.3">
      <c r="A43" s="9">
        <v>43491</v>
      </c>
      <c r="B43" s="12">
        <v>70</v>
      </c>
      <c r="C43" s="11">
        <v>1.0999999999999999E-2</v>
      </c>
      <c r="D43" s="12">
        <v>92</v>
      </c>
      <c r="E43" s="11">
        <v>5.0000000000000001E-3</v>
      </c>
      <c r="F43" s="10">
        <v>11374</v>
      </c>
      <c r="G43" s="11">
        <v>4.0000000000000001E-3</v>
      </c>
      <c r="H43" s="11">
        <v>0.17100000000000001</v>
      </c>
      <c r="I43" s="10">
        <v>17003510</v>
      </c>
      <c r="J43" s="12" t="s">
        <v>778</v>
      </c>
      <c r="K43" s="10">
        <v>1944</v>
      </c>
      <c r="L43" s="12" t="s">
        <v>779</v>
      </c>
      <c r="M43" s="10">
        <v>44079463854</v>
      </c>
      <c r="N43" s="10">
        <v>5034014</v>
      </c>
      <c r="O43" s="12">
        <v>16</v>
      </c>
    </row>
    <row r="44" spans="1:15" ht="27" x14ac:dyDescent="0.3">
      <c r="A44" s="9">
        <v>43492</v>
      </c>
      <c r="B44" s="12">
        <v>63</v>
      </c>
      <c r="C44" s="11">
        <v>0.01</v>
      </c>
      <c r="D44" s="12">
        <v>83</v>
      </c>
      <c r="E44" s="11">
        <v>4.0000000000000001E-3</v>
      </c>
      <c r="F44" s="10">
        <v>10376</v>
      </c>
      <c r="G44" s="11">
        <v>3.0000000000000001E-3</v>
      </c>
      <c r="H44" s="11">
        <v>0.153</v>
      </c>
      <c r="I44" s="10">
        <v>13645980</v>
      </c>
      <c r="J44" s="12" t="s">
        <v>780</v>
      </c>
      <c r="K44" s="10">
        <v>1584</v>
      </c>
      <c r="L44" s="12" t="s">
        <v>781</v>
      </c>
      <c r="M44" s="10">
        <v>44093109834</v>
      </c>
      <c r="N44" s="10">
        <v>5035598</v>
      </c>
      <c r="O44" s="12">
        <v>16</v>
      </c>
    </row>
    <row r="45" spans="1:15" ht="27" x14ac:dyDescent="0.3">
      <c r="A45" s="9">
        <v>43493</v>
      </c>
      <c r="B45" s="12">
        <v>64</v>
      </c>
      <c r="C45" s="11">
        <v>1.0999999999999999E-2</v>
      </c>
      <c r="D45" s="12">
        <v>84</v>
      </c>
      <c r="E45" s="11">
        <v>5.0000000000000001E-3</v>
      </c>
      <c r="F45" s="10">
        <v>10776</v>
      </c>
      <c r="G45" s="11">
        <v>4.0000000000000001E-3</v>
      </c>
      <c r="H45" s="11">
        <v>7.9000000000000001E-2</v>
      </c>
      <c r="I45" s="10">
        <v>6774490</v>
      </c>
      <c r="J45" s="12" t="s">
        <v>782</v>
      </c>
      <c r="K45" s="12">
        <v>855</v>
      </c>
      <c r="L45" s="12" t="s">
        <v>783</v>
      </c>
      <c r="M45" s="10">
        <v>44099884324</v>
      </c>
      <c r="N45" s="10">
        <v>5036453</v>
      </c>
      <c r="O45" s="12">
        <v>17</v>
      </c>
    </row>
    <row r="46" spans="1:15" ht="27" x14ac:dyDescent="0.3">
      <c r="A46" s="9">
        <v>43494</v>
      </c>
      <c r="B46" s="12">
        <v>65</v>
      </c>
      <c r="C46" s="11">
        <v>1.0999999999999999E-2</v>
      </c>
      <c r="D46" s="12">
        <v>89</v>
      </c>
      <c r="E46" s="11">
        <v>5.0000000000000001E-3</v>
      </c>
      <c r="F46" s="10">
        <v>11152</v>
      </c>
      <c r="G46" s="11">
        <v>4.0000000000000001E-3</v>
      </c>
      <c r="H46" s="11">
        <v>6.8000000000000005E-2</v>
      </c>
      <c r="I46" s="10">
        <v>5772580</v>
      </c>
      <c r="J46" s="12" t="s">
        <v>784</v>
      </c>
      <c r="K46" s="12">
        <v>762</v>
      </c>
      <c r="L46" s="12" t="s">
        <v>785</v>
      </c>
      <c r="M46" s="10">
        <v>44105656904</v>
      </c>
      <c r="N46" s="10">
        <v>5037215</v>
      </c>
      <c r="O46" s="12">
        <v>22</v>
      </c>
    </row>
    <row r="47" spans="1:15" ht="27" x14ac:dyDescent="0.3">
      <c r="A47" s="9">
        <v>43495</v>
      </c>
      <c r="B47" s="12">
        <v>2</v>
      </c>
      <c r="C47" s="11">
        <v>0</v>
      </c>
      <c r="D47" s="12">
        <v>2</v>
      </c>
      <c r="E47" s="11">
        <v>0</v>
      </c>
      <c r="F47" s="12">
        <v>296</v>
      </c>
      <c r="G47" s="11">
        <v>0</v>
      </c>
      <c r="H47" s="11">
        <v>0.105</v>
      </c>
      <c r="I47" s="10">
        <v>249000</v>
      </c>
      <c r="J47" s="12" t="s">
        <v>786</v>
      </c>
      <c r="K47" s="12">
        <v>31</v>
      </c>
      <c r="L47" s="12" t="s">
        <v>787</v>
      </c>
      <c r="M47" s="10">
        <v>44105905904</v>
      </c>
      <c r="N47" s="10">
        <v>5037246</v>
      </c>
      <c r="O47" s="12">
        <v>60</v>
      </c>
    </row>
    <row r="48" spans="1:15" ht="27" x14ac:dyDescent="0.3">
      <c r="A48" s="9">
        <v>43496</v>
      </c>
      <c r="B48" s="12">
        <v>3</v>
      </c>
      <c r="C48" s="11">
        <v>1E-3</v>
      </c>
      <c r="D48" s="12">
        <v>3</v>
      </c>
      <c r="E48" s="11">
        <v>0</v>
      </c>
      <c r="F48" s="12">
        <v>435</v>
      </c>
      <c r="G48" s="11">
        <v>0</v>
      </c>
      <c r="H48" s="11">
        <v>8.3000000000000004E-2</v>
      </c>
      <c r="I48" s="10">
        <v>280800</v>
      </c>
      <c r="J48" s="12" t="s">
        <v>788</v>
      </c>
      <c r="K48" s="12">
        <v>36</v>
      </c>
      <c r="L48" s="12" t="s">
        <v>789</v>
      </c>
      <c r="M48" s="10">
        <v>44106186704</v>
      </c>
      <c r="N48" s="10">
        <v>5037282</v>
      </c>
      <c r="O48" s="12">
        <v>56</v>
      </c>
    </row>
    <row r="49" spans="1:15" ht="27" x14ac:dyDescent="0.3">
      <c r="A49" s="9">
        <v>43497</v>
      </c>
      <c r="B49" s="12">
        <v>2</v>
      </c>
      <c r="C49" s="11">
        <v>0</v>
      </c>
      <c r="D49" s="12">
        <v>2</v>
      </c>
      <c r="E49" s="11">
        <v>0</v>
      </c>
      <c r="F49" s="12">
        <v>262</v>
      </c>
      <c r="G49" s="11">
        <v>0</v>
      </c>
      <c r="H49" s="11">
        <v>0.20599999999999999</v>
      </c>
      <c r="I49" s="10">
        <v>481500</v>
      </c>
      <c r="J49" s="12" t="s">
        <v>790</v>
      </c>
      <c r="K49" s="12">
        <v>54</v>
      </c>
      <c r="L49" s="12" t="s">
        <v>791</v>
      </c>
      <c r="M49" s="10">
        <v>44106668204</v>
      </c>
      <c r="N49" s="10">
        <v>5037336</v>
      </c>
      <c r="O49" s="12">
        <v>38</v>
      </c>
    </row>
    <row r="50" spans="1:15" ht="27" x14ac:dyDescent="0.3">
      <c r="A50" s="9">
        <v>43498</v>
      </c>
      <c r="B50" s="12">
        <v>3</v>
      </c>
      <c r="C50" s="11">
        <v>1E-3</v>
      </c>
      <c r="D50" s="12">
        <v>3</v>
      </c>
      <c r="E50" s="11">
        <v>0</v>
      </c>
      <c r="F50" s="12">
        <v>486</v>
      </c>
      <c r="G50" s="11">
        <v>0</v>
      </c>
      <c r="H50" s="11">
        <v>0.22</v>
      </c>
      <c r="I50" s="10">
        <v>952000</v>
      </c>
      <c r="J50" s="12" t="s">
        <v>792</v>
      </c>
      <c r="K50" s="12">
        <v>107</v>
      </c>
      <c r="L50" s="12" t="s">
        <v>793</v>
      </c>
      <c r="M50" s="10">
        <v>44107620204</v>
      </c>
      <c r="N50" s="10">
        <v>5037443</v>
      </c>
      <c r="O50" s="12">
        <v>34</v>
      </c>
    </row>
    <row r="51" spans="1:15" ht="27" x14ac:dyDescent="0.3">
      <c r="A51" s="9">
        <v>43499</v>
      </c>
      <c r="B51" s="12">
        <v>3</v>
      </c>
      <c r="C51" s="11">
        <v>1E-3</v>
      </c>
      <c r="D51" s="12">
        <v>3</v>
      </c>
      <c r="E51" s="11">
        <v>0</v>
      </c>
      <c r="F51" s="12">
        <v>468</v>
      </c>
      <c r="G51" s="11">
        <v>0</v>
      </c>
      <c r="H51" s="11">
        <v>0.14099999999999999</v>
      </c>
      <c r="I51" s="10">
        <v>572000</v>
      </c>
      <c r="J51" s="12" t="s">
        <v>794</v>
      </c>
      <c r="K51" s="12">
        <v>66</v>
      </c>
      <c r="L51" s="12" t="s">
        <v>795</v>
      </c>
      <c r="M51" s="10">
        <v>44108192204</v>
      </c>
      <c r="N51" s="10">
        <v>5037509</v>
      </c>
      <c r="O51" s="12">
        <v>41</v>
      </c>
    </row>
    <row r="52" spans="1:15" ht="27" x14ac:dyDescent="0.3">
      <c r="A52" s="9">
        <v>43500</v>
      </c>
      <c r="B52" s="12">
        <v>2</v>
      </c>
      <c r="C52" s="11">
        <v>0</v>
      </c>
      <c r="D52" s="12">
        <v>3</v>
      </c>
      <c r="E52" s="11">
        <v>0</v>
      </c>
      <c r="F52" s="12">
        <v>480</v>
      </c>
      <c r="G52" s="11">
        <v>0</v>
      </c>
      <c r="H52" s="11">
        <v>0.20200000000000001</v>
      </c>
      <c r="I52" s="10">
        <v>816000</v>
      </c>
      <c r="J52" s="12" t="s">
        <v>796</v>
      </c>
      <c r="K52" s="12">
        <v>97</v>
      </c>
      <c r="L52" s="12" t="s">
        <v>797</v>
      </c>
      <c r="M52" s="10">
        <v>44109008204</v>
      </c>
      <c r="N52" s="10">
        <v>5037606</v>
      </c>
      <c r="O52" s="12">
        <v>33</v>
      </c>
    </row>
    <row r="53" spans="1:15" ht="27" x14ac:dyDescent="0.3">
      <c r="A53" s="9">
        <v>43501</v>
      </c>
      <c r="B53" s="12">
        <v>2</v>
      </c>
      <c r="C53" s="11">
        <v>0</v>
      </c>
      <c r="D53" s="12">
        <v>3</v>
      </c>
      <c r="E53" s="11">
        <v>0</v>
      </c>
      <c r="F53" s="12">
        <v>520</v>
      </c>
      <c r="G53" s="11">
        <v>0</v>
      </c>
      <c r="H53" s="11">
        <v>0.123</v>
      </c>
      <c r="I53" s="10">
        <v>551000</v>
      </c>
      <c r="J53" s="12" t="s">
        <v>798</v>
      </c>
      <c r="K53" s="12">
        <v>64</v>
      </c>
      <c r="L53" s="12" t="s">
        <v>799</v>
      </c>
      <c r="M53" s="10">
        <v>44109559204</v>
      </c>
      <c r="N53" s="10">
        <v>5037670</v>
      </c>
      <c r="O53" s="12">
        <v>39</v>
      </c>
    </row>
    <row r="54" spans="1:15" ht="27" x14ac:dyDescent="0.3">
      <c r="A54" s="9">
        <v>43502</v>
      </c>
      <c r="B54" s="12">
        <v>2</v>
      </c>
      <c r="C54" s="11">
        <v>0</v>
      </c>
      <c r="D54" s="12">
        <v>2</v>
      </c>
      <c r="E54" s="11">
        <v>0</v>
      </c>
      <c r="F54" s="12">
        <v>218</v>
      </c>
      <c r="G54" s="11">
        <v>0</v>
      </c>
      <c r="H54" s="11">
        <v>0.26600000000000001</v>
      </c>
      <c r="I54" s="10">
        <v>535000</v>
      </c>
      <c r="J54" s="12" t="s">
        <v>800</v>
      </c>
      <c r="K54" s="12">
        <v>58</v>
      </c>
      <c r="L54" s="12" t="s">
        <v>801</v>
      </c>
      <c r="M54" s="10">
        <v>44110094204</v>
      </c>
      <c r="N54" s="10">
        <v>5037728</v>
      </c>
      <c r="O54" s="12">
        <v>47</v>
      </c>
    </row>
    <row r="55" spans="1:15" ht="27" x14ac:dyDescent="0.3">
      <c r="A55" s="9">
        <v>43503</v>
      </c>
      <c r="B55" s="12">
        <v>2</v>
      </c>
      <c r="C55" s="11">
        <v>0</v>
      </c>
      <c r="D55" s="12">
        <v>3</v>
      </c>
      <c r="E55" s="11">
        <v>0</v>
      </c>
      <c r="F55" s="12">
        <v>520</v>
      </c>
      <c r="G55" s="11">
        <v>0</v>
      </c>
      <c r="H55" s="11">
        <v>3.6999999999999998E-2</v>
      </c>
      <c r="I55" s="10">
        <v>155000</v>
      </c>
      <c r="J55" s="12" t="s">
        <v>802</v>
      </c>
      <c r="K55" s="12">
        <v>19</v>
      </c>
      <c r="L55" s="12" t="s">
        <v>803</v>
      </c>
      <c r="M55" s="10">
        <v>44110249204</v>
      </c>
      <c r="N55" s="10">
        <v>5037747</v>
      </c>
      <c r="O55" s="12">
        <v>56</v>
      </c>
    </row>
    <row r="56" spans="1:15" ht="27" x14ac:dyDescent="0.3">
      <c r="A56" s="9">
        <v>43504</v>
      </c>
      <c r="B56" s="12">
        <v>2</v>
      </c>
      <c r="C56" s="11">
        <v>0</v>
      </c>
      <c r="D56" s="12">
        <v>2</v>
      </c>
      <c r="E56" s="11">
        <v>0</v>
      </c>
      <c r="F56" s="12">
        <v>306</v>
      </c>
      <c r="G56" s="11">
        <v>0</v>
      </c>
      <c r="H56" s="11">
        <v>7.4999999999999997E-2</v>
      </c>
      <c r="I56" s="10">
        <v>194000</v>
      </c>
      <c r="J56" s="12" t="s">
        <v>804</v>
      </c>
      <c r="K56" s="12">
        <v>23</v>
      </c>
      <c r="L56" s="12" t="s">
        <v>805</v>
      </c>
      <c r="M56" s="10">
        <v>44110443204</v>
      </c>
      <c r="N56" s="10">
        <v>5037770</v>
      </c>
      <c r="O56" s="12">
        <v>62</v>
      </c>
    </row>
    <row r="57" spans="1:15" ht="27" x14ac:dyDescent="0.3">
      <c r="A57" s="9">
        <v>43505</v>
      </c>
      <c r="B57" s="12">
        <v>3</v>
      </c>
      <c r="C57" s="11">
        <v>0</v>
      </c>
      <c r="D57" s="12">
        <v>3</v>
      </c>
      <c r="E57" s="11">
        <v>0</v>
      </c>
      <c r="F57" s="12">
        <v>509</v>
      </c>
      <c r="G57" s="11">
        <v>0</v>
      </c>
      <c r="H57" s="11">
        <v>7.9000000000000001E-2</v>
      </c>
      <c r="I57" s="10">
        <v>324500</v>
      </c>
      <c r="J57" s="12" t="s">
        <v>806</v>
      </c>
      <c r="K57" s="12">
        <v>40</v>
      </c>
      <c r="L57" s="12" t="s">
        <v>807</v>
      </c>
      <c r="M57" s="10">
        <v>44110767704</v>
      </c>
      <c r="N57" s="10">
        <v>5037810</v>
      </c>
      <c r="O57" s="12">
        <v>53</v>
      </c>
    </row>
    <row r="58" spans="1:15" ht="27" x14ac:dyDescent="0.3">
      <c r="A58" s="9">
        <v>43506</v>
      </c>
      <c r="B58" s="12">
        <v>3</v>
      </c>
      <c r="C58" s="11">
        <v>1E-3</v>
      </c>
      <c r="D58" s="12">
        <v>3</v>
      </c>
      <c r="E58" s="11">
        <v>0</v>
      </c>
      <c r="F58" s="12">
        <v>486</v>
      </c>
      <c r="G58" s="11">
        <v>0</v>
      </c>
      <c r="H58" s="11">
        <v>0.105</v>
      </c>
      <c r="I58" s="10">
        <v>437000</v>
      </c>
      <c r="J58" s="12" t="s">
        <v>808</v>
      </c>
      <c r="K58" s="12">
        <v>51</v>
      </c>
      <c r="L58" s="12" t="s">
        <v>809</v>
      </c>
      <c r="M58" s="10">
        <v>44111204704</v>
      </c>
      <c r="N58" s="10">
        <v>5037861</v>
      </c>
      <c r="O58" s="12">
        <v>42</v>
      </c>
    </row>
    <row r="59" spans="1:15" ht="27" x14ac:dyDescent="0.3">
      <c r="A59" s="9">
        <v>43507</v>
      </c>
      <c r="B59" s="12">
        <v>4</v>
      </c>
      <c r="C59" s="11">
        <v>1E-3</v>
      </c>
      <c r="D59" s="12">
        <v>4</v>
      </c>
      <c r="E59" s="11">
        <v>0</v>
      </c>
      <c r="F59" s="12">
        <v>607</v>
      </c>
      <c r="G59" s="11">
        <v>0</v>
      </c>
      <c r="H59" s="11">
        <v>3.7999999999999999E-2</v>
      </c>
      <c r="I59" s="10">
        <v>169000</v>
      </c>
      <c r="J59" s="12" t="s">
        <v>810</v>
      </c>
      <c r="K59" s="12">
        <v>23</v>
      </c>
      <c r="L59" s="12" t="s">
        <v>811</v>
      </c>
      <c r="M59" s="10">
        <v>44111373704</v>
      </c>
      <c r="N59" s="10">
        <v>5037884</v>
      </c>
      <c r="O59" s="12">
        <v>42</v>
      </c>
    </row>
    <row r="60" spans="1:15" ht="27" x14ac:dyDescent="0.3">
      <c r="A60" s="9">
        <v>43508</v>
      </c>
      <c r="B60" s="12">
        <v>2</v>
      </c>
      <c r="C60" s="11">
        <v>0</v>
      </c>
      <c r="D60" s="12">
        <v>3</v>
      </c>
      <c r="E60" s="11">
        <v>0</v>
      </c>
      <c r="F60" s="12">
        <v>376</v>
      </c>
      <c r="G60" s="11">
        <v>0</v>
      </c>
      <c r="H60" s="11">
        <v>0.14899999999999999</v>
      </c>
      <c r="I60" s="10">
        <v>434000</v>
      </c>
      <c r="J60" s="12" t="s">
        <v>812</v>
      </c>
      <c r="K60" s="12">
        <v>56</v>
      </c>
      <c r="L60" s="12" t="s">
        <v>813</v>
      </c>
      <c r="M60" s="10">
        <v>44111807704</v>
      </c>
      <c r="N60" s="10">
        <v>5037940</v>
      </c>
      <c r="O60" s="12">
        <v>47</v>
      </c>
    </row>
    <row r="61" spans="1:15" ht="27" x14ac:dyDescent="0.3">
      <c r="A61" s="9">
        <v>43509</v>
      </c>
      <c r="B61" s="12">
        <v>2</v>
      </c>
      <c r="C61" s="11">
        <v>0</v>
      </c>
      <c r="D61" s="12">
        <v>2</v>
      </c>
      <c r="E61" s="11">
        <v>0</v>
      </c>
      <c r="F61" s="12">
        <v>312</v>
      </c>
      <c r="G61" s="11">
        <v>0</v>
      </c>
      <c r="H61" s="11">
        <v>0.622</v>
      </c>
      <c r="I61" s="10">
        <v>1649000</v>
      </c>
      <c r="J61" s="12" t="s">
        <v>814</v>
      </c>
      <c r="K61" s="12">
        <v>194</v>
      </c>
      <c r="L61" s="12" t="s">
        <v>815</v>
      </c>
      <c r="M61" s="10">
        <v>44113456704</v>
      </c>
      <c r="N61" s="10">
        <v>5038134</v>
      </c>
      <c r="O61" s="12">
        <v>40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52CE0-5A78-491F-8351-7C93BAA59671}">
  <dimension ref="A1:O179"/>
  <sheetViews>
    <sheetView workbookViewId="0">
      <selection activeCell="K6" sqref="K6"/>
    </sheetView>
  </sheetViews>
  <sheetFormatPr defaultRowHeight="16.5" x14ac:dyDescent="0.3"/>
  <sheetData>
    <row r="1" spans="1:15" ht="19.5" x14ac:dyDescent="0.3">
      <c r="A1" s="197" t="s">
        <v>816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43404</v>
      </c>
      <c r="B5" s="12">
        <v>811</v>
      </c>
      <c r="C5" s="11">
        <v>0.13600000000000001</v>
      </c>
      <c r="D5" s="10">
        <v>2937</v>
      </c>
      <c r="E5" s="11">
        <v>0.16200000000000001</v>
      </c>
      <c r="F5" s="10">
        <v>497769</v>
      </c>
      <c r="G5" s="11">
        <v>0.17499999999999999</v>
      </c>
      <c r="H5" s="11">
        <v>0.222</v>
      </c>
      <c r="I5" s="10">
        <v>760190950</v>
      </c>
      <c r="J5" s="12" t="s">
        <v>817</v>
      </c>
      <c r="K5" s="10">
        <v>110477</v>
      </c>
      <c r="L5" s="12" t="s">
        <v>818</v>
      </c>
      <c r="M5" s="10">
        <v>835132950</v>
      </c>
      <c r="N5" s="10">
        <v>120498</v>
      </c>
      <c r="O5" s="12">
        <v>2</v>
      </c>
    </row>
    <row r="6" spans="1:15" ht="40.5" x14ac:dyDescent="0.3">
      <c r="A6" s="9">
        <v>43405</v>
      </c>
      <c r="B6" s="12">
        <v>777</v>
      </c>
      <c r="C6" s="11">
        <v>0.13500000000000001</v>
      </c>
      <c r="D6" s="10">
        <v>3018</v>
      </c>
      <c r="E6" s="11">
        <v>0.17199999999999999</v>
      </c>
      <c r="F6" s="10">
        <v>527329</v>
      </c>
      <c r="G6" s="11">
        <v>0.19</v>
      </c>
      <c r="H6" s="11">
        <v>0.124</v>
      </c>
      <c r="I6" s="10">
        <v>565879350</v>
      </c>
      <c r="J6" s="12" t="s">
        <v>819</v>
      </c>
      <c r="K6" s="10">
        <v>65472</v>
      </c>
      <c r="L6" s="12" t="s">
        <v>820</v>
      </c>
      <c r="M6" s="10">
        <v>1401012300</v>
      </c>
      <c r="N6" s="10">
        <v>185970</v>
      </c>
      <c r="O6" s="12">
        <v>2</v>
      </c>
    </row>
    <row r="7" spans="1:15" ht="27" x14ac:dyDescent="0.3">
      <c r="A7" s="9">
        <v>43406</v>
      </c>
      <c r="B7" s="12">
        <v>838</v>
      </c>
      <c r="C7" s="11">
        <v>0.14199999999999999</v>
      </c>
      <c r="D7" s="10">
        <v>3227</v>
      </c>
      <c r="E7" s="11">
        <v>0.17799999999999999</v>
      </c>
      <c r="F7" s="10">
        <v>564020</v>
      </c>
      <c r="G7" s="11">
        <v>0.19700000000000001</v>
      </c>
      <c r="H7" s="11">
        <v>0.17699999999999999</v>
      </c>
      <c r="I7" s="10">
        <v>948085902</v>
      </c>
      <c r="J7" s="12" t="s">
        <v>821</v>
      </c>
      <c r="K7" s="10">
        <v>99555</v>
      </c>
      <c r="L7" s="12" t="s">
        <v>822</v>
      </c>
      <c r="M7" s="10">
        <v>2349098202</v>
      </c>
      <c r="N7" s="10">
        <v>285525</v>
      </c>
      <c r="O7" s="12">
        <v>2</v>
      </c>
    </row>
    <row r="8" spans="1:15" ht="40.5" x14ac:dyDescent="0.3">
      <c r="A8" s="9">
        <v>43407</v>
      </c>
      <c r="B8" s="12">
        <v>910</v>
      </c>
      <c r="C8" s="11">
        <v>0.14499999999999999</v>
      </c>
      <c r="D8" s="10">
        <v>3602</v>
      </c>
      <c r="E8" s="11">
        <v>0.189</v>
      </c>
      <c r="F8" s="10">
        <v>613373</v>
      </c>
      <c r="G8" s="11">
        <v>0.20499999999999999</v>
      </c>
      <c r="H8" s="11">
        <v>0.35899999999999999</v>
      </c>
      <c r="I8" s="10">
        <v>2083926361</v>
      </c>
      <c r="J8" s="12" t="s">
        <v>823</v>
      </c>
      <c r="K8" s="10">
        <v>219900</v>
      </c>
      <c r="L8" s="12" t="s">
        <v>824</v>
      </c>
      <c r="M8" s="10">
        <v>4433024563</v>
      </c>
      <c r="N8" s="10">
        <v>505425</v>
      </c>
      <c r="O8" s="12">
        <v>2</v>
      </c>
    </row>
    <row r="9" spans="1:15" ht="40.5" x14ac:dyDescent="0.3">
      <c r="A9" s="9">
        <v>43408</v>
      </c>
      <c r="B9" s="12">
        <v>936</v>
      </c>
      <c r="C9" s="11">
        <v>0.151</v>
      </c>
      <c r="D9" s="10">
        <v>3662</v>
      </c>
      <c r="E9" s="11">
        <v>0.19700000000000001</v>
      </c>
      <c r="F9" s="10">
        <v>626963</v>
      </c>
      <c r="G9" s="11">
        <v>0.215</v>
      </c>
      <c r="H9" s="11">
        <v>0.32500000000000001</v>
      </c>
      <c r="I9" s="10">
        <v>1902230050</v>
      </c>
      <c r="J9" s="12" t="s">
        <v>825</v>
      </c>
      <c r="K9" s="10">
        <v>203898</v>
      </c>
      <c r="L9" s="12" t="s">
        <v>826</v>
      </c>
      <c r="M9" s="10">
        <v>6335254613</v>
      </c>
      <c r="N9" s="10">
        <v>709323</v>
      </c>
      <c r="O9" s="12">
        <v>2</v>
      </c>
    </row>
    <row r="10" spans="1:15" ht="54" x14ac:dyDescent="0.3">
      <c r="A10" s="9">
        <v>43409</v>
      </c>
      <c r="B10" s="12">
        <v>882</v>
      </c>
      <c r="C10" s="11">
        <v>0.16200000000000001</v>
      </c>
      <c r="D10" s="10">
        <v>3584</v>
      </c>
      <c r="E10" s="11">
        <v>0.21299999999999999</v>
      </c>
      <c r="F10" s="10">
        <v>621820</v>
      </c>
      <c r="G10" s="11">
        <v>0.23200000000000001</v>
      </c>
      <c r="H10" s="11">
        <v>0.129</v>
      </c>
      <c r="I10" s="10">
        <v>685354050</v>
      </c>
      <c r="J10" s="12" t="s">
        <v>827</v>
      </c>
      <c r="K10" s="10">
        <v>80136</v>
      </c>
      <c r="L10" s="12" t="s">
        <v>828</v>
      </c>
      <c r="M10" s="10">
        <v>7020608663</v>
      </c>
      <c r="N10" s="10">
        <v>789459</v>
      </c>
      <c r="O10" s="12">
        <v>2</v>
      </c>
    </row>
    <row r="11" spans="1:15" ht="27" x14ac:dyDescent="0.3">
      <c r="A11" s="9">
        <v>43410</v>
      </c>
      <c r="B11" s="12">
        <v>898</v>
      </c>
      <c r="C11" s="11">
        <v>0.16200000000000001</v>
      </c>
      <c r="D11" s="10">
        <v>3631</v>
      </c>
      <c r="E11" s="11">
        <v>0.217</v>
      </c>
      <c r="F11" s="10">
        <v>628457</v>
      </c>
      <c r="G11" s="11">
        <v>0.23499999999999999</v>
      </c>
      <c r="H11" s="11">
        <v>0.13500000000000001</v>
      </c>
      <c r="I11" s="10">
        <v>723283150</v>
      </c>
      <c r="J11" s="12" t="s">
        <v>829</v>
      </c>
      <c r="K11" s="10">
        <v>85040</v>
      </c>
      <c r="L11" s="12" t="s">
        <v>830</v>
      </c>
      <c r="M11" s="10">
        <v>7743891813</v>
      </c>
      <c r="N11" s="10">
        <v>874499</v>
      </c>
      <c r="O11" s="12">
        <v>2</v>
      </c>
    </row>
    <row r="12" spans="1:15" ht="27" x14ac:dyDescent="0.3">
      <c r="A12" s="9">
        <v>43411</v>
      </c>
      <c r="B12" s="12">
        <v>874</v>
      </c>
      <c r="C12" s="11">
        <v>0.16900000000000001</v>
      </c>
      <c r="D12" s="10">
        <v>3477</v>
      </c>
      <c r="E12" s="11">
        <v>0.20100000000000001</v>
      </c>
      <c r="F12" s="10">
        <v>596490</v>
      </c>
      <c r="G12" s="11">
        <v>0.217</v>
      </c>
      <c r="H12" s="11">
        <v>0.151</v>
      </c>
      <c r="I12" s="10">
        <v>766841400</v>
      </c>
      <c r="J12" s="12" t="s">
        <v>831</v>
      </c>
      <c r="K12" s="10">
        <v>89874</v>
      </c>
      <c r="L12" s="12" t="s">
        <v>832</v>
      </c>
      <c r="M12" s="10">
        <v>8510733213</v>
      </c>
      <c r="N12" s="10">
        <v>964373</v>
      </c>
      <c r="O12" s="12">
        <v>2</v>
      </c>
    </row>
    <row r="13" spans="1:15" ht="27" x14ac:dyDescent="0.3">
      <c r="A13" s="9">
        <v>43412</v>
      </c>
      <c r="B13" s="12">
        <v>891</v>
      </c>
      <c r="C13" s="11">
        <v>0.159</v>
      </c>
      <c r="D13" s="10">
        <v>3383</v>
      </c>
      <c r="E13" s="11">
        <v>0.19500000000000001</v>
      </c>
      <c r="F13" s="10">
        <v>581043</v>
      </c>
      <c r="G13" s="11">
        <v>0.21099999999999999</v>
      </c>
      <c r="H13" s="11">
        <v>0.16300000000000001</v>
      </c>
      <c r="I13" s="10">
        <v>806737250</v>
      </c>
      <c r="J13" s="12" t="s">
        <v>833</v>
      </c>
      <c r="K13" s="10">
        <v>94697</v>
      </c>
      <c r="L13" s="12" t="s">
        <v>834</v>
      </c>
      <c r="M13" s="10">
        <v>9317470463</v>
      </c>
      <c r="N13" s="10">
        <v>1059070</v>
      </c>
      <c r="O13" s="12">
        <v>2</v>
      </c>
    </row>
    <row r="14" spans="1:15" ht="27" x14ac:dyDescent="0.3">
      <c r="A14" s="9">
        <v>43413</v>
      </c>
      <c r="B14" s="12">
        <v>960</v>
      </c>
      <c r="C14" s="11">
        <v>0.16800000000000001</v>
      </c>
      <c r="D14" s="10">
        <v>3725</v>
      </c>
      <c r="E14" s="11">
        <v>0.20799999999999999</v>
      </c>
      <c r="F14" s="10">
        <v>633476</v>
      </c>
      <c r="G14" s="11">
        <v>0.223</v>
      </c>
      <c r="H14" s="11">
        <v>0.23699999999999999</v>
      </c>
      <c r="I14" s="10">
        <v>1401045537</v>
      </c>
      <c r="J14" s="12" t="s">
        <v>835</v>
      </c>
      <c r="K14" s="10">
        <v>150117</v>
      </c>
      <c r="L14" s="12" t="s">
        <v>836</v>
      </c>
      <c r="M14" s="10">
        <v>10718516000</v>
      </c>
      <c r="N14" s="10">
        <v>1209187</v>
      </c>
      <c r="O14" s="12">
        <v>2</v>
      </c>
    </row>
    <row r="15" spans="1:15" ht="40.5" x14ac:dyDescent="0.3">
      <c r="A15" s="9">
        <v>43414</v>
      </c>
      <c r="B15" s="10">
        <v>1040</v>
      </c>
      <c r="C15" s="11">
        <v>0.17299999999999999</v>
      </c>
      <c r="D15" s="10">
        <v>4312</v>
      </c>
      <c r="E15" s="11">
        <v>0.22700000000000001</v>
      </c>
      <c r="F15" s="10">
        <v>721578</v>
      </c>
      <c r="G15" s="11">
        <v>0.24199999999999999</v>
      </c>
      <c r="H15" s="11">
        <v>0.44700000000000001</v>
      </c>
      <c r="I15" s="10">
        <v>2998080301</v>
      </c>
      <c r="J15" s="12" t="s">
        <v>837</v>
      </c>
      <c r="K15" s="10">
        <v>322326</v>
      </c>
      <c r="L15" s="12" t="s">
        <v>838</v>
      </c>
      <c r="M15" s="10">
        <v>13716596301</v>
      </c>
      <c r="N15" s="10">
        <v>1531513</v>
      </c>
      <c r="O15" s="12">
        <v>2</v>
      </c>
    </row>
    <row r="16" spans="1:15" ht="40.5" x14ac:dyDescent="0.3">
      <c r="A16" s="9">
        <v>43415</v>
      </c>
      <c r="B16" s="10">
        <v>1098</v>
      </c>
      <c r="C16" s="11">
        <v>0.18099999999999999</v>
      </c>
      <c r="D16" s="10">
        <v>4383</v>
      </c>
      <c r="E16" s="11">
        <v>0.23499999999999999</v>
      </c>
      <c r="F16" s="10">
        <v>730381</v>
      </c>
      <c r="G16" s="11">
        <v>0.25</v>
      </c>
      <c r="H16" s="11">
        <v>0.42699999999999999</v>
      </c>
      <c r="I16" s="10">
        <v>2871375300</v>
      </c>
      <c r="J16" s="12" t="s">
        <v>839</v>
      </c>
      <c r="K16" s="10">
        <v>311652</v>
      </c>
      <c r="L16" s="12" t="s">
        <v>840</v>
      </c>
      <c r="M16" s="10">
        <v>16587971601</v>
      </c>
      <c r="N16" s="10">
        <v>1843165</v>
      </c>
      <c r="O16" s="12">
        <v>2</v>
      </c>
    </row>
    <row r="17" spans="1:15" ht="54" x14ac:dyDescent="0.3">
      <c r="A17" s="9">
        <v>43416</v>
      </c>
      <c r="B17" s="10">
        <v>1002</v>
      </c>
      <c r="C17" s="11">
        <v>0.19400000000000001</v>
      </c>
      <c r="D17" s="10">
        <v>4195</v>
      </c>
      <c r="E17" s="11">
        <v>0.249</v>
      </c>
      <c r="F17" s="10">
        <v>717646</v>
      </c>
      <c r="G17" s="11">
        <v>0.26700000000000002</v>
      </c>
      <c r="H17" s="11">
        <v>0.152</v>
      </c>
      <c r="I17" s="10">
        <v>930124000</v>
      </c>
      <c r="J17" s="12" t="s">
        <v>841</v>
      </c>
      <c r="K17" s="10">
        <v>109370</v>
      </c>
      <c r="L17" s="12" t="s">
        <v>842</v>
      </c>
      <c r="M17" s="10">
        <v>17518095601</v>
      </c>
      <c r="N17" s="10">
        <v>1952535</v>
      </c>
      <c r="O17" s="12">
        <v>2</v>
      </c>
    </row>
    <row r="18" spans="1:15" ht="27" x14ac:dyDescent="0.3">
      <c r="A18" s="9">
        <v>43417</v>
      </c>
      <c r="B18" s="10">
        <v>1018</v>
      </c>
      <c r="C18" s="11">
        <v>0.19</v>
      </c>
      <c r="D18" s="10">
        <v>4235</v>
      </c>
      <c r="E18" s="11">
        <v>0.251</v>
      </c>
      <c r="F18" s="10">
        <v>717606</v>
      </c>
      <c r="G18" s="11">
        <v>0.26700000000000002</v>
      </c>
      <c r="H18" s="11">
        <v>0.16600000000000001</v>
      </c>
      <c r="I18" s="10">
        <v>1002547950</v>
      </c>
      <c r="J18" s="12" t="s">
        <v>843</v>
      </c>
      <c r="K18" s="10">
        <v>119031</v>
      </c>
      <c r="L18" s="12" t="s">
        <v>844</v>
      </c>
      <c r="M18" s="10">
        <v>18520643551</v>
      </c>
      <c r="N18" s="10">
        <v>2071566</v>
      </c>
      <c r="O18" s="12">
        <v>1</v>
      </c>
    </row>
    <row r="19" spans="1:15" ht="27" x14ac:dyDescent="0.3">
      <c r="A19" s="9">
        <v>43418</v>
      </c>
      <c r="B19" s="12">
        <v>735</v>
      </c>
      <c r="C19" s="11">
        <v>0.155</v>
      </c>
      <c r="D19" s="10">
        <v>2812</v>
      </c>
      <c r="E19" s="11">
        <v>0.16500000000000001</v>
      </c>
      <c r="F19" s="10">
        <v>400892</v>
      </c>
      <c r="G19" s="11">
        <v>0.15</v>
      </c>
      <c r="H19" s="11">
        <v>0.29699999999999999</v>
      </c>
      <c r="I19" s="10">
        <v>970597550</v>
      </c>
      <c r="J19" s="12" t="s">
        <v>845</v>
      </c>
      <c r="K19" s="10">
        <v>119169</v>
      </c>
      <c r="L19" s="12" t="s">
        <v>846</v>
      </c>
      <c r="M19" s="10">
        <v>19491241101</v>
      </c>
      <c r="N19" s="10">
        <v>2190735</v>
      </c>
      <c r="O19" s="12">
        <v>2</v>
      </c>
    </row>
    <row r="20" spans="1:15" ht="27" x14ac:dyDescent="0.3">
      <c r="A20" s="9">
        <v>43419</v>
      </c>
      <c r="B20" s="12">
        <v>807</v>
      </c>
      <c r="C20" s="11">
        <v>0.14299999999999999</v>
      </c>
      <c r="D20" s="10">
        <v>2595</v>
      </c>
      <c r="E20" s="11">
        <v>0.14899999999999999</v>
      </c>
      <c r="F20" s="10">
        <v>368399</v>
      </c>
      <c r="G20" s="11">
        <v>0.13400000000000001</v>
      </c>
      <c r="H20" s="11">
        <v>0.35599999999999998</v>
      </c>
      <c r="I20" s="10">
        <v>1037072950</v>
      </c>
      <c r="J20" s="12" t="s">
        <v>847</v>
      </c>
      <c r="K20" s="10">
        <v>131138</v>
      </c>
      <c r="L20" s="12" t="s">
        <v>848</v>
      </c>
      <c r="M20" s="10">
        <v>20528314051</v>
      </c>
      <c r="N20" s="10">
        <v>2321873</v>
      </c>
      <c r="O20" s="12">
        <v>2</v>
      </c>
    </row>
    <row r="21" spans="1:15" ht="27" x14ac:dyDescent="0.3">
      <c r="A21" s="9">
        <v>43420</v>
      </c>
      <c r="B21" s="12">
        <v>888</v>
      </c>
      <c r="C21" s="11">
        <v>0.16</v>
      </c>
      <c r="D21" s="10">
        <v>3054</v>
      </c>
      <c r="E21" s="11">
        <v>0.17399999999999999</v>
      </c>
      <c r="F21" s="10">
        <v>446681</v>
      </c>
      <c r="G21" s="11">
        <v>0.16200000000000001</v>
      </c>
      <c r="H21" s="11">
        <v>0.38200000000000001</v>
      </c>
      <c r="I21" s="10">
        <v>1523160660</v>
      </c>
      <c r="J21" s="12" t="s">
        <v>849</v>
      </c>
      <c r="K21" s="10">
        <v>170462</v>
      </c>
      <c r="L21" s="12" t="s">
        <v>850</v>
      </c>
      <c r="M21" s="10">
        <v>22051474711</v>
      </c>
      <c r="N21" s="10">
        <v>2492335</v>
      </c>
      <c r="O21" s="12">
        <v>2</v>
      </c>
    </row>
    <row r="22" spans="1:15" ht="27" x14ac:dyDescent="0.3">
      <c r="A22" s="9">
        <v>43421</v>
      </c>
      <c r="B22" s="10">
        <v>1105</v>
      </c>
      <c r="C22" s="11">
        <v>0.18</v>
      </c>
      <c r="D22" s="10">
        <v>3818</v>
      </c>
      <c r="E22" s="11">
        <v>0.20799999999999999</v>
      </c>
      <c r="F22" s="10">
        <v>569900</v>
      </c>
      <c r="G22" s="11">
        <v>0.19800000000000001</v>
      </c>
      <c r="H22" s="11">
        <v>0.57299999999999995</v>
      </c>
      <c r="I22" s="10">
        <v>2950351360</v>
      </c>
      <c r="J22" s="12" t="s">
        <v>851</v>
      </c>
      <c r="K22" s="10">
        <v>326368</v>
      </c>
      <c r="L22" s="12" t="s">
        <v>852</v>
      </c>
      <c r="M22" s="10">
        <v>25001826071</v>
      </c>
      <c r="N22" s="10">
        <v>2818703</v>
      </c>
      <c r="O22" s="12">
        <v>2</v>
      </c>
    </row>
    <row r="23" spans="1:15" ht="27" x14ac:dyDescent="0.3">
      <c r="A23" s="9">
        <v>43422</v>
      </c>
      <c r="B23" s="10">
        <v>1179</v>
      </c>
      <c r="C23" s="11">
        <v>0.192</v>
      </c>
      <c r="D23" s="10">
        <v>4057</v>
      </c>
      <c r="E23" s="11">
        <v>0.22700000000000001</v>
      </c>
      <c r="F23" s="10">
        <v>610200</v>
      </c>
      <c r="G23" s="11">
        <v>0.218</v>
      </c>
      <c r="H23" s="11">
        <v>0.52300000000000002</v>
      </c>
      <c r="I23" s="10">
        <v>2865565300</v>
      </c>
      <c r="J23" s="12" t="s">
        <v>853</v>
      </c>
      <c r="K23" s="10">
        <v>319315</v>
      </c>
      <c r="L23" s="12" t="s">
        <v>854</v>
      </c>
      <c r="M23" s="10">
        <v>27867391371</v>
      </c>
      <c r="N23" s="10">
        <v>3138018</v>
      </c>
      <c r="O23" s="12">
        <v>2</v>
      </c>
    </row>
    <row r="24" spans="1:15" ht="54" x14ac:dyDescent="0.3">
      <c r="A24" s="9">
        <v>43423</v>
      </c>
      <c r="B24" s="10">
        <v>1048</v>
      </c>
      <c r="C24" s="11">
        <v>0.20200000000000001</v>
      </c>
      <c r="D24" s="10">
        <v>4137</v>
      </c>
      <c r="E24" s="11">
        <v>0.251</v>
      </c>
      <c r="F24" s="10">
        <v>666823</v>
      </c>
      <c r="G24" s="11">
        <v>0.25700000000000001</v>
      </c>
      <c r="H24" s="11">
        <v>0.20300000000000001</v>
      </c>
      <c r="I24" s="10">
        <v>1103435350</v>
      </c>
      <c r="J24" s="12" t="s">
        <v>855</v>
      </c>
      <c r="K24" s="10">
        <v>135596</v>
      </c>
      <c r="L24" s="12" t="s">
        <v>856</v>
      </c>
      <c r="M24" s="10">
        <v>28970826721</v>
      </c>
      <c r="N24" s="10">
        <v>3273614</v>
      </c>
      <c r="O24" s="12">
        <v>1</v>
      </c>
    </row>
    <row r="25" spans="1:15" ht="27" x14ac:dyDescent="0.3">
      <c r="A25" s="9">
        <v>43424</v>
      </c>
      <c r="B25" s="10">
        <v>1109</v>
      </c>
      <c r="C25" s="11">
        <v>0.20200000000000001</v>
      </c>
      <c r="D25" s="10">
        <v>4289</v>
      </c>
      <c r="E25" s="11">
        <v>0.26</v>
      </c>
      <c r="F25" s="10">
        <v>700394</v>
      </c>
      <c r="G25" s="11">
        <v>0.26900000000000002</v>
      </c>
      <c r="H25" s="11">
        <v>0.186</v>
      </c>
      <c r="I25" s="10">
        <v>1053530350</v>
      </c>
      <c r="J25" s="12" t="s">
        <v>857</v>
      </c>
      <c r="K25" s="10">
        <v>130475</v>
      </c>
      <c r="L25" s="12" t="s">
        <v>858</v>
      </c>
      <c r="M25" s="10">
        <v>30024357071</v>
      </c>
      <c r="N25" s="10">
        <v>3404089</v>
      </c>
      <c r="O25" s="12">
        <v>1</v>
      </c>
    </row>
    <row r="26" spans="1:15" ht="27" x14ac:dyDescent="0.3">
      <c r="A26" s="9">
        <v>43425</v>
      </c>
      <c r="B26" s="10">
        <v>1164</v>
      </c>
      <c r="C26" s="11">
        <v>0.222</v>
      </c>
      <c r="D26" s="10">
        <v>4866</v>
      </c>
      <c r="E26" s="11">
        <v>0.29599999999999999</v>
      </c>
      <c r="F26" s="10">
        <v>848788</v>
      </c>
      <c r="G26" s="11">
        <v>0.32800000000000001</v>
      </c>
      <c r="H26" s="11">
        <v>0.18099999999999999</v>
      </c>
      <c r="I26" s="10">
        <v>1227310550</v>
      </c>
      <c r="J26" s="12" t="s">
        <v>859</v>
      </c>
      <c r="K26" s="10">
        <v>153271</v>
      </c>
      <c r="L26" s="12" t="s">
        <v>860</v>
      </c>
      <c r="M26" s="10">
        <v>31251667621</v>
      </c>
      <c r="N26" s="10">
        <v>3557360</v>
      </c>
      <c r="O26" s="12">
        <v>1</v>
      </c>
    </row>
    <row r="27" spans="1:15" ht="40.5" x14ac:dyDescent="0.3">
      <c r="A27" s="9">
        <v>43426</v>
      </c>
      <c r="B27" s="10">
        <v>1026</v>
      </c>
      <c r="C27" s="11">
        <v>0.189</v>
      </c>
      <c r="D27" s="10">
        <v>4061</v>
      </c>
      <c r="E27" s="11">
        <v>0.23699999999999999</v>
      </c>
      <c r="F27" s="10">
        <v>729360</v>
      </c>
      <c r="G27" s="11">
        <v>0.27</v>
      </c>
      <c r="H27" s="11">
        <v>0.18099999999999999</v>
      </c>
      <c r="I27" s="10">
        <v>1071685650</v>
      </c>
      <c r="J27" s="12" t="s">
        <v>861</v>
      </c>
      <c r="K27" s="10">
        <v>131665</v>
      </c>
      <c r="L27" s="12" t="s">
        <v>862</v>
      </c>
      <c r="M27" s="10">
        <v>32323353271</v>
      </c>
      <c r="N27" s="10">
        <v>3689025</v>
      </c>
      <c r="O27" s="12">
        <v>2</v>
      </c>
    </row>
    <row r="28" spans="1:15" ht="27" x14ac:dyDescent="0.3">
      <c r="A28" s="9">
        <v>43427</v>
      </c>
      <c r="B28" s="10">
        <v>1054</v>
      </c>
      <c r="C28" s="11">
        <v>0.191</v>
      </c>
      <c r="D28" s="10">
        <v>4344</v>
      </c>
      <c r="E28" s="11">
        <v>0.246</v>
      </c>
      <c r="F28" s="10">
        <v>787804</v>
      </c>
      <c r="G28" s="11">
        <v>0.28299999999999997</v>
      </c>
      <c r="H28" s="11">
        <v>0.24099999999999999</v>
      </c>
      <c r="I28" s="10">
        <v>1699394218</v>
      </c>
      <c r="J28" s="12" t="s">
        <v>863</v>
      </c>
      <c r="K28" s="10">
        <v>189644</v>
      </c>
      <c r="L28" s="12" t="s">
        <v>864</v>
      </c>
      <c r="M28" s="10">
        <v>34022747489</v>
      </c>
      <c r="N28" s="10">
        <v>3878669</v>
      </c>
      <c r="O28" s="12">
        <v>1</v>
      </c>
    </row>
    <row r="29" spans="1:15" ht="40.5" x14ac:dyDescent="0.3">
      <c r="A29" s="9">
        <v>43428</v>
      </c>
      <c r="B29" s="10">
        <v>1136</v>
      </c>
      <c r="C29" s="11">
        <v>0.19600000000000001</v>
      </c>
      <c r="D29" s="10">
        <v>5013</v>
      </c>
      <c r="E29" s="11">
        <v>0.27</v>
      </c>
      <c r="F29" s="10">
        <v>912371</v>
      </c>
      <c r="G29" s="11">
        <v>0.314</v>
      </c>
      <c r="H29" s="11">
        <v>0.433</v>
      </c>
      <c r="I29" s="10">
        <v>3612363296</v>
      </c>
      <c r="J29" s="12" t="s">
        <v>865</v>
      </c>
      <c r="K29" s="10">
        <v>395504</v>
      </c>
      <c r="L29" s="12" t="s">
        <v>866</v>
      </c>
      <c r="M29" s="10">
        <v>37635110785</v>
      </c>
      <c r="N29" s="10">
        <v>4274173</v>
      </c>
      <c r="O29" s="12">
        <v>1</v>
      </c>
    </row>
    <row r="30" spans="1:15" ht="40.5" x14ac:dyDescent="0.3">
      <c r="A30" s="9">
        <v>43429</v>
      </c>
      <c r="B30" s="10">
        <v>1121</v>
      </c>
      <c r="C30" s="11">
        <v>0.19500000000000001</v>
      </c>
      <c r="D30" s="10">
        <v>4946</v>
      </c>
      <c r="E30" s="11">
        <v>0.27200000000000002</v>
      </c>
      <c r="F30" s="10">
        <v>901665</v>
      </c>
      <c r="G30" s="11">
        <v>0.317</v>
      </c>
      <c r="H30" s="11">
        <v>0.41099999999999998</v>
      </c>
      <c r="I30" s="10">
        <v>3331716050</v>
      </c>
      <c r="J30" s="12" t="s">
        <v>867</v>
      </c>
      <c r="K30" s="10">
        <v>370278</v>
      </c>
      <c r="L30" s="12" t="s">
        <v>868</v>
      </c>
      <c r="M30" s="10">
        <v>40966826835</v>
      </c>
      <c r="N30" s="10">
        <v>4644451</v>
      </c>
      <c r="O30" s="12">
        <v>1</v>
      </c>
    </row>
    <row r="31" spans="1:15" ht="54" x14ac:dyDescent="0.3">
      <c r="A31" s="9">
        <v>43430</v>
      </c>
      <c r="B31" s="10">
        <v>1062</v>
      </c>
      <c r="C31" s="11">
        <v>0.20699999999999999</v>
      </c>
      <c r="D31" s="10">
        <v>4594</v>
      </c>
      <c r="E31" s="11">
        <v>0.27300000000000002</v>
      </c>
      <c r="F31" s="10">
        <v>841989</v>
      </c>
      <c r="G31" s="11">
        <v>0.316</v>
      </c>
      <c r="H31" s="11">
        <v>0.161</v>
      </c>
      <c r="I31" s="10">
        <v>1096676600</v>
      </c>
      <c r="J31" s="12" t="s">
        <v>869</v>
      </c>
      <c r="K31" s="10">
        <v>135951</v>
      </c>
      <c r="L31" s="12" t="s">
        <v>870</v>
      </c>
      <c r="M31" s="10">
        <v>42063503435</v>
      </c>
      <c r="N31" s="10">
        <v>4780402</v>
      </c>
      <c r="O31" s="12">
        <v>1</v>
      </c>
    </row>
    <row r="32" spans="1:15" ht="27" x14ac:dyDescent="0.3">
      <c r="A32" s="9">
        <v>43431</v>
      </c>
      <c r="B32" s="10">
        <v>1119</v>
      </c>
      <c r="C32" s="11">
        <v>0.20399999999999999</v>
      </c>
      <c r="D32" s="10">
        <v>4365</v>
      </c>
      <c r="E32" s="11">
        <v>0.26800000000000002</v>
      </c>
      <c r="F32" s="10">
        <v>798179</v>
      </c>
      <c r="G32" s="11">
        <v>0.31</v>
      </c>
      <c r="H32" s="11">
        <v>0.16500000000000001</v>
      </c>
      <c r="I32" s="10">
        <v>1048715350</v>
      </c>
      <c r="J32" s="12" t="s">
        <v>871</v>
      </c>
      <c r="K32" s="10">
        <v>131835</v>
      </c>
      <c r="L32" s="12" t="s">
        <v>872</v>
      </c>
      <c r="M32" s="10">
        <v>43112218785</v>
      </c>
      <c r="N32" s="10">
        <v>4912237</v>
      </c>
      <c r="O32" s="12">
        <v>1</v>
      </c>
    </row>
    <row r="33" spans="1:15" ht="27" x14ac:dyDescent="0.3">
      <c r="A33" s="9">
        <v>43432</v>
      </c>
      <c r="B33" s="12">
        <v>928</v>
      </c>
      <c r="C33" s="11">
        <v>0.161</v>
      </c>
      <c r="D33" s="10">
        <v>3408</v>
      </c>
      <c r="E33" s="11">
        <v>0.192</v>
      </c>
      <c r="F33" s="10">
        <v>585833</v>
      </c>
      <c r="G33" s="11">
        <v>0.20799999999999999</v>
      </c>
      <c r="H33" s="11">
        <v>0.34599999999999997</v>
      </c>
      <c r="I33" s="10">
        <v>1306567050</v>
      </c>
      <c r="J33" s="12" t="s">
        <v>873</v>
      </c>
      <c r="K33" s="10">
        <v>202908</v>
      </c>
      <c r="L33" s="12" t="s">
        <v>874</v>
      </c>
      <c r="M33" s="10">
        <v>44418785835</v>
      </c>
      <c r="N33" s="10">
        <v>5115145</v>
      </c>
      <c r="O33" s="12">
        <v>2</v>
      </c>
    </row>
    <row r="34" spans="1:15" ht="40.5" x14ac:dyDescent="0.3">
      <c r="A34" s="9">
        <v>43433</v>
      </c>
      <c r="B34" s="12">
        <v>896</v>
      </c>
      <c r="C34" s="11">
        <v>0.157</v>
      </c>
      <c r="D34" s="10">
        <v>3423</v>
      </c>
      <c r="E34" s="11">
        <v>0.192</v>
      </c>
      <c r="F34" s="10">
        <v>592140</v>
      </c>
      <c r="G34" s="11">
        <v>0.21</v>
      </c>
      <c r="H34" s="11">
        <v>0.215</v>
      </c>
      <c r="I34" s="10">
        <v>1020031800</v>
      </c>
      <c r="J34" s="12" t="s">
        <v>875</v>
      </c>
      <c r="K34" s="10">
        <v>127482</v>
      </c>
      <c r="L34" s="12" t="s">
        <v>876</v>
      </c>
      <c r="M34" s="10">
        <v>45438817635</v>
      </c>
      <c r="N34" s="10">
        <v>5242627</v>
      </c>
      <c r="O34" s="12">
        <v>2</v>
      </c>
    </row>
    <row r="35" spans="1:15" ht="27" x14ac:dyDescent="0.3">
      <c r="A35" s="9">
        <v>43434</v>
      </c>
      <c r="B35" s="12">
        <v>998</v>
      </c>
      <c r="C35" s="11">
        <v>0.17100000000000001</v>
      </c>
      <c r="D35" s="10">
        <v>3861</v>
      </c>
      <c r="E35" s="11">
        <v>0.21199999999999999</v>
      </c>
      <c r="F35" s="10">
        <v>660094</v>
      </c>
      <c r="G35" s="11">
        <v>0.22900000000000001</v>
      </c>
      <c r="H35" s="11">
        <v>0.27900000000000003</v>
      </c>
      <c r="I35" s="10">
        <v>1614687854</v>
      </c>
      <c r="J35" s="12" t="s">
        <v>877</v>
      </c>
      <c r="K35" s="10">
        <v>184033</v>
      </c>
      <c r="L35" s="12" t="s">
        <v>878</v>
      </c>
      <c r="M35" s="10">
        <v>47053505489</v>
      </c>
      <c r="N35" s="10">
        <v>5426660</v>
      </c>
      <c r="O35" s="12">
        <v>2</v>
      </c>
    </row>
    <row r="36" spans="1:15" ht="27" x14ac:dyDescent="0.3">
      <c r="A36" s="9">
        <v>43435</v>
      </c>
      <c r="B36" s="10">
        <v>1093</v>
      </c>
      <c r="C36" s="11">
        <v>0.18099999999999999</v>
      </c>
      <c r="D36" s="10">
        <v>4725</v>
      </c>
      <c r="E36" s="11">
        <v>0.25</v>
      </c>
      <c r="F36" s="10">
        <v>809564</v>
      </c>
      <c r="G36" s="11">
        <v>0.27200000000000002</v>
      </c>
      <c r="H36" s="11">
        <v>0.40500000000000003</v>
      </c>
      <c r="I36" s="10">
        <v>2996655884</v>
      </c>
      <c r="J36" s="12" t="s">
        <v>879</v>
      </c>
      <c r="K36" s="10">
        <v>328050</v>
      </c>
      <c r="L36" s="12" t="s">
        <v>880</v>
      </c>
      <c r="M36" s="10">
        <v>50050161373</v>
      </c>
      <c r="N36" s="10">
        <v>5754710</v>
      </c>
      <c r="O36" s="12">
        <v>2</v>
      </c>
    </row>
    <row r="37" spans="1:15" ht="40.5" x14ac:dyDescent="0.3">
      <c r="A37" s="9">
        <v>43436</v>
      </c>
      <c r="B37" s="10">
        <v>1103</v>
      </c>
      <c r="C37" s="11">
        <v>0.184</v>
      </c>
      <c r="D37" s="10">
        <v>4706</v>
      </c>
      <c r="E37" s="11">
        <v>0.253</v>
      </c>
      <c r="F37" s="10">
        <v>805542</v>
      </c>
      <c r="G37" s="11">
        <v>0.27600000000000002</v>
      </c>
      <c r="H37" s="11">
        <v>0.36299999999999999</v>
      </c>
      <c r="I37" s="10">
        <v>2642813900</v>
      </c>
      <c r="J37" s="12" t="s">
        <v>881</v>
      </c>
      <c r="K37" s="10">
        <v>292238</v>
      </c>
      <c r="L37" s="12" t="s">
        <v>882</v>
      </c>
      <c r="M37" s="10">
        <v>52692975273</v>
      </c>
      <c r="N37" s="10">
        <v>6046948</v>
      </c>
      <c r="O37" s="12">
        <v>2</v>
      </c>
    </row>
    <row r="38" spans="1:15" ht="54" x14ac:dyDescent="0.3">
      <c r="A38" s="9">
        <v>43437</v>
      </c>
      <c r="B38" s="10">
        <v>1033</v>
      </c>
      <c r="C38" s="11">
        <v>0.189</v>
      </c>
      <c r="D38" s="10">
        <v>4348</v>
      </c>
      <c r="E38" s="11">
        <v>0.25</v>
      </c>
      <c r="F38" s="10">
        <v>756931</v>
      </c>
      <c r="G38" s="11">
        <v>0.27400000000000002</v>
      </c>
      <c r="H38" s="11">
        <v>0.14799999999999999</v>
      </c>
      <c r="I38" s="10">
        <v>905280650</v>
      </c>
      <c r="J38" s="12" t="s">
        <v>883</v>
      </c>
      <c r="K38" s="10">
        <v>111720</v>
      </c>
      <c r="L38" s="12" t="s">
        <v>884</v>
      </c>
      <c r="M38" s="10">
        <v>53598255923</v>
      </c>
      <c r="N38" s="10">
        <v>6158668</v>
      </c>
      <c r="O38" s="12">
        <v>2</v>
      </c>
    </row>
    <row r="39" spans="1:15" ht="27" x14ac:dyDescent="0.3">
      <c r="A39" s="9">
        <v>43438</v>
      </c>
      <c r="B39" s="10">
        <v>1060</v>
      </c>
      <c r="C39" s="11">
        <v>0.185</v>
      </c>
      <c r="D39" s="10">
        <v>4366</v>
      </c>
      <c r="E39" s="11">
        <v>0.25</v>
      </c>
      <c r="F39" s="10">
        <v>756099</v>
      </c>
      <c r="G39" s="11">
        <v>0.27300000000000002</v>
      </c>
      <c r="H39" s="11">
        <v>0.151</v>
      </c>
      <c r="I39" s="10">
        <v>911587800</v>
      </c>
      <c r="J39" s="12" t="s">
        <v>885</v>
      </c>
      <c r="K39" s="10">
        <v>114000</v>
      </c>
      <c r="L39" s="12" t="s">
        <v>886</v>
      </c>
      <c r="M39" s="10">
        <v>54509843723</v>
      </c>
      <c r="N39" s="10">
        <v>6272668</v>
      </c>
      <c r="O39" s="12">
        <v>2</v>
      </c>
    </row>
    <row r="40" spans="1:15" ht="40.5" x14ac:dyDescent="0.3">
      <c r="A40" s="9">
        <v>43439</v>
      </c>
      <c r="B40" s="12">
        <v>845</v>
      </c>
      <c r="C40" s="11">
        <v>0.158</v>
      </c>
      <c r="D40" s="10">
        <v>3398</v>
      </c>
      <c r="E40" s="11">
        <v>0.189</v>
      </c>
      <c r="F40" s="10">
        <v>585758</v>
      </c>
      <c r="G40" s="11">
        <v>0.20599999999999999</v>
      </c>
      <c r="H40" s="11">
        <v>0.16400000000000001</v>
      </c>
      <c r="I40" s="10">
        <v>782250700</v>
      </c>
      <c r="J40" s="12" t="s">
        <v>887</v>
      </c>
      <c r="K40" s="10">
        <v>96185</v>
      </c>
      <c r="L40" s="12" t="s">
        <v>888</v>
      </c>
      <c r="M40" s="10">
        <v>55292094423</v>
      </c>
      <c r="N40" s="10">
        <v>6368853</v>
      </c>
      <c r="O40" s="12">
        <v>3</v>
      </c>
    </row>
    <row r="41" spans="1:15" ht="27" x14ac:dyDescent="0.3">
      <c r="A41" s="9">
        <v>43440</v>
      </c>
      <c r="B41" s="12">
        <v>832</v>
      </c>
      <c r="C41" s="11">
        <v>0.13700000000000001</v>
      </c>
      <c r="D41" s="10">
        <v>3148</v>
      </c>
      <c r="E41" s="11">
        <v>0.17199999999999999</v>
      </c>
      <c r="F41" s="10">
        <v>544542</v>
      </c>
      <c r="G41" s="11">
        <v>0.189</v>
      </c>
      <c r="H41" s="11">
        <v>0.17299999999999999</v>
      </c>
      <c r="I41" s="10">
        <v>756668450</v>
      </c>
      <c r="J41" s="12" t="s">
        <v>889</v>
      </c>
      <c r="K41" s="10">
        <v>94068</v>
      </c>
      <c r="L41" s="12" t="s">
        <v>890</v>
      </c>
      <c r="M41" s="10">
        <v>56048762873</v>
      </c>
      <c r="N41" s="10">
        <v>6462921</v>
      </c>
      <c r="O41" s="12">
        <v>3</v>
      </c>
    </row>
    <row r="42" spans="1:15" ht="27" x14ac:dyDescent="0.3">
      <c r="A42" s="9">
        <v>43441</v>
      </c>
      <c r="B42" s="12">
        <v>891</v>
      </c>
      <c r="C42" s="11">
        <v>0.14499999999999999</v>
      </c>
      <c r="D42" s="10">
        <v>3295</v>
      </c>
      <c r="E42" s="11">
        <v>0.17599999999999999</v>
      </c>
      <c r="F42" s="10">
        <v>560930</v>
      </c>
      <c r="G42" s="11">
        <v>0.19</v>
      </c>
      <c r="H42" s="11">
        <v>0.218</v>
      </c>
      <c r="I42" s="10">
        <v>1095328773</v>
      </c>
      <c r="J42" s="12" t="s">
        <v>891</v>
      </c>
      <c r="K42" s="10">
        <v>122108</v>
      </c>
      <c r="L42" s="12" t="s">
        <v>892</v>
      </c>
      <c r="M42" s="10">
        <v>57144091646</v>
      </c>
      <c r="N42" s="10">
        <v>6585029</v>
      </c>
      <c r="O42" s="12">
        <v>3</v>
      </c>
    </row>
    <row r="43" spans="1:15" ht="40.5" x14ac:dyDescent="0.3">
      <c r="A43" s="9">
        <v>43442</v>
      </c>
      <c r="B43" s="12">
        <v>953</v>
      </c>
      <c r="C43" s="11">
        <v>0.14699999999999999</v>
      </c>
      <c r="D43" s="10">
        <v>3735</v>
      </c>
      <c r="E43" s="11">
        <v>0.188</v>
      </c>
      <c r="F43" s="10">
        <v>633369</v>
      </c>
      <c r="G43" s="11">
        <v>0.20300000000000001</v>
      </c>
      <c r="H43" s="11">
        <v>0.39600000000000002</v>
      </c>
      <c r="I43" s="10">
        <v>2283092918</v>
      </c>
      <c r="J43" s="12" t="s">
        <v>893</v>
      </c>
      <c r="K43" s="10">
        <v>250812</v>
      </c>
      <c r="L43" s="12" t="s">
        <v>894</v>
      </c>
      <c r="M43" s="10">
        <v>59427184564</v>
      </c>
      <c r="N43" s="10">
        <v>6835841</v>
      </c>
      <c r="O43" s="12">
        <v>2</v>
      </c>
    </row>
    <row r="44" spans="1:15" ht="40.5" x14ac:dyDescent="0.3">
      <c r="A44" s="9">
        <v>43443</v>
      </c>
      <c r="B44" s="12">
        <v>965</v>
      </c>
      <c r="C44" s="11">
        <v>0.14899999999999999</v>
      </c>
      <c r="D44" s="10">
        <v>3726</v>
      </c>
      <c r="E44" s="11">
        <v>0.19</v>
      </c>
      <c r="F44" s="10">
        <v>633258</v>
      </c>
      <c r="G44" s="11">
        <v>0.20599999999999999</v>
      </c>
      <c r="H44" s="11">
        <v>0.35399999999999998</v>
      </c>
      <c r="I44" s="10">
        <v>2029782750</v>
      </c>
      <c r="J44" s="12" t="s">
        <v>895</v>
      </c>
      <c r="K44" s="10">
        <v>224342</v>
      </c>
      <c r="L44" s="12" t="s">
        <v>896</v>
      </c>
      <c r="M44" s="10">
        <v>61456967314</v>
      </c>
      <c r="N44" s="10">
        <v>7060183</v>
      </c>
      <c r="O44" s="12">
        <v>2</v>
      </c>
    </row>
    <row r="45" spans="1:15" ht="54" x14ac:dyDescent="0.3">
      <c r="A45" s="9">
        <v>43444</v>
      </c>
      <c r="B45" s="12">
        <v>914</v>
      </c>
      <c r="C45" s="11">
        <v>0.151</v>
      </c>
      <c r="D45" s="10">
        <v>3472</v>
      </c>
      <c r="E45" s="11">
        <v>0.19500000000000001</v>
      </c>
      <c r="F45" s="10">
        <v>597721</v>
      </c>
      <c r="G45" s="11">
        <v>0.21099999999999999</v>
      </c>
      <c r="H45" s="11">
        <v>0.13100000000000001</v>
      </c>
      <c r="I45" s="10">
        <v>627936850</v>
      </c>
      <c r="J45" s="12" t="s">
        <v>897</v>
      </c>
      <c r="K45" s="10">
        <v>78044</v>
      </c>
      <c r="L45" s="12" t="s">
        <v>898</v>
      </c>
      <c r="M45" s="10">
        <v>62084904164</v>
      </c>
      <c r="N45" s="10">
        <v>7138227</v>
      </c>
      <c r="O45" s="12">
        <v>2</v>
      </c>
    </row>
    <row r="46" spans="1:15" ht="27" x14ac:dyDescent="0.3">
      <c r="A46" s="9">
        <v>43445</v>
      </c>
      <c r="B46" s="12">
        <v>934</v>
      </c>
      <c r="C46" s="11">
        <v>0.14799999999999999</v>
      </c>
      <c r="D46" s="10">
        <v>3485</v>
      </c>
      <c r="E46" s="11">
        <v>0.19400000000000001</v>
      </c>
      <c r="F46" s="10">
        <v>593394</v>
      </c>
      <c r="G46" s="11">
        <v>0.20899999999999999</v>
      </c>
      <c r="H46" s="11">
        <v>0.14099999999999999</v>
      </c>
      <c r="I46" s="10">
        <v>663764850</v>
      </c>
      <c r="J46" s="12" t="s">
        <v>899</v>
      </c>
      <c r="K46" s="10">
        <v>83529</v>
      </c>
      <c r="L46" s="12" t="s">
        <v>900</v>
      </c>
      <c r="M46" s="10">
        <v>62748669014</v>
      </c>
      <c r="N46" s="10">
        <v>7221756</v>
      </c>
      <c r="O46" s="12">
        <v>2</v>
      </c>
    </row>
    <row r="47" spans="1:15" ht="27" x14ac:dyDescent="0.3">
      <c r="A47" s="9">
        <v>43446</v>
      </c>
      <c r="B47" s="12">
        <v>845</v>
      </c>
      <c r="C47" s="11">
        <v>0.14199999999999999</v>
      </c>
      <c r="D47" s="10">
        <v>3082</v>
      </c>
      <c r="E47" s="11">
        <v>0.17100000000000001</v>
      </c>
      <c r="F47" s="10">
        <v>541402</v>
      </c>
      <c r="G47" s="11">
        <v>0.189</v>
      </c>
      <c r="H47" s="11">
        <v>0.153</v>
      </c>
      <c r="I47" s="10">
        <v>660970450</v>
      </c>
      <c r="J47" s="12" t="s">
        <v>901</v>
      </c>
      <c r="K47" s="10">
        <v>82993</v>
      </c>
      <c r="L47" s="12" t="s">
        <v>902</v>
      </c>
      <c r="M47" s="10">
        <v>63409639464</v>
      </c>
      <c r="N47" s="10">
        <v>7304749</v>
      </c>
      <c r="O47" s="12">
        <v>2</v>
      </c>
    </row>
    <row r="48" spans="1:15" ht="27" x14ac:dyDescent="0.3">
      <c r="A48" s="9">
        <v>43447</v>
      </c>
      <c r="B48" s="12">
        <v>844</v>
      </c>
      <c r="C48" s="11">
        <v>0.13200000000000001</v>
      </c>
      <c r="D48" s="10">
        <v>3074</v>
      </c>
      <c r="E48" s="11">
        <v>0.17100000000000001</v>
      </c>
      <c r="F48" s="10">
        <v>543879</v>
      </c>
      <c r="G48" s="11">
        <v>0.191</v>
      </c>
      <c r="H48" s="11">
        <v>0.154</v>
      </c>
      <c r="I48" s="10">
        <v>670375450</v>
      </c>
      <c r="J48" s="12" t="s">
        <v>903</v>
      </c>
      <c r="K48" s="10">
        <v>83962</v>
      </c>
      <c r="L48" s="12" t="s">
        <v>904</v>
      </c>
      <c r="M48" s="10">
        <v>64080014914</v>
      </c>
      <c r="N48" s="10">
        <v>7388711</v>
      </c>
      <c r="O48" s="12">
        <v>2</v>
      </c>
    </row>
    <row r="49" spans="1:15" ht="27" x14ac:dyDescent="0.3">
      <c r="A49" s="9">
        <v>43448</v>
      </c>
      <c r="B49" s="12">
        <v>917</v>
      </c>
      <c r="C49" s="11">
        <v>0.13300000000000001</v>
      </c>
      <c r="D49" s="10">
        <v>3299</v>
      </c>
      <c r="E49" s="11">
        <v>0.17799999999999999</v>
      </c>
      <c r="F49" s="10">
        <v>572260</v>
      </c>
      <c r="G49" s="11">
        <v>0.19600000000000001</v>
      </c>
      <c r="H49" s="11">
        <v>0.19900000000000001</v>
      </c>
      <c r="I49" s="10">
        <v>1005999400</v>
      </c>
      <c r="J49" s="12" t="s">
        <v>905</v>
      </c>
      <c r="K49" s="10">
        <v>114156</v>
      </c>
      <c r="L49" s="12" t="s">
        <v>906</v>
      </c>
      <c r="M49" s="10">
        <v>65086014314</v>
      </c>
      <c r="N49" s="10">
        <v>7502867</v>
      </c>
      <c r="O49" s="12">
        <v>1</v>
      </c>
    </row>
    <row r="50" spans="1:15" ht="40.5" x14ac:dyDescent="0.3">
      <c r="A50" s="9">
        <v>43449</v>
      </c>
      <c r="B50" s="10">
        <v>1004</v>
      </c>
      <c r="C50" s="11">
        <v>0.13600000000000001</v>
      </c>
      <c r="D50" s="10">
        <v>3678</v>
      </c>
      <c r="E50" s="11">
        <v>0.186</v>
      </c>
      <c r="F50" s="10">
        <v>646217</v>
      </c>
      <c r="G50" s="11">
        <v>0.20899999999999999</v>
      </c>
      <c r="H50" s="11">
        <v>0.35099999999999998</v>
      </c>
      <c r="I50" s="10">
        <v>2046307000</v>
      </c>
      <c r="J50" s="12" t="s">
        <v>907</v>
      </c>
      <c r="K50" s="10">
        <v>227048</v>
      </c>
      <c r="L50" s="12" t="s">
        <v>908</v>
      </c>
      <c r="M50" s="10">
        <v>67132321314</v>
      </c>
      <c r="N50" s="10">
        <v>7729915</v>
      </c>
      <c r="O50" s="12">
        <v>1</v>
      </c>
    </row>
    <row r="51" spans="1:15" ht="40.5" x14ac:dyDescent="0.3">
      <c r="A51" s="9">
        <v>43450</v>
      </c>
      <c r="B51" s="12">
        <v>979</v>
      </c>
      <c r="C51" s="11">
        <v>0.13500000000000001</v>
      </c>
      <c r="D51" s="10">
        <v>3632</v>
      </c>
      <c r="E51" s="11">
        <v>0.188</v>
      </c>
      <c r="F51" s="10">
        <v>639564</v>
      </c>
      <c r="G51" s="11">
        <v>0.21099999999999999</v>
      </c>
      <c r="H51" s="11">
        <v>0.33200000000000002</v>
      </c>
      <c r="I51" s="10">
        <v>1908219500</v>
      </c>
      <c r="J51" s="12" t="s">
        <v>909</v>
      </c>
      <c r="K51" s="10">
        <v>212584</v>
      </c>
      <c r="L51" s="12" t="s">
        <v>910</v>
      </c>
      <c r="M51" s="10">
        <v>69040540814</v>
      </c>
      <c r="N51" s="10">
        <v>7942499</v>
      </c>
      <c r="O51" s="12">
        <v>1</v>
      </c>
    </row>
    <row r="52" spans="1:15" ht="54" x14ac:dyDescent="0.3">
      <c r="A52" s="9">
        <v>43451</v>
      </c>
      <c r="B52" s="12">
        <v>938</v>
      </c>
      <c r="C52" s="11">
        <v>0.155</v>
      </c>
      <c r="D52" s="10">
        <v>3588</v>
      </c>
      <c r="E52" s="11">
        <v>0.20399999999999999</v>
      </c>
      <c r="F52" s="10">
        <v>637701</v>
      </c>
      <c r="G52" s="11">
        <v>0.22900000000000001</v>
      </c>
      <c r="H52" s="11">
        <v>0.124</v>
      </c>
      <c r="I52" s="10">
        <v>633497200</v>
      </c>
      <c r="J52" s="12" t="s">
        <v>911</v>
      </c>
      <c r="K52" s="10">
        <v>79174</v>
      </c>
      <c r="L52" s="12" t="s">
        <v>912</v>
      </c>
      <c r="M52" s="10">
        <v>69674038014</v>
      </c>
      <c r="N52" s="10">
        <v>8021673</v>
      </c>
      <c r="O52" s="12">
        <v>1</v>
      </c>
    </row>
    <row r="53" spans="1:15" ht="27" x14ac:dyDescent="0.3">
      <c r="A53" s="9">
        <v>43452</v>
      </c>
      <c r="B53" s="12">
        <v>972</v>
      </c>
      <c r="C53" s="11">
        <v>0.14899999999999999</v>
      </c>
      <c r="D53" s="10">
        <v>3610</v>
      </c>
      <c r="E53" s="11">
        <v>0.20300000000000001</v>
      </c>
      <c r="F53" s="10">
        <v>634494</v>
      </c>
      <c r="G53" s="11">
        <v>0.22600000000000001</v>
      </c>
      <c r="H53" s="11">
        <v>0.13700000000000001</v>
      </c>
      <c r="I53" s="10">
        <v>687395500</v>
      </c>
      <c r="J53" s="12" t="s">
        <v>913</v>
      </c>
      <c r="K53" s="10">
        <v>86685</v>
      </c>
      <c r="L53" s="12" t="s">
        <v>914</v>
      </c>
      <c r="M53" s="10">
        <v>70361433514</v>
      </c>
      <c r="N53" s="10">
        <v>8108358</v>
      </c>
      <c r="O53" s="12">
        <v>1</v>
      </c>
    </row>
    <row r="54" spans="1:15" ht="40.5" x14ac:dyDescent="0.3">
      <c r="A54" s="9">
        <v>43453</v>
      </c>
      <c r="B54" s="12">
        <v>546</v>
      </c>
      <c r="C54" s="11">
        <v>8.5999999999999993E-2</v>
      </c>
      <c r="D54" s="10">
        <v>1118</v>
      </c>
      <c r="E54" s="11">
        <v>6.5000000000000002E-2</v>
      </c>
      <c r="F54" s="10">
        <v>154037</v>
      </c>
      <c r="G54" s="11">
        <v>5.7000000000000002E-2</v>
      </c>
      <c r="H54" s="11">
        <v>0.28299999999999997</v>
      </c>
      <c r="I54" s="10">
        <v>345263450</v>
      </c>
      <c r="J54" s="12" t="s">
        <v>915</v>
      </c>
      <c r="K54" s="10">
        <v>43581</v>
      </c>
      <c r="L54" s="12" t="s">
        <v>916</v>
      </c>
      <c r="M54" s="10">
        <v>70706696964</v>
      </c>
      <c r="N54" s="10">
        <v>8151939</v>
      </c>
      <c r="O54" s="12">
        <v>4</v>
      </c>
    </row>
    <row r="55" spans="1:15" ht="27" x14ac:dyDescent="0.3">
      <c r="A55" s="9">
        <v>43454</v>
      </c>
      <c r="B55" s="12">
        <v>567</v>
      </c>
      <c r="C55" s="11">
        <v>8.7999999999999995E-2</v>
      </c>
      <c r="D55" s="10">
        <v>1165</v>
      </c>
      <c r="E55" s="11">
        <v>6.8000000000000005E-2</v>
      </c>
      <c r="F55" s="10">
        <v>157883</v>
      </c>
      <c r="G55" s="11">
        <v>5.8999999999999997E-2</v>
      </c>
      <c r="H55" s="11">
        <v>0.28100000000000003</v>
      </c>
      <c r="I55" s="10">
        <v>355543850</v>
      </c>
      <c r="J55" s="12" t="s">
        <v>917</v>
      </c>
      <c r="K55" s="10">
        <v>44439</v>
      </c>
      <c r="L55" s="12" t="s">
        <v>918</v>
      </c>
      <c r="M55" s="10">
        <v>71062240814</v>
      </c>
      <c r="N55" s="10">
        <v>8196378</v>
      </c>
      <c r="O55" s="12">
        <v>4</v>
      </c>
    </row>
    <row r="56" spans="1:15" ht="27" x14ac:dyDescent="0.3">
      <c r="A56" s="9">
        <v>43455</v>
      </c>
      <c r="B56" s="12">
        <v>635</v>
      </c>
      <c r="C56" s="11">
        <v>9.7000000000000003E-2</v>
      </c>
      <c r="D56" s="10">
        <v>1374</v>
      </c>
      <c r="E56" s="11">
        <v>7.8E-2</v>
      </c>
      <c r="F56" s="10">
        <v>188586</v>
      </c>
      <c r="G56" s="11">
        <v>6.8000000000000005E-2</v>
      </c>
      <c r="H56" s="11">
        <v>0.312</v>
      </c>
      <c r="I56" s="10">
        <v>518592750</v>
      </c>
      <c r="J56" s="12" t="s">
        <v>919</v>
      </c>
      <c r="K56" s="10">
        <v>58848</v>
      </c>
      <c r="L56" s="12" t="s">
        <v>920</v>
      </c>
      <c r="M56" s="10">
        <v>71580833564</v>
      </c>
      <c r="N56" s="10">
        <v>8255226</v>
      </c>
      <c r="O56" s="12">
        <v>4</v>
      </c>
    </row>
    <row r="57" spans="1:15" ht="27" x14ac:dyDescent="0.3">
      <c r="A57" s="9">
        <v>43456</v>
      </c>
      <c r="B57" s="12">
        <v>713</v>
      </c>
      <c r="C57" s="11">
        <v>0.10299999999999999</v>
      </c>
      <c r="D57" s="10">
        <v>1646</v>
      </c>
      <c r="E57" s="11">
        <v>8.6999999999999994E-2</v>
      </c>
      <c r="F57" s="10">
        <v>228496</v>
      </c>
      <c r="G57" s="11">
        <v>7.8E-2</v>
      </c>
      <c r="H57" s="11">
        <v>0.51900000000000002</v>
      </c>
      <c r="I57" s="10">
        <v>1083716600</v>
      </c>
      <c r="J57" s="12" t="s">
        <v>921</v>
      </c>
      <c r="K57" s="10">
        <v>118557</v>
      </c>
      <c r="L57" s="12" t="s">
        <v>922</v>
      </c>
      <c r="M57" s="10">
        <v>72664550164</v>
      </c>
      <c r="N57" s="10">
        <v>8373783</v>
      </c>
      <c r="O57" s="12">
        <v>4</v>
      </c>
    </row>
    <row r="58" spans="1:15" ht="27" x14ac:dyDescent="0.3">
      <c r="A58" s="9">
        <v>43457</v>
      </c>
      <c r="B58" s="12">
        <v>747</v>
      </c>
      <c r="C58" s="11">
        <v>0.107</v>
      </c>
      <c r="D58" s="10">
        <v>1769</v>
      </c>
      <c r="E58" s="11">
        <v>9.4E-2</v>
      </c>
      <c r="F58" s="10">
        <v>249651</v>
      </c>
      <c r="G58" s="11">
        <v>8.5000000000000006E-2</v>
      </c>
      <c r="H58" s="11">
        <v>0.51400000000000001</v>
      </c>
      <c r="I58" s="10">
        <v>1165962200</v>
      </c>
      <c r="J58" s="12" t="s">
        <v>923</v>
      </c>
      <c r="K58" s="10">
        <v>128343</v>
      </c>
      <c r="L58" s="12" t="s">
        <v>924</v>
      </c>
      <c r="M58" s="10">
        <v>73830512364</v>
      </c>
      <c r="N58" s="10">
        <v>8502126</v>
      </c>
      <c r="O58" s="12">
        <v>4</v>
      </c>
    </row>
    <row r="59" spans="1:15" ht="40.5" x14ac:dyDescent="0.3">
      <c r="A59" s="9">
        <v>43458</v>
      </c>
      <c r="B59" s="12">
        <v>784</v>
      </c>
      <c r="C59" s="11">
        <v>0.106</v>
      </c>
      <c r="D59" s="10">
        <v>1784</v>
      </c>
      <c r="E59" s="11">
        <v>9.2999999999999999E-2</v>
      </c>
      <c r="F59" s="10">
        <v>248647</v>
      </c>
      <c r="G59" s="11">
        <v>8.3000000000000004E-2</v>
      </c>
      <c r="H59" s="11">
        <v>0.48199999999999998</v>
      </c>
      <c r="I59" s="10">
        <v>974195300</v>
      </c>
      <c r="J59" s="12" t="s">
        <v>925</v>
      </c>
      <c r="K59" s="10">
        <v>119923</v>
      </c>
      <c r="L59" s="12" t="s">
        <v>926</v>
      </c>
      <c r="M59" s="10">
        <v>74804707664</v>
      </c>
      <c r="N59" s="10">
        <v>8622049</v>
      </c>
      <c r="O59" s="12">
        <v>3</v>
      </c>
    </row>
    <row r="60" spans="1:15" ht="27" x14ac:dyDescent="0.3">
      <c r="A60" s="9">
        <v>43459</v>
      </c>
      <c r="B60" s="12">
        <v>687</v>
      </c>
      <c r="C60" s="11">
        <v>9.2999999999999999E-2</v>
      </c>
      <c r="D60" s="10">
        <v>1545</v>
      </c>
      <c r="E60" s="11">
        <v>7.6999999999999999E-2</v>
      </c>
      <c r="F60" s="10">
        <v>217166</v>
      </c>
      <c r="G60" s="11">
        <v>6.9000000000000006E-2</v>
      </c>
      <c r="H60" s="11">
        <v>0.66300000000000003</v>
      </c>
      <c r="I60" s="10">
        <v>1295938800</v>
      </c>
      <c r="J60" s="12" t="s">
        <v>927</v>
      </c>
      <c r="K60" s="10">
        <v>143949</v>
      </c>
      <c r="L60" s="12" t="s">
        <v>928</v>
      </c>
      <c r="M60" s="10">
        <v>76100646464</v>
      </c>
      <c r="N60" s="10">
        <v>8765998</v>
      </c>
      <c r="O60" s="12">
        <v>6</v>
      </c>
    </row>
    <row r="61" spans="1:15" ht="40.5" x14ac:dyDescent="0.3">
      <c r="A61" s="9">
        <v>43460</v>
      </c>
      <c r="B61" s="12">
        <v>551</v>
      </c>
      <c r="C61" s="11">
        <v>8.3000000000000004E-2</v>
      </c>
      <c r="D61" s="10">
        <v>1135</v>
      </c>
      <c r="E61" s="11">
        <v>6.0999999999999999E-2</v>
      </c>
      <c r="F61" s="10">
        <v>152070</v>
      </c>
      <c r="G61" s="11">
        <v>5.1999999999999998E-2</v>
      </c>
      <c r="H61" s="11">
        <v>0.35299999999999998</v>
      </c>
      <c r="I61" s="10">
        <v>373959650</v>
      </c>
      <c r="J61" s="12" t="s">
        <v>929</v>
      </c>
      <c r="K61" s="10">
        <v>53678</v>
      </c>
      <c r="L61" s="12" t="s">
        <v>930</v>
      </c>
      <c r="M61" s="10">
        <v>76474606114</v>
      </c>
      <c r="N61" s="10">
        <v>8819676</v>
      </c>
      <c r="O61" s="12">
        <v>5</v>
      </c>
    </row>
    <row r="62" spans="1:15" ht="27" x14ac:dyDescent="0.3">
      <c r="A62" s="9">
        <v>43461</v>
      </c>
      <c r="B62" s="12">
        <v>595</v>
      </c>
      <c r="C62" s="11">
        <v>8.8999999999999996E-2</v>
      </c>
      <c r="D62" s="10">
        <v>1259</v>
      </c>
      <c r="E62" s="11">
        <v>6.8000000000000005E-2</v>
      </c>
      <c r="F62" s="10">
        <v>176543</v>
      </c>
      <c r="G62" s="11">
        <v>6.0999999999999999E-2</v>
      </c>
      <c r="H62" s="11">
        <v>0.23899999999999999</v>
      </c>
      <c r="I62" s="10">
        <v>344282000</v>
      </c>
      <c r="J62" s="12" t="s">
        <v>931</v>
      </c>
      <c r="K62" s="10">
        <v>42277</v>
      </c>
      <c r="L62" s="12" t="s">
        <v>932</v>
      </c>
      <c r="M62" s="10">
        <v>76818888114</v>
      </c>
      <c r="N62" s="10">
        <v>8861953</v>
      </c>
      <c r="O62" s="12">
        <v>4</v>
      </c>
    </row>
    <row r="63" spans="1:15" ht="27" x14ac:dyDescent="0.3">
      <c r="A63" s="9">
        <v>43462</v>
      </c>
      <c r="B63" s="12">
        <v>636</v>
      </c>
      <c r="C63" s="11">
        <v>9.1999999999999998E-2</v>
      </c>
      <c r="D63" s="10">
        <v>1411</v>
      </c>
      <c r="E63" s="11">
        <v>7.4999999999999997E-2</v>
      </c>
      <c r="F63" s="10">
        <v>194850</v>
      </c>
      <c r="G63" s="11">
        <v>6.6000000000000003E-2</v>
      </c>
      <c r="H63" s="11">
        <v>0.26900000000000002</v>
      </c>
      <c r="I63" s="10">
        <v>475833308</v>
      </c>
      <c r="J63" s="12" t="s">
        <v>933</v>
      </c>
      <c r="K63" s="10">
        <v>52379</v>
      </c>
      <c r="L63" s="12" t="s">
        <v>934</v>
      </c>
      <c r="M63" s="10">
        <v>77294721422</v>
      </c>
      <c r="N63" s="10">
        <v>8914332</v>
      </c>
      <c r="O63" s="12">
        <v>4</v>
      </c>
    </row>
    <row r="64" spans="1:15" ht="27" x14ac:dyDescent="0.3">
      <c r="A64" s="9">
        <v>43463</v>
      </c>
      <c r="B64" s="12">
        <v>675</v>
      </c>
      <c r="C64" s="11">
        <v>9.1999999999999998E-2</v>
      </c>
      <c r="D64" s="10">
        <v>1538</v>
      </c>
      <c r="E64" s="11">
        <v>7.8E-2</v>
      </c>
      <c r="F64" s="10">
        <v>218143</v>
      </c>
      <c r="G64" s="11">
        <v>7.0999999999999994E-2</v>
      </c>
      <c r="H64" s="11">
        <v>0.439</v>
      </c>
      <c r="I64" s="10">
        <v>874750873</v>
      </c>
      <c r="J64" s="12" t="s">
        <v>935</v>
      </c>
      <c r="K64" s="10">
        <v>95696</v>
      </c>
      <c r="L64" s="12" t="s">
        <v>936</v>
      </c>
      <c r="M64" s="10">
        <v>78169472295</v>
      </c>
      <c r="N64" s="10">
        <v>9010028</v>
      </c>
      <c r="O64" s="12">
        <v>4</v>
      </c>
    </row>
    <row r="65" spans="1:15" ht="27" x14ac:dyDescent="0.3">
      <c r="A65" s="9">
        <v>43464</v>
      </c>
      <c r="B65" s="12">
        <v>674</v>
      </c>
      <c r="C65" s="11">
        <v>9.2999999999999999E-2</v>
      </c>
      <c r="D65" s="10">
        <v>1594</v>
      </c>
      <c r="E65" s="11">
        <v>8.2000000000000003E-2</v>
      </c>
      <c r="F65" s="10">
        <v>225892</v>
      </c>
      <c r="G65" s="11">
        <v>7.4999999999999997E-2</v>
      </c>
      <c r="H65" s="11">
        <v>0.47899999999999998</v>
      </c>
      <c r="I65" s="10">
        <v>982429250</v>
      </c>
      <c r="J65" s="12" t="s">
        <v>937</v>
      </c>
      <c r="K65" s="10">
        <v>108106</v>
      </c>
      <c r="L65" s="12" t="s">
        <v>938</v>
      </c>
      <c r="M65" s="10">
        <v>79151901545</v>
      </c>
      <c r="N65" s="10">
        <v>9118134</v>
      </c>
      <c r="O65" s="12">
        <v>4</v>
      </c>
    </row>
    <row r="66" spans="1:15" ht="40.5" x14ac:dyDescent="0.3">
      <c r="A66" s="9">
        <v>43465</v>
      </c>
      <c r="B66" s="12">
        <v>684</v>
      </c>
      <c r="C66" s="11">
        <v>9.9000000000000005E-2</v>
      </c>
      <c r="D66" s="10">
        <v>1760</v>
      </c>
      <c r="E66" s="11">
        <v>9.0999999999999998E-2</v>
      </c>
      <c r="F66" s="10">
        <v>251890</v>
      </c>
      <c r="G66" s="11">
        <v>8.4000000000000005E-2</v>
      </c>
      <c r="H66" s="11">
        <v>0.42299999999999999</v>
      </c>
      <c r="I66" s="10">
        <v>858538800</v>
      </c>
      <c r="J66" s="12" t="s">
        <v>939</v>
      </c>
      <c r="K66" s="10">
        <v>106448</v>
      </c>
      <c r="L66" s="12" t="s">
        <v>940</v>
      </c>
      <c r="M66" s="10">
        <v>80010440345</v>
      </c>
      <c r="N66" s="10">
        <v>9224582</v>
      </c>
      <c r="O66" s="12">
        <v>4</v>
      </c>
    </row>
    <row r="67" spans="1:15" ht="27" x14ac:dyDescent="0.3">
      <c r="A67" s="9">
        <v>43466</v>
      </c>
      <c r="B67" s="12">
        <v>732</v>
      </c>
      <c r="C67" s="11">
        <v>0.10199999999999999</v>
      </c>
      <c r="D67" s="10">
        <v>1872</v>
      </c>
      <c r="E67" s="11">
        <v>9.6000000000000002E-2</v>
      </c>
      <c r="F67" s="10">
        <v>276693</v>
      </c>
      <c r="G67" s="11">
        <v>9.1999999999999998E-2</v>
      </c>
      <c r="H67" s="11">
        <v>0.49099999999999999</v>
      </c>
      <c r="I67" s="10">
        <v>1236738450</v>
      </c>
      <c r="J67" s="12" t="s">
        <v>941</v>
      </c>
      <c r="K67" s="10">
        <v>135879</v>
      </c>
      <c r="L67" s="12" t="s">
        <v>942</v>
      </c>
      <c r="M67" s="10">
        <v>81247178795</v>
      </c>
      <c r="N67" s="10">
        <v>9360461</v>
      </c>
      <c r="O67" s="12">
        <v>3</v>
      </c>
    </row>
    <row r="68" spans="1:15" ht="40.5" x14ac:dyDescent="0.3">
      <c r="A68" s="9">
        <v>43467</v>
      </c>
      <c r="B68" s="12">
        <v>693</v>
      </c>
      <c r="C68" s="11">
        <v>0.10199999999999999</v>
      </c>
      <c r="D68" s="10">
        <v>1836</v>
      </c>
      <c r="E68" s="11">
        <v>0.1</v>
      </c>
      <c r="F68" s="10">
        <v>276768</v>
      </c>
      <c r="G68" s="11">
        <v>9.7000000000000003E-2</v>
      </c>
      <c r="H68" s="11">
        <v>0.14799999999999999</v>
      </c>
      <c r="I68" s="10">
        <v>330326950</v>
      </c>
      <c r="J68" s="12" t="s">
        <v>943</v>
      </c>
      <c r="K68" s="10">
        <v>40954</v>
      </c>
      <c r="L68" s="12" t="s">
        <v>944</v>
      </c>
      <c r="M68" s="10">
        <v>81577505745</v>
      </c>
      <c r="N68" s="10">
        <v>9401415</v>
      </c>
      <c r="O68" s="12">
        <v>3</v>
      </c>
    </row>
    <row r="69" spans="1:15" ht="27" x14ac:dyDescent="0.3">
      <c r="A69" s="9">
        <v>43468</v>
      </c>
      <c r="B69" s="12">
        <v>652</v>
      </c>
      <c r="C69" s="11">
        <v>9.2999999999999999E-2</v>
      </c>
      <c r="D69" s="10">
        <v>1711</v>
      </c>
      <c r="E69" s="11">
        <v>9.2999999999999999E-2</v>
      </c>
      <c r="F69" s="10">
        <v>262074</v>
      </c>
      <c r="G69" s="11">
        <v>9.0999999999999998E-2</v>
      </c>
      <c r="H69" s="11">
        <v>0.125</v>
      </c>
      <c r="I69" s="10">
        <v>267494700</v>
      </c>
      <c r="J69" s="12" t="s">
        <v>945</v>
      </c>
      <c r="K69" s="10">
        <v>32889</v>
      </c>
      <c r="L69" s="12" t="s">
        <v>946</v>
      </c>
      <c r="M69" s="10">
        <v>81845000445</v>
      </c>
      <c r="N69" s="10">
        <v>9434304</v>
      </c>
      <c r="O69" s="12">
        <v>4</v>
      </c>
    </row>
    <row r="70" spans="1:15" ht="27" x14ac:dyDescent="0.3">
      <c r="A70" s="9">
        <v>43469</v>
      </c>
      <c r="B70" s="12">
        <v>657</v>
      </c>
      <c r="C70" s="11">
        <v>9.4E-2</v>
      </c>
      <c r="D70" s="10">
        <v>1828</v>
      </c>
      <c r="E70" s="11">
        <v>9.7000000000000003E-2</v>
      </c>
      <c r="F70" s="10">
        <v>281443</v>
      </c>
      <c r="G70" s="11">
        <v>9.6000000000000002E-2</v>
      </c>
      <c r="H70" s="11">
        <v>0.13700000000000001</v>
      </c>
      <c r="I70" s="10">
        <v>351188900</v>
      </c>
      <c r="J70" s="12" t="s">
        <v>947</v>
      </c>
      <c r="K70" s="10">
        <v>38528</v>
      </c>
      <c r="L70" s="12" t="s">
        <v>948</v>
      </c>
      <c r="M70" s="10">
        <v>82196189345</v>
      </c>
      <c r="N70" s="10">
        <v>9472832</v>
      </c>
      <c r="O70" s="12">
        <v>3</v>
      </c>
    </row>
    <row r="71" spans="1:15" ht="27" x14ac:dyDescent="0.3">
      <c r="A71" s="9">
        <v>43470</v>
      </c>
      <c r="B71" s="12">
        <v>708</v>
      </c>
      <c r="C71" s="11">
        <v>9.0999999999999998E-2</v>
      </c>
      <c r="D71" s="10">
        <v>1828</v>
      </c>
      <c r="E71" s="11">
        <v>9.4E-2</v>
      </c>
      <c r="F71" s="10">
        <v>279070</v>
      </c>
      <c r="G71" s="11">
        <v>9.1999999999999998E-2</v>
      </c>
      <c r="H71" s="11">
        <v>0.26700000000000002</v>
      </c>
      <c r="I71" s="10">
        <v>683046150</v>
      </c>
      <c r="J71" s="12" t="s">
        <v>949</v>
      </c>
      <c r="K71" s="10">
        <v>74552</v>
      </c>
      <c r="L71" s="12" t="s">
        <v>950</v>
      </c>
      <c r="M71" s="10">
        <v>82879235495</v>
      </c>
      <c r="N71" s="10">
        <v>9547384</v>
      </c>
      <c r="O71" s="12">
        <v>3</v>
      </c>
    </row>
    <row r="72" spans="1:15" ht="40.5" x14ac:dyDescent="0.3">
      <c r="A72" s="9">
        <v>43471</v>
      </c>
      <c r="B72" s="12">
        <v>701</v>
      </c>
      <c r="C72" s="11">
        <v>0.09</v>
      </c>
      <c r="D72" s="10">
        <v>1788</v>
      </c>
      <c r="E72" s="11">
        <v>9.4E-2</v>
      </c>
      <c r="F72" s="10">
        <v>274699</v>
      </c>
      <c r="G72" s="11">
        <v>9.2999999999999999E-2</v>
      </c>
      <c r="H72" s="11">
        <v>0.22900000000000001</v>
      </c>
      <c r="I72" s="10">
        <v>570969800</v>
      </c>
      <c r="J72" s="12" t="s">
        <v>951</v>
      </c>
      <c r="K72" s="10">
        <v>63005</v>
      </c>
      <c r="L72" s="12" t="s">
        <v>952</v>
      </c>
      <c r="M72" s="10">
        <v>83450205295</v>
      </c>
      <c r="N72" s="10">
        <v>9610389</v>
      </c>
      <c r="O72" s="12">
        <v>3</v>
      </c>
    </row>
    <row r="73" spans="1:15" ht="40.5" x14ac:dyDescent="0.3">
      <c r="A73" s="9">
        <v>43472</v>
      </c>
      <c r="B73" s="12">
        <v>635</v>
      </c>
      <c r="C73" s="11">
        <v>9.4E-2</v>
      </c>
      <c r="D73" s="10">
        <v>1803</v>
      </c>
      <c r="E73" s="11">
        <v>0.10199999999999999</v>
      </c>
      <c r="F73" s="10">
        <v>275630</v>
      </c>
      <c r="G73" s="11">
        <v>0.1</v>
      </c>
      <c r="H73" s="11">
        <v>9.5000000000000001E-2</v>
      </c>
      <c r="I73" s="10">
        <v>213124500</v>
      </c>
      <c r="J73" s="12" t="s">
        <v>953</v>
      </c>
      <c r="K73" s="10">
        <v>26315</v>
      </c>
      <c r="L73" s="12" t="s">
        <v>954</v>
      </c>
      <c r="M73" s="10">
        <v>83663329795</v>
      </c>
      <c r="N73" s="10">
        <v>9636704</v>
      </c>
      <c r="O73" s="12">
        <v>3</v>
      </c>
    </row>
    <row r="74" spans="1:15" ht="27" x14ac:dyDescent="0.3">
      <c r="A74" s="9">
        <v>43473</v>
      </c>
      <c r="B74" s="12">
        <v>653</v>
      </c>
      <c r="C74" s="11">
        <v>9.4E-2</v>
      </c>
      <c r="D74" s="10">
        <v>1807</v>
      </c>
      <c r="E74" s="11">
        <v>0.10199999999999999</v>
      </c>
      <c r="F74" s="10">
        <v>276481</v>
      </c>
      <c r="G74" s="11">
        <v>0.1</v>
      </c>
      <c r="H74" s="11">
        <v>0.10299999999999999</v>
      </c>
      <c r="I74" s="10">
        <v>229529100</v>
      </c>
      <c r="J74" s="12" t="s">
        <v>955</v>
      </c>
      <c r="K74" s="10">
        <v>28415</v>
      </c>
      <c r="L74" s="12" t="s">
        <v>956</v>
      </c>
      <c r="M74" s="10">
        <v>83892858895</v>
      </c>
      <c r="N74" s="10">
        <v>9665119</v>
      </c>
      <c r="O74" s="12">
        <v>3</v>
      </c>
    </row>
    <row r="75" spans="1:15" ht="27" x14ac:dyDescent="0.3">
      <c r="A75" s="9">
        <v>43474</v>
      </c>
      <c r="B75" s="12">
        <v>517</v>
      </c>
      <c r="C75" s="11">
        <v>8.5000000000000006E-2</v>
      </c>
      <c r="D75" s="10">
        <v>1135</v>
      </c>
      <c r="E75" s="11">
        <v>6.4000000000000001E-2</v>
      </c>
      <c r="F75" s="10">
        <v>161152</v>
      </c>
      <c r="G75" s="11">
        <v>5.8000000000000003E-2</v>
      </c>
      <c r="H75" s="11">
        <v>0.11799999999999999</v>
      </c>
      <c r="I75" s="10">
        <v>155566300</v>
      </c>
      <c r="J75" s="12" t="s">
        <v>957</v>
      </c>
      <c r="K75" s="10">
        <v>18969</v>
      </c>
      <c r="L75" s="12" t="s">
        <v>958</v>
      </c>
      <c r="M75" s="10">
        <v>84048425195</v>
      </c>
      <c r="N75" s="10">
        <v>9684088</v>
      </c>
      <c r="O75" s="12">
        <v>5</v>
      </c>
    </row>
    <row r="76" spans="1:15" ht="27" x14ac:dyDescent="0.3">
      <c r="A76" s="9">
        <v>43475</v>
      </c>
      <c r="B76" s="12">
        <v>511</v>
      </c>
      <c r="C76" s="11">
        <v>7.5999999999999998E-2</v>
      </c>
      <c r="D76" s="12">
        <v>995</v>
      </c>
      <c r="E76" s="11">
        <v>5.3999999999999999E-2</v>
      </c>
      <c r="F76" s="10">
        <v>142641</v>
      </c>
      <c r="G76" s="11">
        <v>0.05</v>
      </c>
      <c r="H76" s="11">
        <v>0.12</v>
      </c>
      <c r="I76" s="10">
        <v>141139500</v>
      </c>
      <c r="J76" s="12" t="s">
        <v>959</v>
      </c>
      <c r="K76" s="10">
        <v>17054</v>
      </c>
      <c r="L76" s="12" t="s">
        <v>960</v>
      </c>
      <c r="M76" s="10">
        <v>84189564695</v>
      </c>
      <c r="N76" s="10">
        <v>9701142</v>
      </c>
      <c r="O76" s="12">
        <v>6</v>
      </c>
    </row>
    <row r="77" spans="1:15" ht="27" x14ac:dyDescent="0.3">
      <c r="A77" s="9">
        <v>43476</v>
      </c>
      <c r="B77" s="12">
        <v>521</v>
      </c>
      <c r="C77" s="11">
        <v>7.5999999999999998E-2</v>
      </c>
      <c r="D77" s="12">
        <v>974</v>
      </c>
      <c r="E77" s="11">
        <v>5.1999999999999998E-2</v>
      </c>
      <c r="F77" s="10">
        <v>140945</v>
      </c>
      <c r="G77" s="11">
        <v>4.8000000000000001E-2</v>
      </c>
      <c r="H77" s="11">
        <v>0.13800000000000001</v>
      </c>
      <c r="I77" s="10">
        <v>178498150</v>
      </c>
      <c r="J77" s="12" t="s">
        <v>961</v>
      </c>
      <c r="K77" s="10">
        <v>19441</v>
      </c>
      <c r="L77" s="12" t="s">
        <v>962</v>
      </c>
      <c r="M77" s="10">
        <v>84368062845</v>
      </c>
      <c r="N77" s="10">
        <v>9720583</v>
      </c>
      <c r="O77" s="12">
        <v>6</v>
      </c>
    </row>
    <row r="78" spans="1:15" ht="27" x14ac:dyDescent="0.3">
      <c r="A78" s="9">
        <v>43477</v>
      </c>
      <c r="B78" s="12">
        <v>502</v>
      </c>
      <c r="C78" s="11">
        <v>7.0999999999999994E-2</v>
      </c>
      <c r="D78" s="12">
        <v>930</v>
      </c>
      <c r="E78" s="11">
        <v>4.7E-2</v>
      </c>
      <c r="F78" s="10">
        <v>125858</v>
      </c>
      <c r="G78" s="11">
        <v>4.1000000000000002E-2</v>
      </c>
      <c r="H78" s="11">
        <v>0.27900000000000003</v>
      </c>
      <c r="I78" s="10">
        <v>325379510</v>
      </c>
      <c r="J78" s="12" t="s">
        <v>963</v>
      </c>
      <c r="K78" s="10">
        <v>35064</v>
      </c>
      <c r="L78" s="12" t="s">
        <v>964</v>
      </c>
      <c r="M78" s="10">
        <v>84693442355</v>
      </c>
      <c r="N78" s="10">
        <v>9755647</v>
      </c>
      <c r="O78" s="12">
        <v>6</v>
      </c>
    </row>
    <row r="79" spans="1:15" ht="27" x14ac:dyDescent="0.3">
      <c r="A79" s="9">
        <v>43478</v>
      </c>
      <c r="B79" s="12">
        <v>504</v>
      </c>
      <c r="C79" s="11">
        <v>7.1999999999999995E-2</v>
      </c>
      <c r="D79" s="12">
        <v>911</v>
      </c>
      <c r="E79" s="11">
        <v>4.8000000000000001E-2</v>
      </c>
      <c r="F79" s="10">
        <v>124983</v>
      </c>
      <c r="G79" s="11">
        <v>4.2000000000000003E-2</v>
      </c>
      <c r="H79" s="11">
        <v>0.24</v>
      </c>
      <c r="I79" s="10">
        <v>277610030</v>
      </c>
      <c r="J79" s="12" t="s">
        <v>965</v>
      </c>
      <c r="K79" s="10">
        <v>30032</v>
      </c>
      <c r="L79" s="12" t="s">
        <v>966</v>
      </c>
      <c r="M79" s="10">
        <v>84971052385</v>
      </c>
      <c r="N79" s="10">
        <v>9785679</v>
      </c>
      <c r="O79" s="12">
        <v>6</v>
      </c>
    </row>
    <row r="80" spans="1:15" ht="40.5" x14ac:dyDescent="0.3">
      <c r="A80" s="9">
        <v>43479</v>
      </c>
      <c r="B80" s="12">
        <v>490</v>
      </c>
      <c r="C80" s="11">
        <v>7.6999999999999999E-2</v>
      </c>
      <c r="D80" s="12">
        <v>931</v>
      </c>
      <c r="E80" s="11">
        <v>5.1999999999999998E-2</v>
      </c>
      <c r="F80" s="10">
        <v>130830</v>
      </c>
      <c r="G80" s="11">
        <v>4.7E-2</v>
      </c>
      <c r="H80" s="11">
        <v>9.6000000000000002E-2</v>
      </c>
      <c r="I80" s="10">
        <v>102923270</v>
      </c>
      <c r="J80" s="12" t="s">
        <v>967</v>
      </c>
      <c r="K80" s="10">
        <v>12508</v>
      </c>
      <c r="L80" s="12" t="s">
        <v>968</v>
      </c>
      <c r="M80" s="10">
        <v>85073975655</v>
      </c>
      <c r="N80" s="10">
        <v>9798187</v>
      </c>
      <c r="O80" s="12">
        <v>5</v>
      </c>
    </row>
    <row r="81" spans="1:15" ht="27" x14ac:dyDescent="0.3">
      <c r="A81" s="9">
        <v>43480</v>
      </c>
      <c r="B81" s="12">
        <v>505</v>
      </c>
      <c r="C81" s="11">
        <v>7.6999999999999999E-2</v>
      </c>
      <c r="D81" s="12">
        <v>950</v>
      </c>
      <c r="E81" s="11">
        <v>5.2999999999999999E-2</v>
      </c>
      <c r="F81" s="10">
        <v>134345</v>
      </c>
      <c r="G81" s="11">
        <v>4.8000000000000001E-2</v>
      </c>
      <c r="H81" s="11">
        <v>0.1</v>
      </c>
      <c r="I81" s="10">
        <v>110978000</v>
      </c>
      <c r="J81" s="12" t="s">
        <v>969</v>
      </c>
      <c r="K81" s="10">
        <v>13438</v>
      </c>
      <c r="L81" s="12" t="s">
        <v>970</v>
      </c>
      <c r="M81" s="10">
        <v>85184953655</v>
      </c>
      <c r="N81" s="10">
        <v>9811625</v>
      </c>
      <c r="O81" s="12">
        <v>5</v>
      </c>
    </row>
    <row r="82" spans="1:15" ht="27" x14ac:dyDescent="0.3">
      <c r="A82" s="9">
        <v>43481</v>
      </c>
      <c r="B82" s="12">
        <v>324</v>
      </c>
      <c r="C82" s="11">
        <v>4.5999999999999999E-2</v>
      </c>
      <c r="D82" s="12">
        <v>554</v>
      </c>
      <c r="E82" s="11">
        <v>3.1E-2</v>
      </c>
      <c r="F82" s="10">
        <v>79004</v>
      </c>
      <c r="G82" s="11">
        <v>2.8000000000000001E-2</v>
      </c>
      <c r="H82" s="11">
        <v>0.11799999999999999</v>
      </c>
      <c r="I82" s="10">
        <v>77700940</v>
      </c>
      <c r="J82" s="12" t="s">
        <v>971</v>
      </c>
      <c r="K82" s="10">
        <v>9316</v>
      </c>
      <c r="L82" s="12" t="s">
        <v>972</v>
      </c>
      <c r="M82" s="10">
        <v>85262654595</v>
      </c>
      <c r="N82" s="10">
        <v>9820941</v>
      </c>
      <c r="O82" s="12">
        <v>9</v>
      </c>
    </row>
    <row r="83" spans="1:15" ht="27" x14ac:dyDescent="0.3">
      <c r="A83" s="9">
        <v>43482</v>
      </c>
      <c r="B83" s="12">
        <v>241</v>
      </c>
      <c r="C83" s="11">
        <v>3.3000000000000002E-2</v>
      </c>
      <c r="D83" s="12">
        <v>332</v>
      </c>
      <c r="E83" s="11">
        <v>1.7999999999999999E-2</v>
      </c>
      <c r="F83" s="10">
        <v>44893</v>
      </c>
      <c r="G83" s="11">
        <v>1.6E-2</v>
      </c>
      <c r="H83" s="11">
        <v>0.155</v>
      </c>
      <c r="I83" s="10">
        <v>56880690</v>
      </c>
      <c r="J83" s="12" t="s">
        <v>973</v>
      </c>
      <c r="K83" s="10">
        <v>6954</v>
      </c>
      <c r="L83" s="12" t="s">
        <v>974</v>
      </c>
      <c r="M83" s="10">
        <v>85319535285</v>
      </c>
      <c r="N83" s="10">
        <v>9827895</v>
      </c>
      <c r="O83" s="12">
        <v>10</v>
      </c>
    </row>
    <row r="84" spans="1:15" ht="27" x14ac:dyDescent="0.3">
      <c r="A84" s="9">
        <v>43483</v>
      </c>
      <c r="B84" s="12">
        <v>272</v>
      </c>
      <c r="C84" s="11">
        <v>3.6999999999999998E-2</v>
      </c>
      <c r="D84" s="12">
        <v>379</v>
      </c>
      <c r="E84" s="11">
        <v>2.1000000000000001E-2</v>
      </c>
      <c r="F84" s="10">
        <v>51347</v>
      </c>
      <c r="G84" s="11">
        <v>1.7999999999999999E-2</v>
      </c>
      <c r="H84" s="11">
        <v>0.16600000000000001</v>
      </c>
      <c r="I84" s="10">
        <v>77849680</v>
      </c>
      <c r="J84" s="12" t="s">
        <v>975</v>
      </c>
      <c r="K84" s="10">
        <v>8529</v>
      </c>
      <c r="L84" s="12" t="s">
        <v>976</v>
      </c>
      <c r="M84" s="10">
        <v>85397384965</v>
      </c>
      <c r="N84" s="10">
        <v>9836424</v>
      </c>
      <c r="O84" s="12">
        <v>8</v>
      </c>
    </row>
    <row r="85" spans="1:15" ht="27" x14ac:dyDescent="0.3">
      <c r="A85" s="9">
        <v>43484</v>
      </c>
      <c r="B85" s="12">
        <v>285</v>
      </c>
      <c r="C85" s="11">
        <v>3.6999999999999998E-2</v>
      </c>
      <c r="D85" s="12">
        <v>446</v>
      </c>
      <c r="E85" s="11">
        <v>2.3E-2</v>
      </c>
      <c r="F85" s="10">
        <v>58733</v>
      </c>
      <c r="G85" s="11">
        <v>1.9E-2</v>
      </c>
      <c r="H85" s="11">
        <v>0.27500000000000002</v>
      </c>
      <c r="I85" s="10">
        <v>150645160</v>
      </c>
      <c r="J85" s="12" t="s">
        <v>977</v>
      </c>
      <c r="K85" s="10">
        <v>16174</v>
      </c>
      <c r="L85" s="12" t="s">
        <v>978</v>
      </c>
      <c r="M85" s="10">
        <v>85548030125</v>
      </c>
      <c r="N85" s="10">
        <v>9852598</v>
      </c>
      <c r="O85" s="12">
        <v>9</v>
      </c>
    </row>
    <row r="86" spans="1:15" ht="27" x14ac:dyDescent="0.3">
      <c r="A86" s="9">
        <v>43485</v>
      </c>
      <c r="B86" s="12">
        <v>291</v>
      </c>
      <c r="C86" s="11">
        <v>3.7999999999999999E-2</v>
      </c>
      <c r="D86" s="12">
        <v>444</v>
      </c>
      <c r="E86" s="11">
        <v>2.3E-2</v>
      </c>
      <c r="F86" s="10">
        <v>59188</v>
      </c>
      <c r="G86" s="11">
        <v>0.02</v>
      </c>
      <c r="H86" s="11">
        <v>0.24</v>
      </c>
      <c r="I86" s="10">
        <v>130942330</v>
      </c>
      <c r="J86" s="12" t="s">
        <v>979</v>
      </c>
      <c r="K86" s="10">
        <v>14212</v>
      </c>
      <c r="L86" s="12" t="s">
        <v>980</v>
      </c>
      <c r="M86" s="10">
        <v>85678972455</v>
      </c>
      <c r="N86" s="10">
        <v>9866810</v>
      </c>
      <c r="O86" s="12">
        <v>9</v>
      </c>
    </row>
    <row r="87" spans="1:15" ht="27" x14ac:dyDescent="0.3">
      <c r="A87" s="9">
        <v>43486</v>
      </c>
      <c r="B87" s="12">
        <v>304</v>
      </c>
      <c r="C87" s="11">
        <v>4.3999999999999997E-2</v>
      </c>
      <c r="D87" s="12">
        <v>532</v>
      </c>
      <c r="E87" s="11">
        <v>3.1E-2</v>
      </c>
      <c r="F87" s="10">
        <v>75218</v>
      </c>
      <c r="G87" s="11">
        <v>2.8000000000000001E-2</v>
      </c>
      <c r="H87" s="11">
        <v>9.9000000000000005E-2</v>
      </c>
      <c r="I87" s="10">
        <v>52915610</v>
      </c>
      <c r="J87" s="12" t="s">
        <v>981</v>
      </c>
      <c r="K87" s="10">
        <v>7459</v>
      </c>
      <c r="L87" s="12" t="s">
        <v>982</v>
      </c>
      <c r="M87" s="10">
        <v>85731888065</v>
      </c>
      <c r="N87" s="10">
        <v>9874269</v>
      </c>
      <c r="O87" s="12">
        <v>6</v>
      </c>
    </row>
    <row r="88" spans="1:15" ht="27" x14ac:dyDescent="0.3">
      <c r="A88" s="9">
        <v>43487</v>
      </c>
      <c r="B88" s="12">
        <v>324</v>
      </c>
      <c r="C88" s="11">
        <v>4.4999999999999998E-2</v>
      </c>
      <c r="D88" s="12">
        <v>555</v>
      </c>
      <c r="E88" s="11">
        <v>3.2000000000000001E-2</v>
      </c>
      <c r="F88" s="10">
        <v>78753</v>
      </c>
      <c r="G88" s="11">
        <v>2.9000000000000001E-2</v>
      </c>
      <c r="H88" s="11">
        <v>0.106</v>
      </c>
      <c r="I88" s="10">
        <v>59121340</v>
      </c>
      <c r="J88" s="12" t="s">
        <v>983</v>
      </c>
      <c r="K88" s="10">
        <v>8363</v>
      </c>
      <c r="L88" s="12" t="s">
        <v>984</v>
      </c>
      <c r="M88" s="10">
        <v>85791009405</v>
      </c>
      <c r="N88" s="10">
        <v>9882632</v>
      </c>
      <c r="O88" s="12">
        <v>6</v>
      </c>
    </row>
    <row r="89" spans="1:15" ht="27" x14ac:dyDescent="0.3">
      <c r="A89" s="9">
        <v>43488</v>
      </c>
      <c r="B89" s="12">
        <v>228</v>
      </c>
      <c r="C89" s="11">
        <v>3.6999999999999998E-2</v>
      </c>
      <c r="D89" s="12">
        <v>342</v>
      </c>
      <c r="E89" s="11">
        <v>1.9E-2</v>
      </c>
      <c r="F89" s="10">
        <v>44299</v>
      </c>
      <c r="G89" s="11">
        <v>1.4999999999999999E-2</v>
      </c>
      <c r="H89" s="11">
        <v>0.114</v>
      </c>
      <c r="I89" s="10">
        <v>35812660</v>
      </c>
      <c r="J89" s="12" t="s">
        <v>985</v>
      </c>
      <c r="K89" s="10">
        <v>5036</v>
      </c>
      <c r="L89" s="12" t="s">
        <v>986</v>
      </c>
      <c r="M89" s="10">
        <v>85826822065</v>
      </c>
      <c r="N89" s="10">
        <v>9887668</v>
      </c>
      <c r="O89" s="12">
        <v>7</v>
      </c>
    </row>
    <row r="90" spans="1:15" ht="27" x14ac:dyDescent="0.3">
      <c r="A90" s="9">
        <v>43489</v>
      </c>
      <c r="B90" s="12">
        <v>218</v>
      </c>
      <c r="C90" s="11">
        <v>3.5000000000000003E-2</v>
      </c>
      <c r="D90" s="12">
        <v>305</v>
      </c>
      <c r="E90" s="11">
        <v>1.7000000000000001E-2</v>
      </c>
      <c r="F90" s="10">
        <v>40342</v>
      </c>
      <c r="G90" s="11">
        <v>1.4E-2</v>
      </c>
      <c r="H90" s="11">
        <v>0.14599999999999999</v>
      </c>
      <c r="I90" s="10">
        <v>40614490</v>
      </c>
      <c r="J90" s="12" t="s">
        <v>987</v>
      </c>
      <c r="K90" s="10">
        <v>5890</v>
      </c>
      <c r="L90" s="12" t="s">
        <v>988</v>
      </c>
      <c r="M90" s="10">
        <v>85867436555</v>
      </c>
      <c r="N90" s="10">
        <v>9893558</v>
      </c>
      <c r="O90" s="12">
        <v>6</v>
      </c>
    </row>
    <row r="91" spans="1:15" ht="27" x14ac:dyDescent="0.3">
      <c r="A91" s="9">
        <v>43490</v>
      </c>
      <c r="B91" s="12">
        <v>212</v>
      </c>
      <c r="C91" s="11">
        <v>3.4000000000000002E-2</v>
      </c>
      <c r="D91" s="12">
        <v>305</v>
      </c>
      <c r="E91" s="11">
        <v>1.6E-2</v>
      </c>
      <c r="F91" s="10">
        <v>39422</v>
      </c>
      <c r="G91" s="11">
        <v>1.2999999999999999E-2</v>
      </c>
      <c r="H91" s="11">
        <v>0.128</v>
      </c>
      <c r="I91" s="10">
        <v>36732850</v>
      </c>
      <c r="J91" s="12" t="s">
        <v>989</v>
      </c>
      <c r="K91" s="10">
        <v>5062</v>
      </c>
      <c r="L91" s="12" t="s">
        <v>990</v>
      </c>
      <c r="M91" s="10">
        <v>85904169405</v>
      </c>
      <c r="N91" s="10">
        <v>9898620</v>
      </c>
      <c r="O91" s="12">
        <v>7</v>
      </c>
    </row>
    <row r="92" spans="1:15" ht="27" x14ac:dyDescent="0.3">
      <c r="A92" s="9">
        <v>43491</v>
      </c>
      <c r="B92" s="12">
        <v>186</v>
      </c>
      <c r="C92" s="11">
        <v>2.8000000000000001E-2</v>
      </c>
      <c r="D92" s="12">
        <v>264</v>
      </c>
      <c r="E92" s="11">
        <v>1.2999999999999999E-2</v>
      </c>
      <c r="F92" s="10">
        <v>33166</v>
      </c>
      <c r="G92" s="11">
        <v>1.0999999999999999E-2</v>
      </c>
      <c r="H92" s="11">
        <v>0.19900000000000001</v>
      </c>
      <c r="I92" s="10">
        <v>49658570</v>
      </c>
      <c r="J92" s="12" t="s">
        <v>991</v>
      </c>
      <c r="K92" s="10">
        <v>6607</v>
      </c>
      <c r="L92" s="12" t="s">
        <v>992</v>
      </c>
      <c r="M92" s="10">
        <v>85953827975</v>
      </c>
      <c r="N92" s="10">
        <v>9905227</v>
      </c>
      <c r="O92" s="12">
        <v>11</v>
      </c>
    </row>
    <row r="93" spans="1:15" ht="27" x14ac:dyDescent="0.3">
      <c r="A93" s="9">
        <v>43492</v>
      </c>
      <c r="B93" s="12">
        <v>186</v>
      </c>
      <c r="C93" s="11">
        <v>2.9000000000000001E-2</v>
      </c>
      <c r="D93" s="12">
        <v>255</v>
      </c>
      <c r="E93" s="11">
        <v>1.2999999999999999E-2</v>
      </c>
      <c r="F93" s="10">
        <v>32508</v>
      </c>
      <c r="G93" s="11">
        <v>1.0999999999999999E-2</v>
      </c>
      <c r="H93" s="11">
        <v>0.16900000000000001</v>
      </c>
      <c r="I93" s="10">
        <v>40955850</v>
      </c>
      <c r="J93" s="12" t="s">
        <v>993</v>
      </c>
      <c r="K93" s="10">
        <v>5479</v>
      </c>
      <c r="L93" s="12" t="s">
        <v>994</v>
      </c>
      <c r="M93" s="10">
        <v>85994783825</v>
      </c>
      <c r="N93" s="10">
        <v>9910706</v>
      </c>
      <c r="O93" s="12">
        <v>12</v>
      </c>
    </row>
    <row r="94" spans="1:15" ht="27" x14ac:dyDescent="0.3">
      <c r="A94" s="9">
        <v>43493</v>
      </c>
      <c r="B94" s="12">
        <v>200</v>
      </c>
      <c r="C94" s="11">
        <v>3.4000000000000002E-2</v>
      </c>
      <c r="D94" s="12">
        <v>291</v>
      </c>
      <c r="E94" s="11">
        <v>1.6E-2</v>
      </c>
      <c r="F94" s="10">
        <v>37745</v>
      </c>
      <c r="G94" s="11">
        <v>1.2999999999999999E-2</v>
      </c>
      <c r="H94" s="11">
        <v>0.109</v>
      </c>
      <c r="I94" s="10">
        <v>27783180</v>
      </c>
      <c r="J94" s="12" t="s">
        <v>995</v>
      </c>
      <c r="K94" s="10">
        <v>4122</v>
      </c>
      <c r="L94" s="12" t="s">
        <v>996</v>
      </c>
      <c r="M94" s="10">
        <v>86022567005</v>
      </c>
      <c r="N94" s="10">
        <v>9914828</v>
      </c>
      <c r="O94" s="12">
        <v>8</v>
      </c>
    </row>
    <row r="95" spans="1:15" ht="27" x14ac:dyDescent="0.3">
      <c r="A95" s="9">
        <v>43494</v>
      </c>
      <c r="B95" s="12">
        <v>207</v>
      </c>
      <c r="C95" s="11">
        <v>3.4000000000000002E-2</v>
      </c>
      <c r="D95" s="12">
        <v>300</v>
      </c>
      <c r="E95" s="11">
        <v>1.6E-2</v>
      </c>
      <c r="F95" s="10">
        <v>39686</v>
      </c>
      <c r="G95" s="11">
        <v>1.4E-2</v>
      </c>
      <c r="H95" s="11">
        <v>0.14299999999999999</v>
      </c>
      <c r="I95" s="10">
        <v>36896940</v>
      </c>
      <c r="J95" s="12" t="s">
        <v>997</v>
      </c>
      <c r="K95" s="10">
        <v>5666</v>
      </c>
      <c r="L95" s="12" t="s">
        <v>998</v>
      </c>
      <c r="M95" s="10">
        <v>86059463945</v>
      </c>
      <c r="N95" s="10">
        <v>9920494</v>
      </c>
      <c r="O95" s="12">
        <v>6</v>
      </c>
    </row>
    <row r="96" spans="1:15" ht="27" x14ac:dyDescent="0.3">
      <c r="A96" s="9">
        <v>43495</v>
      </c>
      <c r="B96" s="12">
        <v>46</v>
      </c>
      <c r="C96" s="11">
        <v>8.9999999999999993E-3</v>
      </c>
      <c r="D96" s="12">
        <v>54</v>
      </c>
      <c r="E96" s="11">
        <v>3.0000000000000001E-3</v>
      </c>
      <c r="F96" s="10">
        <v>7665</v>
      </c>
      <c r="G96" s="11">
        <v>3.0000000000000001E-3</v>
      </c>
      <c r="H96" s="11">
        <v>0.157</v>
      </c>
      <c r="I96" s="10">
        <v>8659700</v>
      </c>
      <c r="J96" s="12" t="s">
        <v>999</v>
      </c>
      <c r="K96" s="10">
        <v>1206</v>
      </c>
      <c r="L96" s="12" t="s">
        <v>1000</v>
      </c>
      <c r="M96" s="10">
        <v>86068123645</v>
      </c>
      <c r="N96" s="10">
        <v>9921700</v>
      </c>
      <c r="O96" s="12">
        <v>13</v>
      </c>
    </row>
    <row r="97" spans="1:15" ht="27" x14ac:dyDescent="0.3">
      <c r="A97" s="9">
        <v>43496</v>
      </c>
      <c r="B97" s="12">
        <v>39</v>
      </c>
      <c r="C97" s="11">
        <v>7.0000000000000001E-3</v>
      </c>
      <c r="D97" s="12">
        <v>47</v>
      </c>
      <c r="E97" s="11">
        <v>2E-3</v>
      </c>
      <c r="F97" s="10">
        <v>7007</v>
      </c>
      <c r="G97" s="11">
        <v>2E-3</v>
      </c>
      <c r="H97" s="11">
        <v>0.151</v>
      </c>
      <c r="I97" s="10">
        <v>7365300</v>
      </c>
      <c r="J97" s="12" t="s">
        <v>1001</v>
      </c>
      <c r="K97" s="10">
        <v>1056</v>
      </c>
      <c r="L97" s="12" t="s">
        <v>1002</v>
      </c>
      <c r="M97" s="10">
        <v>86075488945</v>
      </c>
      <c r="N97" s="10">
        <v>9922756</v>
      </c>
      <c r="O97" s="12">
        <v>15</v>
      </c>
    </row>
    <row r="98" spans="1:15" ht="27" x14ac:dyDescent="0.3">
      <c r="A98" s="9">
        <v>43497</v>
      </c>
      <c r="B98" s="12">
        <v>40</v>
      </c>
      <c r="C98" s="11">
        <v>7.0000000000000001E-3</v>
      </c>
      <c r="D98" s="12">
        <v>44</v>
      </c>
      <c r="E98" s="11">
        <v>2E-3</v>
      </c>
      <c r="F98" s="10">
        <v>6924</v>
      </c>
      <c r="G98" s="11">
        <v>2E-3</v>
      </c>
      <c r="H98" s="11">
        <v>0.18</v>
      </c>
      <c r="I98" s="10">
        <v>10601550</v>
      </c>
      <c r="J98" s="12" t="s">
        <v>1003</v>
      </c>
      <c r="K98" s="10">
        <v>1243</v>
      </c>
      <c r="L98" s="12" t="s">
        <v>1004</v>
      </c>
      <c r="M98" s="10">
        <v>86086090495</v>
      </c>
      <c r="N98" s="10">
        <v>9923999</v>
      </c>
      <c r="O98" s="12">
        <v>11</v>
      </c>
    </row>
    <row r="99" spans="1:15" ht="27" x14ac:dyDescent="0.3">
      <c r="A99" s="9">
        <v>43498</v>
      </c>
      <c r="B99" s="12">
        <v>34</v>
      </c>
      <c r="C99" s="11">
        <v>6.0000000000000001E-3</v>
      </c>
      <c r="D99" s="12">
        <v>39</v>
      </c>
      <c r="E99" s="11">
        <v>2E-3</v>
      </c>
      <c r="F99" s="10">
        <v>6449</v>
      </c>
      <c r="G99" s="11">
        <v>2E-3</v>
      </c>
      <c r="H99" s="11">
        <v>0.25700000000000001</v>
      </c>
      <c r="I99" s="10">
        <v>14146450</v>
      </c>
      <c r="J99" s="12" t="s">
        <v>1005</v>
      </c>
      <c r="K99" s="10">
        <v>1658</v>
      </c>
      <c r="L99" s="12" t="s">
        <v>1006</v>
      </c>
      <c r="M99" s="10">
        <v>86100236945</v>
      </c>
      <c r="N99" s="10">
        <v>9925657</v>
      </c>
      <c r="O99" s="12">
        <v>13</v>
      </c>
    </row>
    <row r="100" spans="1:15" ht="27" x14ac:dyDescent="0.3">
      <c r="A100" s="9">
        <v>43499</v>
      </c>
      <c r="B100" s="12">
        <v>35</v>
      </c>
      <c r="C100" s="11">
        <v>6.0000000000000001E-3</v>
      </c>
      <c r="D100" s="12">
        <v>43</v>
      </c>
      <c r="E100" s="11">
        <v>2E-3</v>
      </c>
      <c r="F100" s="10">
        <v>7243</v>
      </c>
      <c r="G100" s="11">
        <v>2E-3</v>
      </c>
      <c r="H100" s="11">
        <v>0.24199999999999999</v>
      </c>
      <c r="I100" s="10">
        <v>13661860</v>
      </c>
      <c r="J100" s="12" t="s">
        <v>1007</v>
      </c>
      <c r="K100" s="10">
        <v>1756</v>
      </c>
      <c r="L100" s="12" t="s">
        <v>1008</v>
      </c>
      <c r="M100" s="10">
        <v>86113898805</v>
      </c>
      <c r="N100" s="10">
        <v>9927413</v>
      </c>
      <c r="O100" s="12">
        <v>12</v>
      </c>
    </row>
    <row r="101" spans="1:15" ht="27" x14ac:dyDescent="0.3">
      <c r="A101" s="9">
        <v>43500</v>
      </c>
      <c r="B101" s="12">
        <v>44</v>
      </c>
      <c r="C101" s="11">
        <v>8.0000000000000002E-3</v>
      </c>
      <c r="D101" s="12">
        <v>51</v>
      </c>
      <c r="E101" s="11">
        <v>2E-3</v>
      </c>
      <c r="F101" s="10">
        <v>8296</v>
      </c>
      <c r="G101" s="11">
        <v>3.0000000000000001E-3</v>
      </c>
      <c r="H101" s="11">
        <v>0.24299999999999999</v>
      </c>
      <c r="I101" s="10">
        <v>15782600</v>
      </c>
      <c r="J101" s="12" t="s">
        <v>1009</v>
      </c>
      <c r="K101" s="10">
        <v>2016</v>
      </c>
      <c r="L101" s="12" t="s">
        <v>1010</v>
      </c>
      <c r="M101" s="10">
        <v>86129681405</v>
      </c>
      <c r="N101" s="10">
        <v>9929429</v>
      </c>
      <c r="O101" s="12">
        <v>9</v>
      </c>
    </row>
    <row r="102" spans="1:15" ht="27" x14ac:dyDescent="0.3">
      <c r="A102" s="9">
        <v>43501</v>
      </c>
      <c r="B102" s="12">
        <v>32</v>
      </c>
      <c r="C102" s="11">
        <v>6.0000000000000001E-3</v>
      </c>
      <c r="D102" s="12">
        <v>36</v>
      </c>
      <c r="E102" s="11">
        <v>2E-3</v>
      </c>
      <c r="F102" s="10">
        <v>5900</v>
      </c>
      <c r="G102" s="11">
        <v>2E-3</v>
      </c>
      <c r="H102" s="11">
        <v>0.26800000000000002</v>
      </c>
      <c r="I102" s="10">
        <v>12483100</v>
      </c>
      <c r="J102" s="12" t="s">
        <v>1011</v>
      </c>
      <c r="K102" s="10">
        <v>1581</v>
      </c>
      <c r="L102" s="12" t="s">
        <v>1012</v>
      </c>
      <c r="M102" s="10">
        <v>86142164505</v>
      </c>
      <c r="N102" s="10">
        <v>9931010</v>
      </c>
      <c r="O102" s="12">
        <v>10</v>
      </c>
    </row>
    <row r="103" spans="1:15" ht="27" x14ac:dyDescent="0.3">
      <c r="A103" s="9">
        <v>43502</v>
      </c>
      <c r="B103" s="12">
        <v>34</v>
      </c>
      <c r="C103" s="11">
        <v>6.0000000000000001E-3</v>
      </c>
      <c r="D103" s="12">
        <v>37</v>
      </c>
      <c r="E103" s="11">
        <v>2E-3</v>
      </c>
      <c r="F103" s="10">
        <v>5380</v>
      </c>
      <c r="G103" s="11">
        <v>2E-3</v>
      </c>
      <c r="H103" s="11">
        <v>0.28299999999999997</v>
      </c>
      <c r="I103" s="10">
        <v>11720800</v>
      </c>
      <c r="J103" s="12" t="s">
        <v>1013</v>
      </c>
      <c r="K103" s="10">
        <v>1524</v>
      </c>
      <c r="L103" s="12" t="s">
        <v>1014</v>
      </c>
      <c r="M103" s="10">
        <v>86153885305</v>
      </c>
      <c r="N103" s="10">
        <v>9932534</v>
      </c>
      <c r="O103" s="12">
        <v>11</v>
      </c>
    </row>
    <row r="104" spans="1:15" ht="27" x14ac:dyDescent="0.3">
      <c r="A104" s="9">
        <v>43503</v>
      </c>
      <c r="B104" s="12">
        <v>25</v>
      </c>
      <c r="C104" s="11">
        <v>4.0000000000000001E-3</v>
      </c>
      <c r="D104" s="12">
        <v>27</v>
      </c>
      <c r="E104" s="11">
        <v>1E-3</v>
      </c>
      <c r="F104" s="10">
        <v>4326</v>
      </c>
      <c r="G104" s="11">
        <v>1E-3</v>
      </c>
      <c r="H104" s="11">
        <v>0.19</v>
      </c>
      <c r="I104" s="10">
        <v>6366100</v>
      </c>
      <c r="J104" s="12" t="s">
        <v>1015</v>
      </c>
      <c r="K104" s="12">
        <v>820</v>
      </c>
      <c r="L104" s="12" t="s">
        <v>1016</v>
      </c>
      <c r="M104" s="10">
        <v>86160251405</v>
      </c>
      <c r="N104" s="10">
        <v>9933354</v>
      </c>
      <c r="O104" s="12">
        <v>15</v>
      </c>
    </row>
    <row r="105" spans="1:15" ht="27" x14ac:dyDescent="0.3">
      <c r="A105" s="9">
        <v>43504</v>
      </c>
      <c r="B105" s="12">
        <v>28</v>
      </c>
      <c r="C105" s="11">
        <v>5.0000000000000001E-3</v>
      </c>
      <c r="D105" s="12">
        <v>30</v>
      </c>
      <c r="E105" s="11">
        <v>2E-3</v>
      </c>
      <c r="F105" s="10">
        <v>4898</v>
      </c>
      <c r="G105" s="11">
        <v>2E-3</v>
      </c>
      <c r="H105" s="11">
        <v>0.157</v>
      </c>
      <c r="I105" s="10">
        <v>6563100</v>
      </c>
      <c r="J105" s="12" t="s">
        <v>1017</v>
      </c>
      <c r="K105" s="12">
        <v>768</v>
      </c>
      <c r="L105" s="12" t="s">
        <v>1018</v>
      </c>
      <c r="M105" s="10">
        <v>86166814505</v>
      </c>
      <c r="N105" s="10">
        <v>9934122</v>
      </c>
      <c r="O105" s="12">
        <v>16</v>
      </c>
    </row>
    <row r="106" spans="1:15" ht="27" x14ac:dyDescent="0.3">
      <c r="A106" s="9">
        <v>43505</v>
      </c>
      <c r="B106" s="12">
        <v>24</v>
      </c>
      <c r="C106" s="11">
        <v>4.0000000000000001E-3</v>
      </c>
      <c r="D106" s="12">
        <v>28</v>
      </c>
      <c r="E106" s="11">
        <v>1E-3</v>
      </c>
      <c r="F106" s="10">
        <v>4261</v>
      </c>
      <c r="G106" s="11">
        <v>1E-3</v>
      </c>
      <c r="H106" s="11">
        <v>0.22700000000000001</v>
      </c>
      <c r="I106" s="10">
        <v>7986050</v>
      </c>
      <c r="J106" s="12" t="s">
        <v>1019</v>
      </c>
      <c r="K106" s="12">
        <v>967</v>
      </c>
      <c r="L106" s="12" t="s">
        <v>1020</v>
      </c>
      <c r="M106" s="10">
        <v>86174800555</v>
      </c>
      <c r="N106" s="10">
        <v>9935089</v>
      </c>
      <c r="O106" s="12">
        <v>15</v>
      </c>
    </row>
    <row r="107" spans="1:15" ht="27" x14ac:dyDescent="0.3">
      <c r="A107" s="9">
        <v>43506</v>
      </c>
      <c r="B107" s="12">
        <v>19</v>
      </c>
      <c r="C107" s="11">
        <v>3.0000000000000001E-3</v>
      </c>
      <c r="D107" s="12">
        <v>25</v>
      </c>
      <c r="E107" s="11">
        <v>1E-3</v>
      </c>
      <c r="F107" s="10">
        <v>3824</v>
      </c>
      <c r="G107" s="11">
        <v>1E-3</v>
      </c>
      <c r="H107" s="11">
        <v>0.14000000000000001</v>
      </c>
      <c r="I107" s="10">
        <v>3999600</v>
      </c>
      <c r="J107" s="12" t="s">
        <v>1021</v>
      </c>
      <c r="K107" s="12">
        <v>536</v>
      </c>
      <c r="L107" s="12" t="s">
        <v>1022</v>
      </c>
      <c r="M107" s="10">
        <v>86178800155</v>
      </c>
      <c r="N107" s="10">
        <v>9935625</v>
      </c>
      <c r="O107" s="12">
        <v>16</v>
      </c>
    </row>
    <row r="108" spans="1:15" ht="27" x14ac:dyDescent="0.3">
      <c r="A108" s="9">
        <v>43507</v>
      </c>
      <c r="B108" s="12">
        <v>25</v>
      </c>
      <c r="C108" s="11">
        <v>5.0000000000000001E-3</v>
      </c>
      <c r="D108" s="12">
        <v>31</v>
      </c>
      <c r="E108" s="11">
        <v>2E-3</v>
      </c>
      <c r="F108" s="10">
        <v>4129</v>
      </c>
      <c r="G108" s="11">
        <v>1E-3</v>
      </c>
      <c r="H108" s="11">
        <v>9.7000000000000003E-2</v>
      </c>
      <c r="I108" s="10">
        <v>3184500</v>
      </c>
      <c r="J108" s="12" t="s">
        <v>1023</v>
      </c>
      <c r="K108" s="12">
        <v>399</v>
      </c>
      <c r="L108" s="12" t="s">
        <v>1024</v>
      </c>
      <c r="M108" s="10">
        <v>86181984655</v>
      </c>
      <c r="N108" s="10">
        <v>9936024</v>
      </c>
      <c r="O108" s="12">
        <v>15</v>
      </c>
    </row>
    <row r="109" spans="1:15" ht="27" x14ac:dyDescent="0.3">
      <c r="A109" s="9">
        <v>43508</v>
      </c>
      <c r="B109" s="12">
        <v>20</v>
      </c>
      <c r="C109" s="11">
        <v>4.0000000000000001E-3</v>
      </c>
      <c r="D109" s="12">
        <v>26</v>
      </c>
      <c r="E109" s="11">
        <v>1E-3</v>
      </c>
      <c r="F109" s="10">
        <v>3573</v>
      </c>
      <c r="G109" s="11">
        <v>1E-3</v>
      </c>
      <c r="H109" s="11">
        <v>0.10199999999999999</v>
      </c>
      <c r="I109" s="10">
        <v>2680750</v>
      </c>
      <c r="J109" s="12" t="s">
        <v>1025</v>
      </c>
      <c r="K109" s="12">
        <v>363</v>
      </c>
      <c r="L109" s="12" t="s">
        <v>1026</v>
      </c>
      <c r="M109" s="10">
        <v>86184665405</v>
      </c>
      <c r="N109" s="10">
        <v>9936387</v>
      </c>
      <c r="O109" s="12">
        <v>21</v>
      </c>
    </row>
    <row r="110" spans="1:15" ht="27" x14ac:dyDescent="0.3">
      <c r="A110" s="9">
        <v>43509</v>
      </c>
      <c r="B110" s="12">
        <v>10</v>
      </c>
      <c r="C110" s="11">
        <v>2E-3</v>
      </c>
      <c r="D110" s="12">
        <v>12</v>
      </c>
      <c r="E110" s="11">
        <v>1E-3</v>
      </c>
      <c r="F110" s="10">
        <v>1605</v>
      </c>
      <c r="G110" s="11">
        <v>1E-3</v>
      </c>
      <c r="H110" s="11">
        <v>0.159</v>
      </c>
      <c r="I110" s="10">
        <v>1990800</v>
      </c>
      <c r="J110" s="12" t="s">
        <v>1027</v>
      </c>
      <c r="K110" s="12">
        <v>255</v>
      </c>
      <c r="L110" s="12" t="s">
        <v>1028</v>
      </c>
      <c r="M110" s="10">
        <v>86186656205</v>
      </c>
      <c r="N110" s="10">
        <v>9936642</v>
      </c>
      <c r="O110" s="12">
        <v>31</v>
      </c>
    </row>
    <row r="111" spans="1:15" ht="27" x14ac:dyDescent="0.3">
      <c r="A111" s="9">
        <v>43510</v>
      </c>
      <c r="B111" s="12">
        <v>5</v>
      </c>
      <c r="C111" s="11">
        <v>1E-3</v>
      </c>
      <c r="D111" s="12">
        <v>5</v>
      </c>
      <c r="E111" s="11">
        <v>0</v>
      </c>
      <c r="F111" s="12">
        <v>717</v>
      </c>
      <c r="G111" s="11">
        <v>0</v>
      </c>
      <c r="H111" s="11">
        <v>0.156</v>
      </c>
      <c r="I111" s="10">
        <v>895000</v>
      </c>
      <c r="J111" s="12" t="s">
        <v>1029</v>
      </c>
      <c r="K111" s="12">
        <v>112</v>
      </c>
      <c r="L111" s="12" t="s">
        <v>1030</v>
      </c>
      <c r="M111" s="10">
        <v>86187551205</v>
      </c>
      <c r="N111" s="10">
        <v>9936754</v>
      </c>
      <c r="O111" s="12">
        <v>47</v>
      </c>
    </row>
    <row r="112" spans="1:15" ht="27" x14ac:dyDescent="0.3">
      <c r="A112" s="9">
        <v>43511</v>
      </c>
      <c r="B112" s="12">
        <v>13</v>
      </c>
      <c r="C112" s="11">
        <v>2E-3</v>
      </c>
      <c r="D112" s="12">
        <v>13</v>
      </c>
      <c r="E112" s="11">
        <v>1E-3</v>
      </c>
      <c r="F112" s="10">
        <v>2075</v>
      </c>
      <c r="G112" s="11">
        <v>1E-3</v>
      </c>
      <c r="H112" s="11">
        <v>0.17499999999999999</v>
      </c>
      <c r="I112" s="10">
        <v>3366000</v>
      </c>
      <c r="J112" s="12" t="s">
        <v>1031</v>
      </c>
      <c r="K112" s="12">
        <v>364</v>
      </c>
      <c r="L112" s="12" t="s">
        <v>1032</v>
      </c>
      <c r="M112" s="10">
        <v>86190917205</v>
      </c>
      <c r="N112" s="10">
        <v>9937118</v>
      </c>
      <c r="O112" s="12">
        <v>23</v>
      </c>
    </row>
    <row r="113" spans="1:15" ht="27" x14ac:dyDescent="0.3">
      <c r="A113" s="9">
        <v>43512</v>
      </c>
      <c r="B113" s="12">
        <v>11</v>
      </c>
      <c r="C113" s="11">
        <v>2E-3</v>
      </c>
      <c r="D113" s="12">
        <v>11</v>
      </c>
      <c r="E113" s="11">
        <v>1E-3</v>
      </c>
      <c r="F113" s="10">
        <v>2560</v>
      </c>
      <c r="G113" s="11">
        <v>1E-3</v>
      </c>
      <c r="H113" s="11">
        <v>0.22900000000000001</v>
      </c>
      <c r="I113" s="10">
        <v>5249600</v>
      </c>
      <c r="J113" s="12" t="s">
        <v>1033</v>
      </c>
      <c r="K113" s="12">
        <v>586</v>
      </c>
      <c r="L113" s="12" t="s">
        <v>1034</v>
      </c>
      <c r="M113" s="10">
        <v>86196166805</v>
      </c>
      <c r="N113" s="10">
        <v>9937704</v>
      </c>
      <c r="O113" s="12">
        <v>22</v>
      </c>
    </row>
    <row r="114" spans="1:15" ht="27" x14ac:dyDescent="0.3">
      <c r="A114" s="9">
        <v>43513</v>
      </c>
      <c r="B114" s="12">
        <v>4</v>
      </c>
      <c r="C114" s="11">
        <v>1E-3</v>
      </c>
      <c r="D114" s="12">
        <v>4</v>
      </c>
      <c r="E114" s="11">
        <v>0</v>
      </c>
      <c r="F114" s="12">
        <v>568</v>
      </c>
      <c r="G114" s="11">
        <v>0</v>
      </c>
      <c r="H114" s="11">
        <v>0.41699999999999998</v>
      </c>
      <c r="I114" s="10">
        <v>2227800</v>
      </c>
      <c r="J114" s="12" t="s">
        <v>1035</v>
      </c>
      <c r="K114" s="12">
        <v>237</v>
      </c>
      <c r="L114" s="12" t="s">
        <v>1036</v>
      </c>
      <c r="M114" s="10">
        <v>86198394605</v>
      </c>
      <c r="N114" s="10">
        <v>9937941</v>
      </c>
      <c r="O114" s="12">
        <v>27</v>
      </c>
    </row>
    <row r="115" spans="1:15" ht="27" x14ac:dyDescent="0.3">
      <c r="A115" s="9">
        <v>43514</v>
      </c>
      <c r="B115" s="12">
        <v>4</v>
      </c>
      <c r="C115" s="11">
        <v>1E-3</v>
      </c>
      <c r="D115" s="12">
        <v>4</v>
      </c>
      <c r="E115" s="11">
        <v>0</v>
      </c>
      <c r="F115" s="12">
        <v>877</v>
      </c>
      <c r="G115" s="11">
        <v>0</v>
      </c>
      <c r="H115" s="11">
        <v>7.0999999999999994E-2</v>
      </c>
      <c r="I115" s="10">
        <v>431500</v>
      </c>
      <c r="J115" s="12" t="s">
        <v>1037</v>
      </c>
      <c r="K115" s="12">
        <v>62</v>
      </c>
      <c r="L115" s="12" t="s">
        <v>1038</v>
      </c>
      <c r="M115" s="10">
        <v>86198826105</v>
      </c>
      <c r="N115" s="10">
        <v>9938003</v>
      </c>
      <c r="O115" s="12">
        <v>42</v>
      </c>
    </row>
    <row r="116" spans="1:15" ht="27" x14ac:dyDescent="0.3">
      <c r="A116" s="9">
        <v>43515</v>
      </c>
      <c r="B116" s="12">
        <v>5</v>
      </c>
      <c r="C116" s="11">
        <v>1E-3</v>
      </c>
      <c r="D116" s="12">
        <v>5</v>
      </c>
      <c r="E116" s="11">
        <v>0</v>
      </c>
      <c r="F116" s="12">
        <v>681</v>
      </c>
      <c r="G116" s="11">
        <v>0</v>
      </c>
      <c r="H116" s="11">
        <v>0.184</v>
      </c>
      <c r="I116" s="10">
        <v>998480</v>
      </c>
      <c r="J116" s="12" t="s">
        <v>1039</v>
      </c>
      <c r="K116" s="12">
        <v>125</v>
      </c>
      <c r="L116" s="12" t="s">
        <v>1040</v>
      </c>
      <c r="M116" s="10">
        <v>86199824585</v>
      </c>
      <c r="N116" s="10">
        <v>9938128</v>
      </c>
      <c r="O116" s="12">
        <v>40</v>
      </c>
    </row>
    <row r="117" spans="1:15" ht="27" x14ac:dyDescent="0.3">
      <c r="A117" s="9">
        <v>43516</v>
      </c>
      <c r="B117" s="12">
        <v>3</v>
      </c>
      <c r="C117" s="11">
        <v>0</v>
      </c>
      <c r="D117" s="12">
        <v>4</v>
      </c>
      <c r="E117" s="11">
        <v>0</v>
      </c>
      <c r="F117" s="12">
        <v>556</v>
      </c>
      <c r="G117" s="11">
        <v>0</v>
      </c>
      <c r="H117" s="11">
        <v>0.115</v>
      </c>
      <c r="I117" s="10">
        <v>448500</v>
      </c>
      <c r="J117" s="12" t="s">
        <v>1041</v>
      </c>
      <c r="K117" s="12">
        <v>64</v>
      </c>
      <c r="L117" s="12" t="s">
        <v>1042</v>
      </c>
      <c r="M117" s="10">
        <v>86200273085</v>
      </c>
      <c r="N117" s="10">
        <v>9938192</v>
      </c>
      <c r="O117" s="12">
        <v>48</v>
      </c>
    </row>
    <row r="118" spans="1:15" ht="27" x14ac:dyDescent="0.3">
      <c r="A118" s="9">
        <v>43517</v>
      </c>
      <c r="B118" s="12">
        <v>7</v>
      </c>
      <c r="C118" s="11">
        <v>1E-3</v>
      </c>
      <c r="D118" s="12">
        <v>7</v>
      </c>
      <c r="E118" s="11">
        <v>0</v>
      </c>
      <c r="F118" s="10">
        <v>1555</v>
      </c>
      <c r="G118" s="11">
        <v>1E-3</v>
      </c>
      <c r="H118" s="11">
        <v>0.39700000000000002</v>
      </c>
      <c r="I118" s="10">
        <v>6241500</v>
      </c>
      <c r="J118" s="12" t="s">
        <v>1043</v>
      </c>
      <c r="K118" s="12">
        <v>618</v>
      </c>
      <c r="L118" s="12" t="s">
        <v>1044</v>
      </c>
      <c r="M118" s="10">
        <v>86206514585</v>
      </c>
      <c r="N118" s="10">
        <v>9938810</v>
      </c>
      <c r="O118" s="12">
        <v>24</v>
      </c>
    </row>
    <row r="119" spans="1:15" ht="27" x14ac:dyDescent="0.3">
      <c r="A119" s="9">
        <v>43518</v>
      </c>
      <c r="B119" s="12">
        <v>9</v>
      </c>
      <c r="C119" s="11">
        <v>1E-3</v>
      </c>
      <c r="D119" s="12">
        <v>9</v>
      </c>
      <c r="E119" s="11">
        <v>0</v>
      </c>
      <c r="F119" s="10">
        <v>1734</v>
      </c>
      <c r="G119" s="11">
        <v>1E-3</v>
      </c>
      <c r="H119" s="11">
        <v>0.125</v>
      </c>
      <c r="I119" s="10">
        <v>1987500</v>
      </c>
      <c r="J119" s="12" t="s">
        <v>1045</v>
      </c>
      <c r="K119" s="12">
        <v>216</v>
      </c>
      <c r="L119" s="12" t="s">
        <v>1046</v>
      </c>
      <c r="M119" s="10">
        <v>86208502085</v>
      </c>
      <c r="N119" s="10">
        <v>9939026</v>
      </c>
      <c r="O119" s="12">
        <v>30</v>
      </c>
    </row>
    <row r="120" spans="1:15" ht="27" x14ac:dyDescent="0.3">
      <c r="A120" s="9">
        <v>43519</v>
      </c>
      <c r="B120" s="12">
        <v>8</v>
      </c>
      <c r="C120" s="11">
        <v>1E-3</v>
      </c>
      <c r="D120" s="12">
        <v>8</v>
      </c>
      <c r="E120" s="11">
        <v>0</v>
      </c>
      <c r="F120" s="10">
        <v>1372</v>
      </c>
      <c r="G120" s="11">
        <v>0</v>
      </c>
      <c r="H120" s="11">
        <v>0.249</v>
      </c>
      <c r="I120" s="10">
        <v>3225300</v>
      </c>
      <c r="J120" s="12" t="s">
        <v>1047</v>
      </c>
      <c r="K120" s="12">
        <v>342</v>
      </c>
      <c r="L120" s="12" t="s">
        <v>1048</v>
      </c>
      <c r="M120" s="10">
        <v>86211727385</v>
      </c>
      <c r="N120" s="10">
        <v>9939368</v>
      </c>
      <c r="O120" s="12">
        <v>30</v>
      </c>
    </row>
    <row r="121" spans="1:15" ht="27" x14ac:dyDescent="0.3">
      <c r="A121" s="9">
        <v>43520</v>
      </c>
      <c r="B121" s="12">
        <v>2</v>
      </c>
      <c r="C121" s="11">
        <v>0</v>
      </c>
      <c r="D121" s="12">
        <v>2</v>
      </c>
      <c r="E121" s="11">
        <v>0</v>
      </c>
      <c r="F121" s="12">
        <v>235</v>
      </c>
      <c r="G121" s="11">
        <v>0</v>
      </c>
      <c r="H121" s="11">
        <v>0.311</v>
      </c>
      <c r="I121" s="10">
        <v>567300</v>
      </c>
      <c r="J121" s="12" t="s">
        <v>1049</v>
      </c>
      <c r="K121" s="12">
        <v>73</v>
      </c>
      <c r="L121" s="12" t="s">
        <v>1050</v>
      </c>
      <c r="M121" s="10">
        <v>86212294685</v>
      </c>
      <c r="N121" s="10">
        <v>9939441</v>
      </c>
      <c r="O121" s="12">
        <v>54</v>
      </c>
    </row>
    <row r="122" spans="1:15" ht="27" x14ac:dyDescent="0.3">
      <c r="A122" s="9">
        <v>43521</v>
      </c>
      <c r="B122" s="12">
        <v>2</v>
      </c>
      <c r="C122" s="11">
        <v>0</v>
      </c>
      <c r="D122" s="12">
        <v>2</v>
      </c>
      <c r="E122" s="11">
        <v>0</v>
      </c>
      <c r="F122" s="12">
        <v>296</v>
      </c>
      <c r="G122" s="11">
        <v>0</v>
      </c>
      <c r="H122" s="11">
        <v>0.13500000000000001</v>
      </c>
      <c r="I122" s="10">
        <v>281000</v>
      </c>
      <c r="J122" s="12" t="s">
        <v>1051</v>
      </c>
      <c r="K122" s="12">
        <v>40</v>
      </c>
      <c r="L122" s="12" t="s">
        <v>1052</v>
      </c>
      <c r="M122" s="10">
        <v>86212575685</v>
      </c>
      <c r="N122" s="10">
        <v>9939481</v>
      </c>
      <c r="O122" s="12">
        <v>58</v>
      </c>
    </row>
    <row r="123" spans="1:15" ht="27" x14ac:dyDescent="0.3">
      <c r="A123" s="9">
        <v>43522</v>
      </c>
      <c r="B123" s="12">
        <v>6</v>
      </c>
      <c r="C123" s="11">
        <v>1E-3</v>
      </c>
      <c r="D123" s="12">
        <v>6</v>
      </c>
      <c r="E123" s="11">
        <v>0</v>
      </c>
      <c r="F123" s="12">
        <v>679</v>
      </c>
      <c r="G123" s="11">
        <v>0</v>
      </c>
      <c r="H123" s="11">
        <v>0.27800000000000002</v>
      </c>
      <c r="I123" s="10">
        <v>1373100</v>
      </c>
      <c r="J123" s="12" t="s">
        <v>1053</v>
      </c>
      <c r="K123" s="12">
        <v>189</v>
      </c>
      <c r="L123" s="12" t="s">
        <v>1054</v>
      </c>
      <c r="M123" s="10">
        <v>86213948785</v>
      </c>
      <c r="N123" s="10">
        <v>9939670</v>
      </c>
      <c r="O123" s="12">
        <v>46</v>
      </c>
    </row>
    <row r="124" spans="1:15" ht="27" x14ac:dyDescent="0.3">
      <c r="A124" s="9">
        <v>43523</v>
      </c>
      <c r="B124" s="12">
        <v>3</v>
      </c>
      <c r="C124" s="11">
        <v>0</v>
      </c>
      <c r="D124" s="12">
        <v>3</v>
      </c>
      <c r="E124" s="11">
        <v>0</v>
      </c>
      <c r="F124" s="12">
        <v>527</v>
      </c>
      <c r="G124" s="11">
        <v>0</v>
      </c>
      <c r="H124" s="11">
        <v>0.23699999999999999</v>
      </c>
      <c r="I124" s="10">
        <v>890800</v>
      </c>
      <c r="J124" s="12" t="s">
        <v>1055</v>
      </c>
      <c r="K124" s="12">
        <v>125</v>
      </c>
      <c r="L124" s="12" t="s">
        <v>1056</v>
      </c>
      <c r="M124" s="10">
        <v>86214839585</v>
      </c>
      <c r="N124" s="10">
        <v>9939795</v>
      </c>
      <c r="O124" s="12">
        <v>51</v>
      </c>
    </row>
    <row r="125" spans="1:15" ht="27" x14ac:dyDescent="0.3">
      <c r="A125" s="9">
        <v>43524</v>
      </c>
      <c r="B125" s="12">
        <v>5</v>
      </c>
      <c r="C125" s="11">
        <v>1E-3</v>
      </c>
      <c r="D125" s="12">
        <v>5</v>
      </c>
      <c r="E125" s="11">
        <v>0</v>
      </c>
      <c r="F125" s="12">
        <v>399</v>
      </c>
      <c r="G125" s="11">
        <v>0</v>
      </c>
      <c r="H125" s="11">
        <v>0.251</v>
      </c>
      <c r="I125" s="10">
        <v>794600</v>
      </c>
      <c r="J125" s="12" t="s">
        <v>1057</v>
      </c>
      <c r="K125" s="12">
        <v>100</v>
      </c>
      <c r="L125" s="12" t="s">
        <v>1058</v>
      </c>
      <c r="M125" s="10">
        <v>86215634185</v>
      </c>
      <c r="N125" s="10">
        <v>9939895</v>
      </c>
      <c r="O125" s="12">
        <v>54</v>
      </c>
    </row>
    <row r="126" spans="1:15" ht="27" x14ac:dyDescent="0.3">
      <c r="A126" s="9">
        <v>43525</v>
      </c>
      <c r="B126" s="12">
        <v>24</v>
      </c>
      <c r="C126" s="11">
        <v>3.0000000000000001E-3</v>
      </c>
      <c r="D126" s="12">
        <v>30</v>
      </c>
      <c r="E126" s="11">
        <v>1E-3</v>
      </c>
      <c r="F126" s="10">
        <v>5289</v>
      </c>
      <c r="G126" s="11">
        <v>2E-3</v>
      </c>
      <c r="H126" s="11">
        <v>0.14599999999999999</v>
      </c>
      <c r="I126" s="10">
        <v>6826910</v>
      </c>
      <c r="J126" s="12" t="s">
        <v>1059</v>
      </c>
      <c r="K126" s="12">
        <v>773</v>
      </c>
      <c r="L126" s="12" t="s">
        <v>1060</v>
      </c>
      <c r="M126" s="10">
        <v>86222461095</v>
      </c>
      <c r="N126" s="10">
        <v>9940668</v>
      </c>
      <c r="O126" s="12">
        <v>23</v>
      </c>
    </row>
    <row r="127" spans="1:15" ht="27" x14ac:dyDescent="0.3">
      <c r="A127" s="9">
        <v>43526</v>
      </c>
      <c r="B127" s="12">
        <v>27</v>
      </c>
      <c r="C127" s="11">
        <v>4.0000000000000001E-3</v>
      </c>
      <c r="D127" s="12">
        <v>33</v>
      </c>
      <c r="E127" s="11">
        <v>2E-3</v>
      </c>
      <c r="F127" s="10">
        <v>4734</v>
      </c>
      <c r="G127" s="11">
        <v>2E-3</v>
      </c>
      <c r="H127" s="11">
        <v>0.13900000000000001</v>
      </c>
      <c r="I127" s="10">
        <v>6057260</v>
      </c>
      <c r="J127" s="12" t="s">
        <v>1061</v>
      </c>
      <c r="K127" s="12">
        <v>657</v>
      </c>
      <c r="L127" s="12" t="s">
        <v>1062</v>
      </c>
      <c r="M127" s="10">
        <v>86228518355</v>
      </c>
      <c r="N127" s="10">
        <v>9941325</v>
      </c>
      <c r="O127" s="12">
        <v>22</v>
      </c>
    </row>
    <row r="128" spans="1:15" ht="27" x14ac:dyDescent="0.3">
      <c r="A128" s="9">
        <v>43527</v>
      </c>
      <c r="B128" s="12">
        <v>27</v>
      </c>
      <c r="C128" s="11">
        <v>4.0000000000000001E-3</v>
      </c>
      <c r="D128" s="12">
        <v>33</v>
      </c>
      <c r="E128" s="11">
        <v>2E-3</v>
      </c>
      <c r="F128" s="10">
        <v>5385</v>
      </c>
      <c r="G128" s="11">
        <v>2E-3</v>
      </c>
      <c r="H128" s="11">
        <v>8.7999999999999995E-2</v>
      </c>
      <c r="I128" s="10">
        <v>4144250</v>
      </c>
      <c r="J128" s="12" t="s">
        <v>1063</v>
      </c>
      <c r="K128" s="12">
        <v>475</v>
      </c>
      <c r="L128" s="12" t="s">
        <v>1064</v>
      </c>
      <c r="M128" s="10">
        <v>86232662605</v>
      </c>
      <c r="N128" s="10">
        <v>9941800</v>
      </c>
      <c r="O128" s="12">
        <v>25</v>
      </c>
    </row>
    <row r="129" spans="1:15" ht="27" x14ac:dyDescent="0.3">
      <c r="A129" s="9">
        <v>43528</v>
      </c>
      <c r="B129" s="12">
        <v>32</v>
      </c>
      <c r="C129" s="11">
        <v>5.0000000000000001E-3</v>
      </c>
      <c r="D129" s="12">
        <v>36</v>
      </c>
      <c r="E129" s="11">
        <v>2E-3</v>
      </c>
      <c r="F129" s="10">
        <v>5615</v>
      </c>
      <c r="G129" s="11">
        <v>2E-3</v>
      </c>
      <c r="H129" s="11">
        <v>8.3000000000000004E-2</v>
      </c>
      <c r="I129" s="10">
        <v>3214000</v>
      </c>
      <c r="J129" s="12" t="s">
        <v>1065</v>
      </c>
      <c r="K129" s="12">
        <v>466</v>
      </c>
      <c r="L129" s="12" t="s">
        <v>1066</v>
      </c>
      <c r="M129" s="10">
        <v>86235876605</v>
      </c>
      <c r="N129" s="10">
        <v>9942266</v>
      </c>
      <c r="O129" s="12">
        <v>18</v>
      </c>
    </row>
    <row r="130" spans="1:15" ht="27" x14ac:dyDescent="0.3">
      <c r="A130" s="9">
        <v>43529</v>
      </c>
      <c r="B130" s="12">
        <v>28</v>
      </c>
      <c r="C130" s="11">
        <v>5.0000000000000001E-3</v>
      </c>
      <c r="D130" s="12">
        <v>34</v>
      </c>
      <c r="E130" s="11">
        <v>2E-3</v>
      </c>
      <c r="F130" s="10">
        <v>6016</v>
      </c>
      <c r="G130" s="11">
        <v>2E-3</v>
      </c>
      <c r="H130" s="11">
        <v>3.7999999999999999E-2</v>
      </c>
      <c r="I130" s="10">
        <v>1853500</v>
      </c>
      <c r="J130" s="12" t="s">
        <v>1067</v>
      </c>
      <c r="K130" s="12">
        <v>228</v>
      </c>
      <c r="L130" s="12" t="s">
        <v>1068</v>
      </c>
      <c r="M130" s="10">
        <v>86237730105</v>
      </c>
      <c r="N130" s="10">
        <v>9942494</v>
      </c>
      <c r="O130" s="12">
        <v>25</v>
      </c>
    </row>
    <row r="131" spans="1:15" ht="27" x14ac:dyDescent="0.3">
      <c r="A131" s="9">
        <v>43530</v>
      </c>
      <c r="B131" s="12">
        <v>15</v>
      </c>
      <c r="C131" s="11">
        <v>3.0000000000000001E-3</v>
      </c>
      <c r="D131" s="12">
        <v>16</v>
      </c>
      <c r="E131" s="11">
        <v>1E-3</v>
      </c>
      <c r="F131" s="10">
        <v>2345</v>
      </c>
      <c r="G131" s="11">
        <v>1E-3</v>
      </c>
      <c r="H131" s="11">
        <v>8.1000000000000003E-2</v>
      </c>
      <c r="I131" s="10">
        <v>1278300</v>
      </c>
      <c r="J131" s="12" t="s">
        <v>1069</v>
      </c>
      <c r="K131" s="12">
        <v>189</v>
      </c>
      <c r="L131" s="12" t="s">
        <v>1070</v>
      </c>
      <c r="M131" s="10">
        <v>86239008405</v>
      </c>
      <c r="N131" s="10">
        <v>9942683</v>
      </c>
      <c r="O131" s="12">
        <v>22</v>
      </c>
    </row>
    <row r="132" spans="1:15" ht="27" x14ac:dyDescent="0.3">
      <c r="A132" s="9">
        <v>43531</v>
      </c>
      <c r="B132" s="12">
        <v>15</v>
      </c>
      <c r="C132" s="11">
        <v>3.0000000000000001E-3</v>
      </c>
      <c r="D132" s="12">
        <v>15</v>
      </c>
      <c r="E132" s="11">
        <v>1E-3</v>
      </c>
      <c r="F132" s="10">
        <v>2918</v>
      </c>
      <c r="G132" s="11">
        <v>1E-3</v>
      </c>
      <c r="H132" s="11">
        <v>8.1000000000000003E-2</v>
      </c>
      <c r="I132" s="10">
        <v>1471500</v>
      </c>
      <c r="J132" s="12" t="s">
        <v>1071</v>
      </c>
      <c r="K132" s="12">
        <v>236</v>
      </c>
      <c r="L132" s="12" t="s">
        <v>1072</v>
      </c>
      <c r="M132" s="10">
        <v>86240479905</v>
      </c>
      <c r="N132" s="10">
        <v>9942919</v>
      </c>
      <c r="O132" s="12">
        <v>26</v>
      </c>
    </row>
    <row r="133" spans="1:15" ht="27" x14ac:dyDescent="0.3">
      <c r="A133" s="9">
        <v>43532</v>
      </c>
      <c r="B133" s="12">
        <v>14</v>
      </c>
      <c r="C133" s="11">
        <v>3.0000000000000001E-3</v>
      </c>
      <c r="D133" s="12">
        <v>14</v>
      </c>
      <c r="E133" s="11">
        <v>1E-3</v>
      </c>
      <c r="F133" s="10">
        <v>2074</v>
      </c>
      <c r="G133" s="11">
        <v>1E-3</v>
      </c>
      <c r="H133" s="11">
        <v>0.125</v>
      </c>
      <c r="I133" s="10">
        <v>1624000</v>
      </c>
      <c r="J133" s="12" t="s">
        <v>1073</v>
      </c>
      <c r="K133" s="12">
        <v>259</v>
      </c>
      <c r="L133" s="12" t="s">
        <v>1074</v>
      </c>
      <c r="M133" s="10">
        <v>86242103905</v>
      </c>
      <c r="N133" s="10">
        <v>9943178</v>
      </c>
      <c r="O133" s="12">
        <v>21</v>
      </c>
    </row>
    <row r="134" spans="1:15" ht="27" x14ac:dyDescent="0.3">
      <c r="A134" s="9">
        <v>43533</v>
      </c>
      <c r="B134" s="12">
        <v>15</v>
      </c>
      <c r="C134" s="11">
        <v>3.0000000000000001E-3</v>
      </c>
      <c r="D134" s="12">
        <v>15</v>
      </c>
      <c r="E134" s="11">
        <v>1E-3</v>
      </c>
      <c r="F134" s="10">
        <v>1919</v>
      </c>
      <c r="G134" s="11">
        <v>1E-3</v>
      </c>
      <c r="H134" s="11">
        <v>0.26900000000000002</v>
      </c>
      <c r="I134" s="10">
        <v>3494300</v>
      </c>
      <c r="J134" s="12" t="s">
        <v>1075</v>
      </c>
      <c r="K134" s="12">
        <v>517</v>
      </c>
      <c r="L134" s="12" t="s">
        <v>1076</v>
      </c>
      <c r="M134" s="10">
        <v>86245598205</v>
      </c>
      <c r="N134" s="10">
        <v>9943695</v>
      </c>
      <c r="O134" s="12">
        <v>20</v>
      </c>
    </row>
    <row r="135" spans="1:15" ht="27" x14ac:dyDescent="0.3">
      <c r="A135" s="9">
        <v>43534</v>
      </c>
      <c r="B135" s="12">
        <v>15</v>
      </c>
      <c r="C135" s="11">
        <v>3.0000000000000001E-3</v>
      </c>
      <c r="D135" s="12">
        <v>15</v>
      </c>
      <c r="E135" s="11">
        <v>1E-3</v>
      </c>
      <c r="F135" s="10">
        <v>2447</v>
      </c>
      <c r="G135" s="11">
        <v>1E-3</v>
      </c>
      <c r="H135" s="11">
        <v>0.13800000000000001</v>
      </c>
      <c r="I135" s="10">
        <v>2392700</v>
      </c>
      <c r="J135" s="12" t="s">
        <v>1077</v>
      </c>
      <c r="K135" s="12">
        <v>338</v>
      </c>
      <c r="L135" s="12" t="s">
        <v>1078</v>
      </c>
      <c r="M135" s="10">
        <v>86247990905</v>
      </c>
      <c r="N135" s="10">
        <v>9944033</v>
      </c>
      <c r="O135" s="12">
        <v>22</v>
      </c>
    </row>
    <row r="136" spans="1:15" ht="27" x14ac:dyDescent="0.3">
      <c r="A136" s="9">
        <v>43535</v>
      </c>
      <c r="B136" s="12">
        <v>14</v>
      </c>
      <c r="C136" s="11">
        <v>3.0000000000000001E-3</v>
      </c>
      <c r="D136" s="12">
        <v>15</v>
      </c>
      <c r="E136" s="11">
        <v>1E-3</v>
      </c>
      <c r="F136" s="10">
        <v>2165</v>
      </c>
      <c r="G136" s="11">
        <v>1E-3</v>
      </c>
      <c r="H136" s="11">
        <v>4.9000000000000002E-2</v>
      </c>
      <c r="I136" s="10">
        <v>716500</v>
      </c>
      <c r="J136" s="12" t="s">
        <v>1079</v>
      </c>
      <c r="K136" s="12">
        <v>106</v>
      </c>
      <c r="L136" s="12" t="s">
        <v>1080</v>
      </c>
      <c r="M136" s="10">
        <v>86248707405</v>
      </c>
      <c r="N136" s="10">
        <v>9944139</v>
      </c>
      <c r="O136" s="12">
        <v>29</v>
      </c>
    </row>
    <row r="137" spans="1:15" ht="27" x14ac:dyDescent="0.3">
      <c r="A137" s="9">
        <v>43536</v>
      </c>
      <c r="B137" s="12">
        <v>14</v>
      </c>
      <c r="C137" s="11">
        <v>3.0000000000000001E-3</v>
      </c>
      <c r="D137" s="12">
        <v>15</v>
      </c>
      <c r="E137" s="11">
        <v>1E-3</v>
      </c>
      <c r="F137" s="10">
        <v>2104</v>
      </c>
      <c r="G137" s="11">
        <v>1E-3</v>
      </c>
      <c r="H137" s="11">
        <v>0.05</v>
      </c>
      <c r="I137" s="10">
        <v>702800</v>
      </c>
      <c r="J137" s="12" t="s">
        <v>1081</v>
      </c>
      <c r="K137" s="12">
        <v>106</v>
      </c>
      <c r="L137" s="12" t="s">
        <v>292</v>
      </c>
      <c r="M137" s="10">
        <v>86249410205</v>
      </c>
      <c r="N137" s="10">
        <v>9944245</v>
      </c>
      <c r="O137" s="12">
        <v>33</v>
      </c>
    </row>
    <row r="138" spans="1:15" ht="27" x14ac:dyDescent="0.3">
      <c r="A138" s="9">
        <v>43537</v>
      </c>
      <c r="B138" s="12">
        <v>15</v>
      </c>
      <c r="C138" s="11">
        <v>3.0000000000000001E-3</v>
      </c>
      <c r="D138" s="12">
        <v>15</v>
      </c>
      <c r="E138" s="11">
        <v>1E-3</v>
      </c>
      <c r="F138" s="10">
        <v>2887</v>
      </c>
      <c r="G138" s="11">
        <v>1E-3</v>
      </c>
      <c r="H138" s="11">
        <v>5.5E-2</v>
      </c>
      <c r="I138" s="10">
        <v>1064000</v>
      </c>
      <c r="J138" s="12" t="s">
        <v>1082</v>
      </c>
      <c r="K138" s="12">
        <v>160</v>
      </c>
      <c r="L138" s="12" t="s">
        <v>1083</v>
      </c>
      <c r="M138" s="10">
        <v>86250474205</v>
      </c>
      <c r="N138" s="10">
        <v>9944405</v>
      </c>
      <c r="O138" s="12">
        <v>28</v>
      </c>
    </row>
    <row r="139" spans="1:15" ht="27" x14ac:dyDescent="0.3">
      <c r="A139" s="9">
        <v>43538</v>
      </c>
      <c r="B139" s="12">
        <v>1</v>
      </c>
      <c r="C139" s="11">
        <v>0</v>
      </c>
      <c r="D139" s="12">
        <v>1</v>
      </c>
      <c r="E139" s="11">
        <v>0</v>
      </c>
      <c r="F139" s="12">
        <v>80</v>
      </c>
      <c r="G139" s="11">
        <v>0</v>
      </c>
      <c r="H139" s="11">
        <v>0.1</v>
      </c>
      <c r="I139" s="10">
        <v>62300</v>
      </c>
      <c r="J139" s="12" t="s">
        <v>1084</v>
      </c>
      <c r="K139" s="12">
        <v>8</v>
      </c>
      <c r="L139" s="12" t="s">
        <v>1085</v>
      </c>
      <c r="M139" s="10">
        <v>86250536505</v>
      </c>
      <c r="N139" s="10">
        <v>9944413</v>
      </c>
      <c r="O139" s="12">
        <v>75</v>
      </c>
    </row>
    <row r="140" spans="1:15" ht="27" x14ac:dyDescent="0.3">
      <c r="A140" s="9">
        <v>43539</v>
      </c>
      <c r="B140" s="12">
        <v>2</v>
      </c>
      <c r="C140" s="11">
        <v>0</v>
      </c>
      <c r="D140" s="12">
        <v>2</v>
      </c>
      <c r="E140" s="11">
        <v>0</v>
      </c>
      <c r="F140" s="12">
        <v>921</v>
      </c>
      <c r="G140" s="11">
        <v>0</v>
      </c>
      <c r="H140" s="11">
        <v>2.9000000000000001E-2</v>
      </c>
      <c r="I140" s="10">
        <v>205000</v>
      </c>
      <c r="J140" s="12" t="s">
        <v>1086</v>
      </c>
      <c r="K140" s="12">
        <v>27</v>
      </c>
      <c r="L140" s="12" t="s">
        <v>1087</v>
      </c>
      <c r="M140" s="10">
        <v>86250741505</v>
      </c>
      <c r="N140" s="10">
        <v>9944440</v>
      </c>
      <c r="O140" s="12">
        <v>58</v>
      </c>
    </row>
    <row r="141" spans="1:15" ht="27" x14ac:dyDescent="0.3">
      <c r="A141" s="9">
        <v>43540</v>
      </c>
      <c r="B141" s="12">
        <v>2</v>
      </c>
      <c r="C141" s="11">
        <v>0</v>
      </c>
      <c r="D141" s="12">
        <v>2</v>
      </c>
      <c r="E141" s="11">
        <v>0</v>
      </c>
      <c r="F141" s="12">
        <v>876</v>
      </c>
      <c r="G141" s="11">
        <v>0</v>
      </c>
      <c r="H141" s="11">
        <v>2.7E-2</v>
      </c>
      <c r="I141" s="10">
        <v>167500</v>
      </c>
      <c r="J141" s="12" t="s">
        <v>1088</v>
      </c>
      <c r="K141" s="12">
        <v>24</v>
      </c>
      <c r="L141" s="12" t="s">
        <v>1089</v>
      </c>
      <c r="M141" s="10">
        <v>86250909005</v>
      </c>
      <c r="N141" s="10">
        <v>9944464</v>
      </c>
      <c r="O141" s="12">
        <v>77</v>
      </c>
    </row>
    <row r="142" spans="1:15" ht="27" x14ac:dyDescent="0.3">
      <c r="A142" s="9">
        <v>43541</v>
      </c>
      <c r="B142" s="12">
        <v>1</v>
      </c>
      <c r="C142" s="11">
        <v>0</v>
      </c>
      <c r="D142" s="12">
        <v>1</v>
      </c>
      <c r="E142" s="11">
        <v>0</v>
      </c>
      <c r="F142" s="12">
        <v>35</v>
      </c>
      <c r="G142" s="11">
        <v>0</v>
      </c>
      <c r="H142" s="11">
        <v>0.42899999999999999</v>
      </c>
      <c r="I142" s="10">
        <v>140500</v>
      </c>
      <c r="J142" s="12" t="s">
        <v>1090</v>
      </c>
      <c r="K142" s="12">
        <v>15</v>
      </c>
      <c r="L142" s="12" t="s">
        <v>1091</v>
      </c>
      <c r="M142" s="10">
        <v>86251049505</v>
      </c>
      <c r="N142" s="10">
        <v>9944479</v>
      </c>
      <c r="O142" s="12">
        <v>78</v>
      </c>
    </row>
    <row r="143" spans="1:15" ht="27" x14ac:dyDescent="0.3">
      <c r="A143" s="9">
        <v>43542</v>
      </c>
      <c r="B143" s="12">
        <v>4</v>
      </c>
      <c r="C143" s="11">
        <v>1E-3</v>
      </c>
      <c r="D143" s="12">
        <v>4</v>
      </c>
      <c r="E143" s="11">
        <v>0</v>
      </c>
      <c r="F143" s="10">
        <v>1025</v>
      </c>
      <c r="G143" s="11">
        <v>0</v>
      </c>
      <c r="H143" s="11">
        <v>0.05</v>
      </c>
      <c r="I143" s="10">
        <v>426480</v>
      </c>
      <c r="J143" s="12" t="s">
        <v>1092</v>
      </c>
      <c r="K143" s="12">
        <v>51</v>
      </c>
      <c r="L143" s="12" t="s">
        <v>1093</v>
      </c>
      <c r="M143" s="10">
        <v>86251475985</v>
      </c>
      <c r="N143" s="10">
        <v>9944530</v>
      </c>
      <c r="O143" s="12">
        <v>41</v>
      </c>
    </row>
    <row r="144" spans="1:15" ht="27" x14ac:dyDescent="0.3">
      <c r="A144" s="9">
        <v>43543</v>
      </c>
      <c r="B144" s="12">
        <v>1</v>
      </c>
      <c r="C144" s="11">
        <v>0</v>
      </c>
      <c r="D144" s="12">
        <v>1</v>
      </c>
      <c r="E144" s="11">
        <v>0</v>
      </c>
      <c r="F144" s="12">
        <v>80</v>
      </c>
      <c r="G144" s="11">
        <v>0</v>
      </c>
      <c r="H144" s="11">
        <v>0.1</v>
      </c>
      <c r="I144" s="10">
        <v>53500</v>
      </c>
      <c r="J144" s="12" t="s">
        <v>1094</v>
      </c>
      <c r="K144" s="12">
        <v>8</v>
      </c>
      <c r="L144" s="12" t="s">
        <v>1095</v>
      </c>
      <c r="M144" s="10">
        <v>86251529485</v>
      </c>
      <c r="N144" s="10">
        <v>9944538</v>
      </c>
      <c r="O144" s="12">
        <v>80</v>
      </c>
    </row>
    <row r="145" spans="1:15" ht="27" x14ac:dyDescent="0.3">
      <c r="A145" s="9">
        <v>43544</v>
      </c>
      <c r="B145" s="12">
        <v>6</v>
      </c>
      <c r="C145" s="11">
        <v>1E-3</v>
      </c>
      <c r="D145" s="12">
        <v>6</v>
      </c>
      <c r="E145" s="11">
        <v>0</v>
      </c>
      <c r="F145" s="10">
        <v>1444</v>
      </c>
      <c r="G145" s="11">
        <v>1E-3</v>
      </c>
      <c r="H145" s="11">
        <v>0.84299999999999997</v>
      </c>
      <c r="I145" s="10">
        <v>10968000</v>
      </c>
      <c r="J145" s="12" t="s">
        <v>1096</v>
      </c>
      <c r="K145" s="10">
        <v>1218</v>
      </c>
      <c r="L145" s="12" t="s">
        <v>1097</v>
      </c>
      <c r="M145" s="10">
        <v>86262497485</v>
      </c>
      <c r="N145" s="10">
        <v>9945756</v>
      </c>
      <c r="O145" s="12">
        <v>10</v>
      </c>
    </row>
    <row r="146" spans="1:15" ht="27" x14ac:dyDescent="0.3">
      <c r="A146" s="9">
        <v>43545</v>
      </c>
      <c r="B146" s="12">
        <v>3</v>
      </c>
      <c r="C146" s="11">
        <v>1E-3</v>
      </c>
      <c r="D146" s="12">
        <v>3</v>
      </c>
      <c r="E146" s="11">
        <v>0</v>
      </c>
      <c r="F146" s="12">
        <v>898</v>
      </c>
      <c r="G146" s="11">
        <v>0</v>
      </c>
      <c r="H146" s="11">
        <v>0.08</v>
      </c>
      <c r="I146" s="10">
        <v>652000</v>
      </c>
      <c r="J146" s="12" t="s">
        <v>1098</v>
      </c>
      <c r="K146" s="12">
        <v>72</v>
      </c>
      <c r="L146" s="12" t="s">
        <v>1099</v>
      </c>
      <c r="M146" s="10">
        <v>86263149485</v>
      </c>
      <c r="N146" s="10">
        <v>9945828</v>
      </c>
      <c r="O146" s="12">
        <v>45</v>
      </c>
    </row>
    <row r="147" spans="1:15" ht="27" x14ac:dyDescent="0.3">
      <c r="A147" s="9">
        <v>43546</v>
      </c>
      <c r="B147" s="12">
        <v>2</v>
      </c>
      <c r="C147" s="11">
        <v>0</v>
      </c>
      <c r="D147" s="12">
        <v>2</v>
      </c>
      <c r="E147" s="11">
        <v>0</v>
      </c>
      <c r="F147" s="12">
        <v>195</v>
      </c>
      <c r="G147" s="11">
        <v>0</v>
      </c>
      <c r="H147" s="11">
        <v>8.6999999999999994E-2</v>
      </c>
      <c r="I147" s="10">
        <v>165800</v>
      </c>
      <c r="J147" s="12" t="s">
        <v>1100</v>
      </c>
      <c r="K147" s="12">
        <v>17</v>
      </c>
      <c r="L147" s="12" t="s">
        <v>1101</v>
      </c>
      <c r="M147" s="10">
        <v>86263315285</v>
      </c>
      <c r="N147" s="10">
        <v>9945845</v>
      </c>
      <c r="O147" s="12">
        <v>73</v>
      </c>
    </row>
    <row r="148" spans="1:15" ht="27" x14ac:dyDescent="0.3">
      <c r="A148" s="9">
        <v>43547</v>
      </c>
      <c r="B148" s="12">
        <v>2</v>
      </c>
      <c r="C148" s="11">
        <v>0</v>
      </c>
      <c r="D148" s="12">
        <v>3</v>
      </c>
      <c r="E148" s="11">
        <v>0</v>
      </c>
      <c r="F148" s="12">
        <v>192</v>
      </c>
      <c r="G148" s="11">
        <v>0</v>
      </c>
      <c r="H148" s="11">
        <v>8.8999999999999996E-2</v>
      </c>
      <c r="I148" s="10">
        <v>158300</v>
      </c>
      <c r="J148" s="12" t="s">
        <v>1102</v>
      </c>
      <c r="K148" s="12">
        <v>17</v>
      </c>
      <c r="L148" s="12" t="s">
        <v>292</v>
      </c>
      <c r="M148" s="10">
        <v>86263473585</v>
      </c>
      <c r="N148" s="10">
        <v>9945862</v>
      </c>
      <c r="O148" s="12">
        <v>92</v>
      </c>
    </row>
    <row r="149" spans="1:15" ht="27" x14ac:dyDescent="0.3">
      <c r="A149" s="9">
        <v>43548</v>
      </c>
      <c r="B149" s="12">
        <v>2</v>
      </c>
      <c r="C149" s="11">
        <v>0</v>
      </c>
      <c r="D149" s="12">
        <v>3</v>
      </c>
      <c r="E149" s="11">
        <v>0</v>
      </c>
      <c r="F149" s="12">
        <v>192</v>
      </c>
      <c r="G149" s="11">
        <v>0</v>
      </c>
      <c r="H149" s="11">
        <v>0.20799999999999999</v>
      </c>
      <c r="I149" s="10">
        <v>366500</v>
      </c>
      <c r="J149" s="12" t="s">
        <v>1103</v>
      </c>
      <c r="K149" s="12">
        <v>40</v>
      </c>
      <c r="L149" s="12" t="s">
        <v>1104</v>
      </c>
      <c r="M149" s="10">
        <v>86263840085</v>
      </c>
      <c r="N149" s="10">
        <v>9945902</v>
      </c>
      <c r="O149" s="12">
        <v>71</v>
      </c>
    </row>
    <row r="150" spans="1:15" ht="27" x14ac:dyDescent="0.3">
      <c r="A150" s="9">
        <v>43549</v>
      </c>
      <c r="B150" s="12">
        <v>2</v>
      </c>
      <c r="C150" s="11">
        <v>0</v>
      </c>
      <c r="D150" s="12">
        <v>3</v>
      </c>
      <c r="E150" s="11">
        <v>0</v>
      </c>
      <c r="F150" s="12">
        <v>192</v>
      </c>
      <c r="G150" s="11">
        <v>0</v>
      </c>
      <c r="H150" s="11">
        <v>9.4E-2</v>
      </c>
      <c r="I150" s="10">
        <v>140300</v>
      </c>
      <c r="J150" s="12" t="s">
        <v>1105</v>
      </c>
      <c r="K150" s="12">
        <v>18</v>
      </c>
      <c r="L150" s="12" t="s">
        <v>1106</v>
      </c>
      <c r="M150" s="10">
        <v>86263980385</v>
      </c>
      <c r="N150" s="10">
        <v>9945920</v>
      </c>
      <c r="O150" s="12">
        <v>69</v>
      </c>
    </row>
    <row r="151" spans="1:15" ht="27" x14ac:dyDescent="0.3">
      <c r="A151" s="9">
        <v>43550</v>
      </c>
      <c r="B151" s="12">
        <v>1</v>
      </c>
      <c r="C151" s="11">
        <v>0</v>
      </c>
      <c r="D151" s="12">
        <v>2</v>
      </c>
      <c r="E151" s="11">
        <v>0</v>
      </c>
      <c r="F151" s="12">
        <v>140</v>
      </c>
      <c r="G151" s="11">
        <v>0</v>
      </c>
      <c r="H151" s="11">
        <v>6.4000000000000001E-2</v>
      </c>
      <c r="I151" s="10">
        <v>60800</v>
      </c>
      <c r="J151" s="12" t="s">
        <v>1107</v>
      </c>
      <c r="K151" s="12">
        <v>9</v>
      </c>
      <c r="L151" s="12" t="s">
        <v>1108</v>
      </c>
      <c r="M151" s="10">
        <v>86264041185</v>
      </c>
      <c r="N151" s="10">
        <v>9945929</v>
      </c>
      <c r="O151" s="12">
        <v>87</v>
      </c>
    </row>
    <row r="152" spans="1:15" ht="27" x14ac:dyDescent="0.3">
      <c r="A152" s="9">
        <v>43551</v>
      </c>
      <c r="B152" s="12">
        <v>3</v>
      </c>
      <c r="C152" s="11">
        <v>0</v>
      </c>
      <c r="D152" s="12">
        <v>3</v>
      </c>
      <c r="E152" s="11">
        <v>0</v>
      </c>
      <c r="F152" s="12">
        <v>963</v>
      </c>
      <c r="G152" s="11">
        <v>0</v>
      </c>
      <c r="H152" s="11">
        <v>3.5999999999999997E-2</v>
      </c>
      <c r="I152" s="10">
        <v>216000</v>
      </c>
      <c r="J152" s="12" t="s">
        <v>1109</v>
      </c>
      <c r="K152" s="12">
        <v>35</v>
      </c>
      <c r="L152" s="12" t="s">
        <v>1110</v>
      </c>
      <c r="M152" s="10">
        <v>86264257185</v>
      </c>
      <c r="N152" s="10">
        <v>9945964</v>
      </c>
      <c r="O152" s="12">
        <v>78</v>
      </c>
    </row>
    <row r="153" spans="1:15" ht="27" x14ac:dyDescent="0.3">
      <c r="A153" s="9">
        <v>43552</v>
      </c>
      <c r="B153" s="12">
        <v>1</v>
      </c>
      <c r="C153" s="11">
        <v>0</v>
      </c>
      <c r="D153" s="12">
        <v>2</v>
      </c>
      <c r="E153" s="11">
        <v>0</v>
      </c>
      <c r="F153" s="12">
        <v>140</v>
      </c>
      <c r="G153" s="11">
        <v>0</v>
      </c>
      <c r="H153" s="11">
        <v>2.9000000000000001E-2</v>
      </c>
      <c r="I153" s="10">
        <v>26500</v>
      </c>
      <c r="J153" s="12" t="s">
        <v>1111</v>
      </c>
      <c r="K153" s="12">
        <v>4</v>
      </c>
      <c r="L153" s="12" t="s">
        <v>1112</v>
      </c>
      <c r="M153" s="10">
        <v>86264283685</v>
      </c>
      <c r="N153" s="10">
        <v>9945968</v>
      </c>
      <c r="O153" s="12">
        <v>98</v>
      </c>
    </row>
    <row r="154" spans="1:15" ht="27" x14ac:dyDescent="0.3">
      <c r="A154" s="9">
        <v>43553</v>
      </c>
      <c r="B154" s="12">
        <v>1</v>
      </c>
      <c r="C154" s="11">
        <v>0</v>
      </c>
      <c r="D154" s="12">
        <v>1</v>
      </c>
      <c r="E154" s="11">
        <v>0</v>
      </c>
      <c r="F154" s="12">
        <v>70</v>
      </c>
      <c r="G154" s="11">
        <v>0</v>
      </c>
      <c r="H154" s="11">
        <v>0.14299999999999999</v>
      </c>
      <c r="I154" s="10">
        <v>82100</v>
      </c>
      <c r="J154" s="12" t="s">
        <v>1113</v>
      </c>
      <c r="K154" s="12">
        <v>10</v>
      </c>
      <c r="L154" s="12" t="s">
        <v>1114</v>
      </c>
      <c r="M154" s="10">
        <v>86264365785</v>
      </c>
      <c r="N154" s="10">
        <v>9945978</v>
      </c>
      <c r="O154" s="12">
        <v>83</v>
      </c>
    </row>
    <row r="155" spans="1:15" ht="27" x14ac:dyDescent="0.3">
      <c r="A155" s="9">
        <v>43554</v>
      </c>
      <c r="B155" s="12">
        <v>2</v>
      </c>
      <c r="C155" s="11">
        <v>0</v>
      </c>
      <c r="D155" s="12">
        <v>2</v>
      </c>
      <c r="E155" s="11">
        <v>0</v>
      </c>
      <c r="F155" s="12">
        <v>166</v>
      </c>
      <c r="G155" s="11">
        <v>0</v>
      </c>
      <c r="H155" s="11">
        <v>0.84299999999999997</v>
      </c>
      <c r="I155" s="10">
        <v>979000</v>
      </c>
      <c r="J155" s="12" t="s">
        <v>1115</v>
      </c>
      <c r="K155" s="12">
        <v>140</v>
      </c>
      <c r="L155" s="12" t="s">
        <v>1116</v>
      </c>
      <c r="M155" s="10">
        <v>86265344785</v>
      </c>
      <c r="N155" s="10">
        <v>9946118</v>
      </c>
      <c r="O155" s="12">
        <v>45</v>
      </c>
    </row>
    <row r="156" spans="1:15" ht="27" x14ac:dyDescent="0.3">
      <c r="A156" s="9">
        <v>43555</v>
      </c>
      <c r="B156" s="12">
        <v>2</v>
      </c>
      <c r="C156" s="11">
        <v>0</v>
      </c>
      <c r="D156" s="12">
        <v>2</v>
      </c>
      <c r="E156" s="11">
        <v>0</v>
      </c>
      <c r="F156" s="12">
        <v>87</v>
      </c>
      <c r="G156" s="11">
        <v>0</v>
      </c>
      <c r="H156" s="11">
        <v>0.161</v>
      </c>
      <c r="I156" s="10">
        <v>100000</v>
      </c>
      <c r="J156" s="12" t="s">
        <v>1117</v>
      </c>
      <c r="K156" s="12">
        <v>14</v>
      </c>
      <c r="L156" s="12" t="s">
        <v>1118</v>
      </c>
      <c r="M156" s="10">
        <v>86265444785</v>
      </c>
      <c r="N156" s="10">
        <v>9946132</v>
      </c>
      <c r="O156" s="12">
        <v>78</v>
      </c>
    </row>
    <row r="157" spans="1:15" ht="27" x14ac:dyDescent="0.3">
      <c r="A157" s="9">
        <v>43556</v>
      </c>
      <c r="B157" s="12">
        <v>2</v>
      </c>
      <c r="C157" s="11">
        <v>0</v>
      </c>
      <c r="D157" s="12">
        <v>2</v>
      </c>
      <c r="E157" s="11">
        <v>0</v>
      </c>
      <c r="F157" s="12">
        <v>122</v>
      </c>
      <c r="G157" s="11">
        <v>0</v>
      </c>
      <c r="H157" s="11">
        <v>0.156</v>
      </c>
      <c r="I157" s="10">
        <v>139900</v>
      </c>
      <c r="J157" s="12" t="s">
        <v>1119</v>
      </c>
      <c r="K157" s="12">
        <v>19</v>
      </c>
      <c r="L157" s="12" t="s">
        <v>1120</v>
      </c>
      <c r="M157" s="10">
        <v>86265584685</v>
      </c>
      <c r="N157" s="10">
        <v>9946151</v>
      </c>
      <c r="O157" s="12">
        <v>70</v>
      </c>
    </row>
    <row r="158" spans="1:15" ht="27" x14ac:dyDescent="0.3">
      <c r="A158" s="9">
        <v>43557</v>
      </c>
      <c r="B158" s="12">
        <v>1</v>
      </c>
      <c r="C158" s="11">
        <v>0</v>
      </c>
      <c r="D158" s="12">
        <v>1</v>
      </c>
      <c r="E158" s="11">
        <v>0</v>
      </c>
      <c r="F158" s="12">
        <v>70</v>
      </c>
      <c r="G158" s="11">
        <v>0</v>
      </c>
      <c r="H158" s="11">
        <v>2.9000000000000001E-2</v>
      </c>
      <c r="I158" s="10">
        <v>13000</v>
      </c>
      <c r="J158" s="12" t="s">
        <v>1121</v>
      </c>
      <c r="K158" s="12">
        <v>2</v>
      </c>
      <c r="L158" s="12" t="s">
        <v>1122</v>
      </c>
      <c r="M158" s="10">
        <v>86265597685</v>
      </c>
      <c r="N158" s="10">
        <v>9946153</v>
      </c>
      <c r="O158" s="12">
        <v>91</v>
      </c>
    </row>
    <row r="159" spans="1:15" ht="27" x14ac:dyDescent="0.3">
      <c r="A159" s="9">
        <v>43558</v>
      </c>
      <c r="B159" s="12">
        <v>1</v>
      </c>
      <c r="C159" s="11">
        <v>0</v>
      </c>
      <c r="D159" s="12">
        <v>1</v>
      </c>
      <c r="E159" s="11">
        <v>0</v>
      </c>
      <c r="F159" s="12">
        <v>143</v>
      </c>
      <c r="G159" s="11">
        <v>0</v>
      </c>
      <c r="H159" s="11">
        <v>6.3E-2</v>
      </c>
      <c r="I159" s="10">
        <v>68000</v>
      </c>
      <c r="J159" s="12" t="s">
        <v>1123</v>
      </c>
      <c r="K159" s="12">
        <v>9</v>
      </c>
      <c r="L159" s="12" t="s">
        <v>1124</v>
      </c>
      <c r="M159" s="10">
        <v>86265665685</v>
      </c>
      <c r="N159" s="10">
        <v>9946162</v>
      </c>
      <c r="O159" s="12">
        <v>77</v>
      </c>
    </row>
    <row r="160" spans="1:15" ht="27" x14ac:dyDescent="0.3">
      <c r="A160" s="9">
        <v>43559</v>
      </c>
      <c r="B160" s="12">
        <v>1</v>
      </c>
      <c r="C160" s="11">
        <v>0</v>
      </c>
      <c r="D160" s="12">
        <v>1</v>
      </c>
      <c r="E160" s="11">
        <v>0</v>
      </c>
      <c r="F160" s="12">
        <v>143</v>
      </c>
      <c r="G160" s="11">
        <v>0</v>
      </c>
      <c r="H160" s="11">
        <v>4.2000000000000003E-2</v>
      </c>
      <c r="I160" s="10">
        <v>51500</v>
      </c>
      <c r="J160" s="12" t="s">
        <v>1125</v>
      </c>
      <c r="K160" s="12">
        <v>6</v>
      </c>
      <c r="L160" s="12" t="s">
        <v>1126</v>
      </c>
      <c r="M160" s="10">
        <v>86265717185</v>
      </c>
      <c r="N160" s="10">
        <v>9946168</v>
      </c>
      <c r="O160" s="12">
        <v>82</v>
      </c>
    </row>
    <row r="161" spans="1:15" ht="27" x14ac:dyDescent="0.3">
      <c r="A161" s="9">
        <v>43560</v>
      </c>
      <c r="B161" s="12">
        <v>1</v>
      </c>
      <c r="C161" s="11">
        <v>0</v>
      </c>
      <c r="D161" s="12">
        <v>1</v>
      </c>
      <c r="E161" s="11">
        <v>0</v>
      </c>
      <c r="F161" s="12">
        <v>200</v>
      </c>
      <c r="G161" s="11">
        <v>0</v>
      </c>
      <c r="H161" s="11">
        <v>0.05</v>
      </c>
      <c r="I161" s="10">
        <v>89300</v>
      </c>
      <c r="J161" s="12" t="s">
        <v>1127</v>
      </c>
      <c r="K161" s="12">
        <v>10</v>
      </c>
      <c r="L161" s="12" t="s">
        <v>1128</v>
      </c>
      <c r="M161" s="10">
        <v>86265806485</v>
      </c>
      <c r="N161" s="10">
        <v>9946178</v>
      </c>
      <c r="O161" s="12">
        <v>84</v>
      </c>
    </row>
    <row r="162" spans="1:15" ht="27" x14ac:dyDescent="0.3">
      <c r="A162" s="9">
        <v>43561</v>
      </c>
      <c r="B162" s="12">
        <v>1</v>
      </c>
      <c r="C162" s="11">
        <v>0</v>
      </c>
      <c r="D162" s="12">
        <v>1</v>
      </c>
      <c r="E162" s="11">
        <v>0</v>
      </c>
      <c r="F162" s="12">
        <v>143</v>
      </c>
      <c r="G162" s="11">
        <v>0</v>
      </c>
      <c r="H162" s="11">
        <v>4.9000000000000002E-2</v>
      </c>
      <c r="I162" s="10">
        <v>79300</v>
      </c>
      <c r="J162" s="12" t="s">
        <v>1129</v>
      </c>
      <c r="K162" s="12">
        <v>7</v>
      </c>
      <c r="L162" s="12" t="s">
        <v>1130</v>
      </c>
      <c r="M162" s="10">
        <v>86265885785</v>
      </c>
      <c r="N162" s="10">
        <v>9946185</v>
      </c>
      <c r="O162" s="12">
        <v>91</v>
      </c>
    </row>
    <row r="163" spans="1:15" ht="27" x14ac:dyDescent="0.3">
      <c r="A163" s="9">
        <v>43562</v>
      </c>
      <c r="B163" s="12">
        <v>2</v>
      </c>
      <c r="C163" s="11">
        <v>0</v>
      </c>
      <c r="D163" s="12">
        <v>2</v>
      </c>
      <c r="E163" s="11">
        <v>0</v>
      </c>
      <c r="F163" s="12">
        <v>195</v>
      </c>
      <c r="G163" s="11">
        <v>0</v>
      </c>
      <c r="H163" s="11">
        <v>6.7000000000000004E-2</v>
      </c>
      <c r="I163" s="10">
        <v>129000</v>
      </c>
      <c r="J163" s="12" t="s">
        <v>1131</v>
      </c>
      <c r="K163" s="12">
        <v>13</v>
      </c>
      <c r="L163" s="12" t="s">
        <v>1132</v>
      </c>
      <c r="M163" s="10">
        <v>86266014785</v>
      </c>
      <c r="N163" s="10">
        <v>9946198</v>
      </c>
      <c r="O163" s="12">
        <v>83</v>
      </c>
    </row>
    <row r="164" spans="1:15" ht="27" x14ac:dyDescent="0.3">
      <c r="A164" s="9">
        <v>43563</v>
      </c>
      <c r="B164" s="12">
        <v>1</v>
      </c>
      <c r="C164" s="11">
        <v>0</v>
      </c>
      <c r="D164" s="12">
        <v>2</v>
      </c>
      <c r="E164" s="11">
        <v>0</v>
      </c>
      <c r="F164" s="12">
        <v>286</v>
      </c>
      <c r="G164" s="11">
        <v>0</v>
      </c>
      <c r="H164" s="11">
        <v>3.7999999999999999E-2</v>
      </c>
      <c r="I164" s="10">
        <v>97500</v>
      </c>
      <c r="J164" s="12" t="s">
        <v>1133</v>
      </c>
      <c r="K164" s="12">
        <v>11</v>
      </c>
      <c r="L164" s="12" t="s">
        <v>1134</v>
      </c>
      <c r="M164" s="10">
        <v>86266112285</v>
      </c>
      <c r="N164" s="10">
        <v>9946209</v>
      </c>
      <c r="O164" s="12">
        <v>70</v>
      </c>
    </row>
    <row r="165" spans="1:15" ht="27" x14ac:dyDescent="0.3">
      <c r="A165" s="9">
        <v>43564</v>
      </c>
      <c r="B165" s="12">
        <v>1</v>
      </c>
      <c r="C165" s="11">
        <v>0</v>
      </c>
      <c r="D165" s="12">
        <v>2</v>
      </c>
      <c r="E165" s="11">
        <v>0</v>
      </c>
      <c r="F165" s="12">
        <v>286</v>
      </c>
      <c r="G165" s="11">
        <v>0</v>
      </c>
      <c r="H165" s="11">
        <v>3.5000000000000003E-2</v>
      </c>
      <c r="I165" s="10">
        <v>88100</v>
      </c>
      <c r="J165" s="12" t="s">
        <v>1135</v>
      </c>
      <c r="K165" s="12">
        <v>10</v>
      </c>
      <c r="L165" s="12" t="s">
        <v>1136</v>
      </c>
      <c r="M165" s="10">
        <v>86266200385</v>
      </c>
      <c r="N165" s="10">
        <v>9946219</v>
      </c>
      <c r="O165" s="12">
        <v>83</v>
      </c>
    </row>
    <row r="166" spans="1:15" ht="27" x14ac:dyDescent="0.3">
      <c r="A166" s="9">
        <v>43565</v>
      </c>
      <c r="B166" s="12">
        <v>2</v>
      </c>
      <c r="C166" s="11">
        <v>0</v>
      </c>
      <c r="D166" s="12">
        <v>2</v>
      </c>
      <c r="E166" s="11">
        <v>0</v>
      </c>
      <c r="F166" s="12">
        <v>195</v>
      </c>
      <c r="G166" s="11">
        <v>0</v>
      </c>
      <c r="H166" s="11">
        <v>5.0999999999999997E-2</v>
      </c>
      <c r="I166" s="10">
        <v>102000</v>
      </c>
      <c r="J166" s="12" t="s">
        <v>1137</v>
      </c>
      <c r="K166" s="12">
        <v>10</v>
      </c>
      <c r="L166" s="12" t="s">
        <v>292</v>
      </c>
      <c r="M166" s="10">
        <v>86266302385</v>
      </c>
      <c r="N166" s="10">
        <v>9946229</v>
      </c>
      <c r="O166" s="12">
        <v>79</v>
      </c>
    </row>
    <row r="167" spans="1:15" ht="27" x14ac:dyDescent="0.3">
      <c r="A167" s="9">
        <v>43566</v>
      </c>
      <c r="B167" s="12">
        <v>1</v>
      </c>
      <c r="C167" s="11">
        <v>0</v>
      </c>
      <c r="D167" s="12">
        <v>1</v>
      </c>
      <c r="E167" s="11">
        <v>0</v>
      </c>
      <c r="F167" s="12">
        <v>143</v>
      </c>
      <c r="G167" s="11">
        <v>0</v>
      </c>
      <c r="H167" s="11">
        <v>4.2000000000000003E-2</v>
      </c>
      <c r="I167" s="10">
        <v>60000</v>
      </c>
      <c r="J167" s="12" t="s">
        <v>1138</v>
      </c>
      <c r="K167" s="12">
        <v>6</v>
      </c>
      <c r="L167" s="12" t="s">
        <v>1139</v>
      </c>
      <c r="M167" s="10">
        <v>86266362385</v>
      </c>
      <c r="N167" s="10">
        <v>9946235</v>
      </c>
      <c r="O167" s="12">
        <v>89</v>
      </c>
    </row>
    <row r="168" spans="1:15" ht="27" x14ac:dyDescent="0.3">
      <c r="A168" s="9">
        <v>43567</v>
      </c>
      <c r="B168" s="12">
        <v>10</v>
      </c>
      <c r="C168" s="11">
        <v>2E-3</v>
      </c>
      <c r="D168" s="12">
        <v>10</v>
      </c>
      <c r="E168" s="11">
        <v>1E-3</v>
      </c>
      <c r="F168" s="10">
        <v>1807</v>
      </c>
      <c r="G168" s="11">
        <v>1E-3</v>
      </c>
      <c r="H168" s="11">
        <v>0.10100000000000001</v>
      </c>
      <c r="I168" s="10">
        <v>1248000</v>
      </c>
      <c r="J168" s="12" t="s">
        <v>1140</v>
      </c>
      <c r="K168" s="12">
        <v>182</v>
      </c>
      <c r="L168" s="12" t="s">
        <v>1141</v>
      </c>
      <c r="M168" s="10">
        <v>86267610385</v>
      </c>
      <c r="N168" s="10">
        <v>9946417</v>
      </c>
      <c r="O168" s="12">
        <v>34</v>
      </c>
    </row>
    <row r="169" spans="1:15" ht="27" x14ac:dyDescent="0.3">
      <c r="A169" s="9">
        <v>43568</v>
      </c>
      <c r="B169" s="12">
        <v>12</v>
      </c>
      <c r="C169" s="11">
        <v>2E-3</v>
      </c>
      <c r="D169" s="12">
        <v>12</v>
      </c>
      <c r="E169" s="11">
        <v>1E-3</v>
      </c>
      <c r="F169" s="10">
        <v>1957</v>
      </c>
      <c r="G169" s="11">
        <v>1E-3</v>
      </c>
      <c r="H169" s="11">
        <v>0.13200000000000001</v>
      </c>
      <c r="I169" s="10">
        <v>1789800</v>
      </c>
      <c r="J169" s="12" t="s">
        <v>1142</v>
      </c>
      <c r="K169" s="12">
        <v>259</v>
      </c>
      <c r="L169" s="12" t="s">
        <v>1143</v>
      </c>
      <c r="M169" s="10">
        <v>86269400185</v>
      </c>
      <c r="N169" s="10">
        <v>9946676</v>
      </c>
      <c r="O169" s="12">
        <v>31</v>
      </c>
    </row>
    <row r="170" spans="1:15" ht="27" x14ac:dyDescent="0.3">
      <c r="A170" s="9">
        <v>43569</v>
      </c>
      <c r="B170" s="12">
        <v>13</v>
      </c>
      <c r="C170" s="11">
        <v>2E-3</v>
      </c>
      <c r="D170" s="12">
        <v>13</v>
      </c>
      <c r="E170" s="11">
        <v>1E-3</v>
      </c>
      <c r="F170" s="10">
        <v>2389</v>
      </c>
      <c r="G170" s="11">
        <v>1E-3</v>
      </c>
      <c r="H170" s="11">
        <v>0.108</v>
      </c>
      <c r="I170" s="10">
        <v>1758500</v>
      </c>
      <c r="J170" s="12" t="s">
        <v>1144</v>
      </c>
      <c r="K170" s="12">
        <v>258</v>
      </c>
      <c r="L170" s="12" t="s">
        <v>1145</v>
      </c>
      <c r="M170" s="10">
        <v>86271158685</v>
      </c>
      <c r="N170" s="10">
        <v>9946934</v>
      </c>
      <c r="O170" s="12">
        <v>30</v>
      </c>
    </row>
    <row r="171" spans="1:15" ht="27" x14ac:dyDescent="0.3">
      <c r="A171" s="9">
        <v>43570</v>
      </c>
      <c r="B171" s="12">
        <v>11</v>
      </c>
      <c r="C171" s="11">
        <v>2E-3</v>
      </c>
      <c r="D171" s="12">
        <v>12</v>
      </c>
      <c r="E171" s="11">
        <v>1E-3</v>
      </c>
      <c r="F171" s="10">
        <v>2204</v>
      </c>
      <c r="G171" s="11">
        <v>1E-3</v>
      </c>
      <c r="H171" s="11">
        <v>5.3999999999999999E-2</v>
      </c>
      <c r="I171" s="10">
        <v>818000</v>
      </c>
      <c r="J171" s="12" t="s">
        <v>1146</v>
      </c>
      <c r="K171" s="12">
        <v>120</v>
      </c>
      <c r="L171" s="12" t="s">
        <v>1147</v>
      </c>
      <c r="M171" s="10">
        <v>86271976685</v>
      </c>
      <c r="N171" s="10">
        <v>9947054</v>
      </c>
      <c r="O171" s="12">
        <v>39</v>
      </c>
    </row>
    <row r="172" spans="1:15" ht="27" x14ac:dyDescent="0.3">
      <c r="A172" s="9">
        <v>43571</v>
      </c>
      <c r="B172" s="12">
        <v>12</v>
      </c>
      <c r="C172" s="11">
        <v>2E-3</v>
      </c>
      <c r="D172" s="12">
        <v>12</v>
      </c>
      <c r="E172" s="11">
        <v>1E-3</v>
      </c>
      <c r="F172" s="10">
        <v>2075</v>
      </c>
      <c r="G172" s="11">
        <v>1E-3</v>
      </c>
      <c r="H172" s="11">
        <v>6.2E-2</v>
      </c>
      <c r="I172" s="10">
        <v>847500</v>
      </c>
      <c r="J172" s="12" t="s">
        <v>1148</v>
      </c>
      <c r="K172" s="12">
        <v>128</v>
      </c>
      <c r="L172" s="12" t="s">
        <v>1149</v>
      </c>
      <c r="M172" s="10">
        <v>86272824185</v>
      </c>
      <c r="N172" s="10">
        <v>9947182</v>
      </c>
      <c r="O172" s="12">
        <v>37</v>
      </c>
    </row>
    <row r="173" spans="1:15" ht="27" x14ac:dyDescent="0.3">
      <c r="A173" s="9">
        <v>43572</v>
      </c>
      <c r="B173" s="12">
        <v>13</v>
      </c>
      <c r="C173" s="11">
        <v>2E-3</v>
      </c>
      <c r="D173" s="12">
        <v>14</v>
      </c>
      <c r="E173" s="11">
        <v>1E-3</v>
      </c>
      <c r="F173" s="10">
        <v>2559</v>
      </c>
      <c r="G173" s="11">
        <v>1E-3</v>
      </c>
      <c r="H173" s="11">
        <v>9.0999999999999998E-2</v>
      </c>
      <c r="I173" s="10">
        <v>1562000</v>
      </c>
      <c r="J173" s="12" t="s">
        <v>1150</v>
      </c>
      <c r="K173" s="12">
        <v>232</v>
      </c>
      <c r="L173" s="12" t="s">
        <v>1151</v>
      </c>
      <c r="M173" s="10">
        <v>86274386185</v>
      </c>
      <c r="N173" s="10">
        <v>9947414</v>
      </c>
      <c r="O173" s="12">
        <v>35</v>
      </c>
    </row>
    <row r="174" spans="1:15" ht="27" x14ac:dyDescent="0.3">
      <c r="A174" s="9">
        <v>43573</v>
      </c>
      <c r="B174" s="12">
        <v>11</v>
      </c>
      <c r="C174" s="11">
        <v>2E-3</v>
      </c>
      <c r="D174" s="12">
        <v>12</v>
      </c>
      <c r="E174" s="11">
        <v>1E-3</v>
      </c>
      <c r="F174" s="10">
        <v>2204</v>
      </c>
      <c r="G174" s="11">
        <v>1E-3</v>
      </c>
      <c r="H174" s="11">
        <v>5.3999999999999999E-2</v>
      </c>
      <c r="I174" s="10">
        <v>790000</v>
      </c>
      <c r="J174" s="12" t="s">
        <v>1152</v>
      </c>
      <c r="K174" s="12">
        <v>118</v>
      </c>
      <c r="L174" s="12" t="s">
        <v>1153</v>
      </c>
      <c r="M174" s="10">
        <v>86275176185</v>
      </c>
      <c r="N174" s="10">
        <v>9947532</v>
      </c>
      <c r="O174" s="12">
        <v>54</v>
      </c>
    </row>
    <row r="175" spans="1:15" ht="27" x14ac:dyDescent="0.3">
      <c r="A175" s="9">
        <v>43574</v>
      </c>
      <c r="B175" s="12">
        <v>12</v>
      </c>
      <c r="C175" s="11">
        <v>2E-3</v>
      </c>
      <c r="D175" s="12">
        <v>12</v>
      </c>
      <c r="E175" s="11">
        <v>1E-3</v>
      </c>
      <c r="F175" s="10">
        <v>2018</v>
      </c>
      <c r="G175" s="11">
        <v>1E-3</v>
      </c>
      <c r="H175" s="11">
        <v>0.124</v>
      </c>
      <c r="I175" s="10">
        <v>1681500</v>
      </c>
      <c r="J175" s="12" t="s">
        <v>1154</v>
      </c>
      <c r="K175" s="12">
        <v>251</v>
      </c>
      <c r="L175" s="12" t="s">
        <v>1155</v>
      </c>
      <c r="M175" s="10">
        <v>86276857685</v>
      </c>
      <c r="N175" s="10">
        <v>9947783</v>
      </c>
      <c r="O175" s="12">
        <v>42</v>
      </c>
    </row>
    <row r="176" spans="1:15" ht="27" x14ac:dyDescent="0.3">
      <c r="A176" s="9">
        <v>43575</v>
      </c>
      <c r="B176" s="12">
        <v>13</v>
      </c>
      <c r="C176" s="11">
        <v>2E-3</v>
      </c>
      <c r="D176" s="12">
        <v>13</v>
      </c>
      <c r="E176" s="11">
        <v>1E-3</v>
      </c>
      <c r="F176" s="10">
        <v>2332</v>
      </c>
      <c r="G176" s="11">
        <v>1E-3</v>
      </c>
      <c r="H176" s="11">
        <v>0.17399999999999999</v>
      </c>
      <c r="I176" s="10">
        <v>2752500</v>
      </c>
      <c r="J176" s="12" t="s">
        <v>1156</v>
      </c>
      <c r="K176" s="12">
        <v>405</v>
      </c>
      <c r="L176" s="12" t="s">
        <v>1157</v>
      </c>
      <c r="M176" s="10">
        <v>86279610185</v>
      </c>
      <c r="N176" s="10">
        <v>9948188</v>
      </c>
      <c r="O176" s="12">
        <v>35</v>
      </c>
    </row>
    <row r="177" spans="1:15" ht="27" x14ac:dyDescent="0.3">
      <c r="A177" s="9">
        <v>43576</v>
      </c>
      <c r="B177" s="12">
        <v>11</v>
      </c>
      <c r="C177" s="11">
        <v>1E-3</v>
      </c>
      <c r="D177" s="12">
        <v>11</v>
      </c>
      <c r="E177" s="11">
        <v>1E-3</v>
      </c>
      <c r="F177" s="10">
        <v>1977</v>
      </c>
      <c r="G177" s="11">
        <v>1E-3</v>
      </c>
      <c r="H177" s="11">
        <v>9.4E-2</v>
      </c>
      <c r="I177" s="10">
        <v>1266000</v>
      </c>
      <c r="J177" s="12" t="s">
        <v>1158</v>
      </c>
      <c r="K177" s="12">
        <v>186</v>
      </c>
      <c r="L177" s="12" t="s">
        <v>1159</v>
      </c>
      <c r="M177" s="10">
        <v>86280876185</v>
      </c>
      <c r="N177" s="10">
        <v>9948374</v>
      </c>
      <c r="O177" s="12">
        <v>42</v>
      </c>
    </row>
    <row r="178" spans="1:15" ht="27" x14ac:dyDescent="0.3">
      <c r="A178" s="9">
        <v>43577</v>
      </c>
      <c r="B178" s="12">
        <v>1</v>
      </c>
      <c r="C178" s="11">
        <v>0</v>
      </c>
      <c r="D178" s="12">
        <v>1</v>
      </c>
      <c r="E178" s="11">
        <v>0</v>
      </c>
      <c r="F178" s="12">
        <v>143</v>
      </c>
      <c r="G178" s="11">
        <v>0</v>
      </c>
      <c r="H178" s="11">
        <v>3.5000000000000003E-2</v>
      </c>
      <c r="I178" s="10">
        <v>40300</v>
      </c>
      <c r="J178" s="12" t="s">
        <v>1160</v>
      </c>
      <c r="K178" s="12">
        <v>5</v>
      </c>
      <c r="L178" s="12" t="s">
        <v>1161</v>
      </c>
      <c r="M178" s="10">
        <v>86280916485</v>
      </c>
      <c r="N178" s="10">
        <v>9948379</v>
      </c>
      <c r="O178" s="12">
        <v>90</v>
      </c>
    </row>
    <row r="179" spans="1:15" ht="27" x14ac:dyDescent="0.3">
      <c r="A179" s="9">
        <v>43578</v>
      </c>
      <c r="B179" s="12">
        <v>1</v>
      </c>
      <c r="C179" s="11">
        <v>0</v>
      </c>
      <c r="D179" s="12">
        <v>1</v>
      </c>
      <c r="E179" s="11">
        <v>0</v>
      </c>
      <c r="F179" s="12">
        <v>143</v>
      </c>
      <c r="G179" s="11">
        <v>0</v>
      </c>
      <c r="H179" s="11">
        <v>4.9000000000000002E-2</v>
      </c>
      <c r="I179" s="10">
        <v>59300</v>
      </c>
      <c r="J179" s="12" t="s">
        <v>1162</v>
      </c>
      <c r="K179" s="12">
        <v>7</v>
      </c>
      <c r="L179" s="12" t="s">
        <v>1163</v>
      </c>
      <c r="M179" s="10">
        <v>86280975785</v>
      </c>
      <c r="N179" s="10">
        <v>9948386</v>
      </c>
      <c r="O179" s="12">
        <v>105</v>
      </c>
    </row>
  </sheetData>
  <mergeCells count="3">
    <mergeCell ref="A1:O1"/>
    <mergeCell ref="A2:O2"/>
    <mergeCell ref="A3:O3"/>
  </mergeCells>
  <phoneticPr fontId="2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94B53-1256-4939-A12C-C0013403EB87}">
  <dimension ref="A1:R53"/>
  <sheetViews>
    <sheetView workbookViewId="0">
      <selection activeCell="H5" sqref="H5"/>
    </sheetView>
  </sheetViews>
  <sheetFormatPr defaultRowHeight="16.5" x14ac:dyDescent="0.3"/>
  <sheetData>
    <row r="1" spans="1:18" ht="19.5" x14ac:dyDescent="0.3">
      <c r="A1" s="197" t="s">
        <v>1164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8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8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8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8" ht="40.5" x14ac:dyDescent="0.3">
      <c r="A5" s="9">
        <v>43460</v>
      </c>
      <c r="B5" s="10">
        <v>1047</v>
      </c>
      <c r="C5" s="11">
        <v>0.159</v>
      </c>
      <c r="D5" s="10">
        <v>4601</v>
      </c>
      <c r="E5" s="11">
        <v>0.249</v>
      </c>
      <c r="F5" s="10">
        <v>825367</v>
      </c>
      <c r="G5" s="11">
        <v>0.28399999999999997</v>
      </c>
      <c r="H5" s="11">
        <v>0.26600000000000001</v>
      </c>
      <c r="I5" s="10">
        <v>1365529550</v>
      </c>
      <c r="J5" s="12" t="s">
        <v>1165</v>
      </c>
      <c r="K5" s="10">
        <v>219234</v>
      </c>
      <c r="L5" s="12" t="s">
        <v>1166</v>
      </c>
      <c r="M5" s="10">
        <v>1545338050</v>
      </c>
      <c r="N5" s="10">
        <v>241415</v>
      </c>
      <c r="O5" s="12">
        <v>1</v>
      </c>
      <c r="R5">
        <f>AVERAGEA(H5:H53)</f>
        <v>0.15416326530612243</v>
      </c>
    </row>
    <row r="6" spans="1:18" ht="40.5" x14ac:dyDescent="0.3">
      <c r="A6" s="9">
        <v>43461</v>
      </c>
      <c r="B6" s="10">
        <v>1027</v>
      </c>
      <c r="C6" s="11">
        <v>0.153</v>
      </c>
      <c r="D6" s="10">
        <v>4550</v>
      </c>
      <c r="E6" s="11">
        <v>0.246</v>
      </c>
      <c r="F6" s="10">
        <v>810842</v>
      </c>
      <c r="G6" s="11">
        <v>0.27900000000000003</v>
      </c>
      <c r="H6" s="11">
        <v>0.161</v>
      </c>
      <c r="I6" s="10">
        <v>1053583900</v>
      </c>
      <c r="J6" s="12" t="s">
        <v>1167</v>
      </c>
      <c r="K6" s="10">
        <v>130647</v>
      </c>
      <c r="L6" s="12" t="s">
        <v>1168</v>
      </c>
      <c r="M6" s="10">
        <v>2598921950</v>
      </c>
      <c r="N6" s="10">
        <v>372062</v>
      </c>
      <c r="O6" s="12">
        <v>1</v>
      </c>
    </row>
    <row r="7" spans="1:18" ht="27" x14ac:dyDescent="0.3">
      <c r="A7" s="9">
        <v>43462</v>
      </c>
      <c r="B7" s="10">
        <v>1081</v>
      </c>
      <c r="C7" s="11">
        <v>0.156</v>
      </c>
      <c r="D7" s="10">
        <v>4647</v>
      </c>
      <c r="E7" s="11">
        <v>0.246</v>
      </c>
      <c r="F7" s="10">
        <v>825178</v>
      </c>
      <c r="G7" s="11">
        <v>0.27800000000000002</v>
      </c>
      <c r="H7" s="11">
        <v>0.187</v>
      </c>
      <c r="I7" s="10">
        <v>1374889063</v>
      </c>
      <c r="J7" s="12" t="s">
        <v>1169</v>
      </c>
      <c r="K7" s="10">
        <v>154163</v>
      </c>
      <c r="L7" s="12" t="s">
        <v>1170</v>
      </c>
      <c r="M7" s="10">
        <v>3973811013</v>
      </c>
      <c r="N7" s="10">
        <v>526225</v>
      </c>
      <c r="O7" s="12">
        <v>1</v>
      </c>
    </row>
    <row r="8" spans="1:18" ht="27" x14ac:dyDescent="0.3">
      <c r="A8" s="9">
        <v>43463</v>
      </c>
      <c r="B8" s="10">
        <v>1027</v>
      </c>
      <c r="C8" s="11">
        <v>0.14000000000000001</v>
      </c>
      <c r="D8" s="10">
        <v>4399</v>
      </c>
      <c r="E8" s="11">
        <v>0.224</v>
      </c>
      <c r="F8" s="10">
        <v>775939</v>
      </c>
      <c r="G8" s="11">
        <v>0.252</v>
      </c>
      <c r="H8" s="11">
        <v>0.32400000000000001</v>
      </c>
      <c r="I8" s="10">
        <v>2264747904</v>
      </c>
      <c r="J8" s="12" t="s">
        <v>1171</v>
      </c>
      <c r="K8" s="10">
        <v>251466</v>
      </c>
      <c r="L8" s="12" t="s">
        <v>1172</v>
      </c>
      <c r="M8" s="10">
        <v>6238558917</v>
      </c>
      <c r="N8" s="10">
        <v>777691</v>
      </c>
      <c r="O8" s="12">
        <v>2</v>
      </c>
    </row>
    <row r="9" spans="1:18" ht="40.5" x14ac:dyDescent="0.3">
      <c r="A9" s="9">
        <v>43464</v>
      </c>
      <c r="B9" s="12">
        <v>995</v>
      </c>
      <c r="C9" s="11">
        <v>0.13800000000000001</v>
      </c>
      <c r="D9" s="10">
        <v>4226</v>
      </c>
      <c r="E9" s="11">
        <v>0.218</v>
      </c>
      <c r="F9" s="10">
        <v>748154</v>
      </c>
      <c r="G9" s="11">
        <v>0.247</v>
      </c>
      <c r="H9" s="11">
        <v>0.316</v>
      </c>
      <c r="I9" s="10">
        <v>2127143000</v>
      </c>
      <c r="J9" s="12" t="s">
        <v>1173</v>
      </c>
      <c r="K9" s="10">
        <v>236214</v>
      </c>
      <c r="L9" s="12" t="s">
        <v>1174</v>
      </c>
      <c r="M9" s="10">
        <v>8365701917</v>
      </c>
      <c r="N9" s="10">
        <v>1013905</v>
      </c>
      <c r="O9" s="12">
        <v>2</v>
      </c>
    </row>
    <row r="10" spans="1:18" ht="40.5" x14ac:dyDescent="0.3">
      <c r="A10" s="9">
        <v>43465</v>
      </c>
      <c r="B10" s="12">
        <v>957</v>
      </c>
      <c r="C10" s="11">
        <v>0.13800000000000001</v>
      </c>
      <c r="D10" s="10">
        <v>4161</v>
      </c>
      <c r="E10" s="11">
        <v>0.215</v>
      </c>
      <c r="F10" s="10">
        <v>724349</v>
      </c>
      <c r="G10" s="11">
        <v>0.24</v>
      </c>
      <c r="H10" s="11">
        <v>0.22800000000000001</v>
      </c>
      <c r="I10" s="10">
        <v>1338545450</v>
      </c>
      <c r="J10" s="12" t="s">
        <v>1175</v>
      </c>
      <c r="K10" s="10">
        <v>165126</v>
      </c>
      <c r="L10" s="12" t="s">
        <v>1176</v>
      </c>
      <c r="M10" s="10">
        <v>9704247367</v>
      </c>
      <c r="N10" s="10">
        <v>1179031</v>
      </c>
      <c r="O10" s="12">
        <v>2</v>
      </c>
    </row>
    <row r="11" spans="1:18" ht="27" x14ac:dyDescent="0.3">
      <c r="A11" s="9">
        <v>43466</v>
      </c>
      <c r="B11" s="12">
        <v>893</v>
      </c>
      <c r="C11" s="11">
        <v>0.125</v>
      </c>
      <c r="D11" s="10">
        <v>3530</v>
      </c>
      <c r="E11" s="11">
        <v>0.18099999999999999</v>
      </c>
      <c r="F11" s="10">
        <v>602120</v>
      </c>
      <c r="G11" s="11">
        <v>0.2</v>
      </c>
      <c r="H11" s="11">
        <v>0.32500000000000001</v>
      </c>
      <c r="I11" s="10">
        <v>1763943100</v>
      </c>
      <c r="J11" s="12" t="s">
        <v>1177</v>
      </c>
      <c r="K11" s="10">
        <v>195859</v>
      </c>
      <c r="L11" s="12" t="s">
        <v>1178</v>
      </c>
      <c r="M11" s="10">
        <v>11468190467</v>
      </c>
      <c r="N11" s="10">
        <v>1374890</v>
      </c>
      <c r="O11" s="12">
        <v>2</v>
      </c>
    </row>
    <row r="12" spans="1:18" ht="54" x14ac:dyDescent="0.3">
      <c r="A12" s="9">
        <v>43467</v>
      </c>
      <c r="B12" s="12">
        <v>819</v>
      </c>
      <c r="C12" s="11">
        <v>0.121</v>
      </c>
      <c r="D12" s="10">
        <v>3311</v>
      </c>
      <c r="E12" s="11">
        <v>0.18</v>
      </c>
      <c r="F12" s="10">
        <v>567358</v>
      </c>
      <c r="G12" s="11">
        <v>0.19800000000000001</v>
      </c>
      <c r="H12" s="11">
        <v>8.6999999999999994E-2</v>
      </c>
      <c r="I12" s="10">
        <v>397485250</v>
      </c>
      <c r="J12" s="12" t="s">
        <v>1179</v>
      </c>
      <c r="K12" s="10">
        <v>49300</v>
      </c>
      <c r="L12" s="12" t="s">
        <v>1180</v>
      </c>
      <c r="M12" s="10">
        <v>11865675717</v>
      </c>
      <c r="N12" s="10">
        <v>1424190</v>
      </c>
      <c r="O12" s="12">
        <v>2</v>
      </c>
    </row>
    <row r="13" spans="1:18" ht="40.5" x14ac:dyDescent="0.3">
      <c r="A13" s="9">
        <v>43468</v>
      </c>
      <c r="B13" s="12">
        <v>747</v>
      </c>
      <c r="C13" s="11">
        <v>0.107</v>
      </c>
      <c r="D13" s="10">
        <v>2681</v>
      </c>
      <c r="E13" s="11">
        <v>0.14499999999999999</v>
      </c>
      <c r="F13" s="10">
        <v>448584</v>
      </c>
      <c r="G13" s="11">
        <v>0.156</v>
      </c>
      <c r="H13" s="11">
        <v>7.9000000000000001E-2</v>
      </c>
      <c r="I13" s="10">
        <v>287866850</v>
      </c>
      <c r="J13" s="12" t="s">
        <v>1181</v>
      </c>
      <c r="K13" s="10">
        <v>35509</v>
      </c>
      <c r="L13" s="12" t="s">
        <v>1182</v>
      </c>
      <c r="M13" s="10">
        <v>12153542567</v>
      </c>
      <c r="N13" s="10">
        <v>1459699</v>
      </c>
      <c r="O13" s="12">
        <v>3</v>
      </c>
    </row>
    <row r="14" spans="1:18" ht="27" x14ac:dyDescent="0.3">
      <c r="A14" s="9">
        <v>43469</v>
      </c>
      <c r="B14" s="12">
        <v>732</v>
      </c>
      <c r="C14" s="11">
        <v>0.104</v>
      </c>
      <c r="D14" s="10">
        <v>2582</v>
      </c>
      <c r="E14" s="11">
        <v>0.13800000000000001</v>
      </c>
      <c r="F14" s="10">
        <v>426911</v>
      </c>
      <c r="G14" s="11">
        <v>0.14599999999999999</v>
      </c>
      <c r="H14" s="11">
        <v>8.4000000000000005E-2</v>
      </c>
      <c r="I14" s="10">
        <v>320063717</v>
      </c>
      <c r="J14" s="12" t="s">
        <v>1183</v>
      </c>
      <c r="K14" s="10">
        <v>36003</v>
      </c>
      <c r="L14" s="12" t="s">
        <v>1184</v>
      </c>
      <c r="M14" s="10">
        <v>12473606284</v>
      </c>
      <c r="N14" s="10">
        <v>1495702</v>
      </c>
      <c r="O14" s="12">
        <v>4</v>
      </c>
    </row>
    <row r="15" spans="1:18" ht="27" x14ac:dyDescent="0.3">
      <c r="A15" s="9">
        <v>43470</v>
      </c>
      <c r="B15" s="12">
        <v>741</v>
      </c>
      <c r="C15" s="11">
        <v>9.6000000000000002E-2</v>
      </c>
      <c r="D15" s="10">
        <v>2250</v>
      </c>
      <c r="E15" s="11">
        <v>0.11600000000000001</v>
      </c>
      <c r="F15" s="10">
        <v>347065</v>
      </c>
      <c r="G15" s="11">
        <v>0.115</v>
      </c>
      <c r="H15" s="11">
        <v>0.17699999999999999</v>
      </c>
      <c r="I15" s="10">
        <v>556856110</v>
      </c>
      <c r="J15" s="12" t="s">
        <v>1185</v>
      </c>
      <c r="K15" s="10">
        <v>61436</v>
      </c>
      <c r="L15" s="12" t="s">
        <v>1186</v>
      </c>
      <c r="M15" s="10">
        <v>13030462394</v>
      </c>
      <c r="N15" s="10">
        <v>1557138</v>
      </c>
      <c r="O15" s="12">
        <v>4</v>
      </c>
    </row>
    <row r="16" spans="1:18" ht="27" x14ac:dyDescent="0.3">
      <c r="A16" s="9">
        <v>43471</v>
      </c>
      <c r="B16" s="12">
        <v>715</v>
      </c>
      <c r="C16" s="11">
        <v>9.1999999999999998E-2</v>
      </c>
      <c r="D16" s="10">
        <v>2073</v>
      </c>
      <c r="E16" s="11">
        <v>0.109</v>
      </c>
      <c r="F16" s="10">
        <v>320461</v>
      </c>
      <c r="G16" s="11">
        <v>0.108</v>
      </c>
      <c r="H16" s="11">
        <v>0.158</v>
      </c>
      <c r="I16" s="10">
        <v>457782500</v>
      </c>
      <c r="J16" s="12" t="s">
        <v>1187</v>
      </c>
      <c r="K16" s="10">
        <v>50537</v>
      </c>
      <c r="L16" s="12" t="s">
        <v>1188</v>
      </c>
      <c r="M16" s="10">
        <v>13488244894</v>
      </c>
      <c r="N16" s="10">
        <v>1607675</v>
      </c>
      <c r="O16" s="12">
        <v>4</v>
      </c>
    </row>
    <row r="17" spans="1:15" ht="40.5" x14ac:dyDescent="0.3">
      <c r="A17" s="9">
        <v>43472</v>
      </c>
      <c r="B17" s="12">
        <v>670</v>
      </c>
      <c r="C17" s="11">
        <v>9.9000000000000005E-2</v>
      </c>
      <c r="D17" s="10">
        <v>2002</v>
      </c>
      <c r="E17" s="11">
        <v>0.114</v>
      </c>
      <c r="F17" s="10">
        <v>302166</v>
      </c>
      <c r="G17" s="11">
        <v>0.109</v>
      </c>
      <c r="H17" s="11">
        <v>6.2E-2</v>
      </c>
      <c r="I17" s="10">
        <v>152471050</v>
      </c>
      <c r="J17" s="12" t="s">
        <v>1189</v>
      </c>
      <c r="K17" s="10">
        <v>18774</v>
      </c>
      <c r="L17" s="12" t="s">
        <v>1190</v>
      </c>
      <c r="M17" s="10">
        <v>13640715944</v>
      </c>
      <c r="N17" s="10">
        <v>1626449</v>
      </c>
      <c r="O17" s="12">
        <v>4</v>
      </c>
    </row>
    <row r="18" spans="1:15" ht="27" x14ac:dyDescent="0.3">
      <c r="A18" s="9">
        <v>43473</v>
      </c>
      <c r="B18" s="12">
        <v>665</v>
      </c>
      <c r="C18" s="11">
        <v>9.6000000000000002E-2</v>
      </c>
      <c r="D18" s="10">
        <v>1974</v>
      </c>
      <c r="E18" s="11">
        <v>0.112</v>
      </c>
      <c r="F18" s="10">
        <v>297543</v>
      </c>
      <c r="G18" s="11">
        <v>0.107</v>
      </c>
      <c r="H18" s="11">
        <v>5.8000000000000003E-2</v>
      </c>
      <c r="I18" s="10">
        <v>141543750</v>
      </c>
      <c r="J18" s="12" t="s">
        <v>1191</v>
      </c>
      <c r="K18" s="10">
        <v>17250</v>
      </c>
      <c r="L18" s="12" t="s">
        <v>1192</v>
      </c>
      <c r="M18" s="10">
        <v>13782259694</v>
      </c>
      <c r="N18" s="10">
        <v>1643699</v>
      </c>
      <c r="O18" s="12">
        <v>4</v>
      </c>
    </row>
    <row r="19" spans="1:15" ht="40.5" x14ac:dyDescent="0.3">
      <c r="A19" s="9">
        <v>43474</v>
      </c>
      <c r="B19" s="12">
        <v>341</v>
      </c>
      <c r="C19" s="11">
        <v>5.6000000000000001E-2</v>
      </c>
      <c r="D19" s="12">
        <v>599</v>
      </c>
      <c r="E19" s="11">
        <v>3.4000000000000002E-2</v>
      </c>
      <c r="F19" s="10">
        <v>73954</v>
      </c>
      <c r="G19" s="11">
        <v>2.7E-2</v>
      </c>
      <c r="H19" s="11">
        <v>6.3E-2</v>
      </c>
      <c r="I19" s="10">
        <v>39788750</v>
      </c>
      <c r="J19" s="12" t="s">
        <v>1193</v>
      </c>
      <c r="K19" s="10">
        <v>4688</v>
      </c>
      <c r="L19" s="12" t="s">
        <v>1194</v>
      </c>
      <c r="M19" s="10">
        <v>13822048444</v>
      </c>
      <c r="N19" s="10">
        <v>1648387</v>
      </c>
      <c r="O19" s="12">
        <v>9</v>
      </c>
    </row>
    <row r="20" spans="1:15" ht="27" x14ac:dyDescent="0.3">
      <c r="A20" s="9">
        <v>43475</v>
      </c>
      <c r="B20" s="12">
        <v>278</v>
      </c>
      <c r="C20" s="11">
        <v>4.1000000000000002E-2</v>
      </c>
      <c r="D20" s="12">
        <v>426</v>
      </c>
      <c r="E20" s="11">
        <v>2.3E-2</v>
      </c>
      <c r="F20" s="10">
        <v>53427</v>
      </c>
      <c r="G20" s="11">
        <v>1.9E-2</v>
      </c>
      <c r="H20" s="11">
        <v>6.0999999999999999E-2</v>
      </c>
      <c r="I20" s="10">
        <v>28222250</v>
      </c>
      <c r="J20" s="12" t="s">
        <v>1195</v>
      </c>
      <c r="K20" s="10">
        <v>3285</v>
      </c>
      <c r="L20" s="12" t="s">
        <v>1196</v>
      </c>
      <c r="M20" s="10">
        <v>13850270694</v>
      </c>
      <c r="N20" s="10">
        <v>1651672</v>
      </c>
      <c r="O20" s="12">
        <v>10</v>
      </c>
    </row>
    <row r="21" spans="1:15" ht="27" x14ac:dyDescent="0.3">
      <c r="A21" s="9">
        <v>43476</v>
      </c>
      <c r="B21" s="12">
        <v>268</v>
      </c>
      <c r="C21" s="11">
        <v>3.9E-2</v>
      </c>
      <c r="D21" s="12">
        <v>399</v>
      </c>
      <c r="E21" s="11">
        <v>2.1000000000000001E-2</v>
      </c>
      <c r="F21" s="10">
        <v>48847</v>
      </c>
      <c r="G21" s="11">
        <v>1.7000000000000001E-2</v>
      </c>
      <c r="H21" s="11">
        <v>7.3999999999999996E-2</v>
      </c>
      <c r="I21" s="10">
        <v>33563400</v>
      </c>
      <c r="J21" s="12" t="s">
        <v>1197</v>
      </c>
      <c r="K21" s="10">
        <v>3601</v>
      </c>
      <c r="L21" s="12" t="s">
        <v>1198</v>
      </c>
      <c r="M21" s="10">
        <v>13883834094</v>
      </c>
      <c r="N21" s="10">
        <v>1655273</v>
      </c>
      <c r="O21" s="12">
        <v>9</v>
      </c>
    </row>
    <row r="22" spans="1:15" ht="27" x14ac:dyDescent="0.3">
      <c r="A22" s="9">
        <v>43477</v>
      </c>
      <c r="B22" s="12">
        <v>218</v>
      </c>
      <c r="C22" s="11">
        <v>3.1E-2</v>
      </c>
      <c r="D22" s="12">
        <v>314</v>
      </c>
      <c r="E22" s="11">
        <v>1.6E-2</v>
      </c>
      <c r="F22" s="10">
        <v>36435</v>
      </c>
      <c r="G22" s="11">
        <v>1.2E-2</v>
      </c>
      <c r="H22" s="11">
        <v>0.14000000000000001</v>
      </c>
      <c r="I22" s="10">
        <v>47167230</v>
      </c>
      <c r="J22" s="12" t="s">
        <v>1199</v>
      </c>
      <c r="K22" s="10">
        <v>5093</v>
      </c>
      <c r="L22" s="12" t="s">
        <v>1200</v>
      </c>
      <c r="M22" s="10">
        <v>13931001324</v>
      </c>
      <c r="N22" s="10">
        <v>1660366</v>
      </c>
      <c r="O22" s="12">
        <v>9</v>
      </c>
    </row>
    <row r="23" spans="1:15" ht="27" x14ac:dyDescent="0.3">
      <c r="A23" s="9">
        <v>43478</v>
      </c>
      <c r="B23" s="12">
        <v>204</v>
      </c>
      <c r="C23" s="11">
        <v>2.9000000000000001E-2</v>
      </c>
      <c r="D23" s="12">
        <v>277</v>
      </c>
      <c r="E23" s="11">
        <v>1.4E-2</v>
      </c>
      <c r="F23" s="10">
        <v>33039</v>
      </c>
      <c r="G23" s="11">
        <v>1.0999999999999999E-2</v>
      </c>
      <c r="H23" s="11">
        <v>0.14599999999999999</v>
      </c>
      <c r="I23" s="10">
        <v>45451550</v>
      </c>
      <c r="J23" s="12" t="s">
        <v>1201</v>
      </c>
      <c r="K23" s="10">
        <v>4834</v>
      </c>
      <c r="L23" s="12" t="s">
        <v>1202</v>
      </c>
      <c r="M23" s="10">
        <v>13976452874</v>
      </c>
      <c r="N23" s="10">
        <v>1665200</v>
      </c>
      <c r="O23" s="12">
        <v>9</v>
      </c>
    </row>
    <row r="24" spans="1:15" ht="27" x14ac:dyDescent="0.3">
      <c r="A24" s="9">
        <v>43479</v>
      </c>
      <c r="B24" s="12">
        <v>191</v>
      </c>
      <c r="C24" s="11">
        <v>0.03</v>
      </c>
      <c r="D24" s="12">
        <v>268</v>
      </c>
      <c r="E24" s="11">
        <v>1.4999999999999999E-2</v>
      </c>
      <c r="F24" s="10">
        <v>33207</v>
      </c>
      <c r="G24" s="11">
        <v>1.2E-2</v>
      </c>
      <c r="H24" s="11">
        <v>4.8000000000000001E-2</v>
      </c>
      <c r="I24" s="10">
        <v>13336450</v>
      </c>
      <c r="J24" s="12" t="s">
        <v>1203</v>
      </c>
      <c r="K24" s="10">
        <v>1586</v>
      </c>
      <c r="L24" s="12" t="s">
        <v>1204</v>
      </c>
      <c r="M24" s="10">
        <v>13989789324</v>
      </c>
      <c r="N24" s="10">
        <v>1666786</v>
      </c>
      <c r="O24" s="12">
        <v>11</v>
      </c>
    </row>
    <row r="25" spans="1:15" ht="27" x14ac:dyDescent="0.3">
      <c r="A25" s="9">
        <v>43480</v>
      </c>
      <c r="B25" s="12">
        <v>205</v>
      </c>
      <c r="C25" s="11">
        <v>3.1E-2</v>
      </c>
      <c r="D25" s="12">
        <v>277</v>
      </c>
      <c r="E25" s="11">
        <v>1.6E-2</v>
      </c>
      <c r="F25" s="10">
        <v>34539</v>
      </c>
      <c r="G25" s="11">
        <v>1.2E-2</v>
      </c>
      <c r="H25" s="11">
        <v>4.4999999999999998E-2</v>
      </c>
      <c r="I25" s="10">
        <v>13365950</v>
      </c>
      <c r="J25" s="12" t="s">
        <v>1205</v>
      </c>
      <c r="K25" s="10">
        <v>1565</v>
      </c>
      <c r="L25" s="12" t="s">
        <v>1206</v>
      </c>
      <c r="M25" s="10">
        <v>14003155274</v>
      </c>
      <c r="N25" s="10">
        <v>1668351</v>
      </c>
      <c r="O25" s="12">
        <v>12</v>
      </c>
    </row>
    <row r="26" spans="1:15" ht="27" x14ac:dyDescent="0.3">
      <c r="A26" s="9">
        <v>43481</v>
      </c>
      <c r="B26" s="12">
        <v>17</v>
      </c>
      <c r="C26" s="11">
        <v>2E-3</v>
      </c>
      <c r="D26" s="12">
        <v>22</v>
      </c>
      <c r="E26" s="11">
        <v>1E-3</v>
      </c>
      <c r="F26" s="10">
        <v>2811</v>
      </c>
      <c r="G26" s="11">
        <v>1E-3</v>
      </c>
      <c r="H26" s="11">
        <v>0.13200000000000001</v>
      </c>
      <c r="I26" s="10">
        <v>3195650</v>
      </c>
      <c r="J26" s="12" t="s">
        <v>1207</v>
      </c>
      <c r="K26" s="12">
        <v>371</v>
      </c>
      <c r="L26" s="12" t="s">
        <v>1208</v>
      </c>
      <c r="M26" s="10">
        <v>14006350924</v>
      </c>
      <c r="N26" s="10">
        <v>1668722</v>
      </c>
      <c r="O26" s="12">
        <v>26</v>
      </c>
    </row>
    <row r="27" spans="1:15" ht="27" x14ac:dyDescent="0.3">
      <c r="A27" s="9">
        <v>43482</v>
      </c>
      <c r="B27" s="12">
        <v>5</v>
      </c>
      <c r="C27" s="11">
        <v>1E-3</v>
      </c>
      <c r="D27" s="12">
        <v>5</v>
      </c>
      <c r="E27" s="11">
        <v>0</v>
      </c>
      <c r="F27" s="12">
        <v>742</v>
      </c>
      <c r="G27" s="11">
        <v>0</v>
      </c>
      <c r="H27" s="11">
        <v>0.13300000000000001</v>
      </c>
      <c r="I27" s="10">
        <v>917000</v>
      </c>
      <c r="J27" s="12" t="s">
        <v>1209</v>
      </c>
      <c r="K27" s="12">
        <v>99</v>
      </c>
      <c r="L27" s="12" t="s">
        <v>1210</v>
      </c>
      <c r="M27" s="10">
        <v>14007267924</v>
      </c>
      <c r="N27" s="10">
        <v>1668821</v>
      </c>
      <c r="O27" s="12">
        <v>47</v>
      </c>
    </row>
    <row r="28" spans="1:15" ht="27" x14ac:dyDescent="0.3">
      <c r="A28" s="9">
        <v>43483</v>
      </c>
      <c r="B28" s="12">
        <v>6</v>
      </c>
      <c r="C28" s="11">
        <v>1E-3</v>
      </c>
      <c r="D28" s="12">
        <v>6</v>
      </c>
      <c r="E28" s="11">
        <v>0</v>
      </c>
      <c r="F28" s="12">
        <v>832</v>
      </c>
      <c r="G28" s="11">
        <v>0</v>
      </c>
      <c r="H28" s="11">
        <v>0.13800000000000001</v>
      </c>
      <c r="I28" s="10">
        <v>1093000</v>
      </c>
      <c r="J28" s="12" t="s">
        <v>1211</v>
      </c>
      <c r="K28" s="12">
        <v>115</v>
      </c>
      <c r="L28" s="12" t="s">
        <v>1212</v>
      </c>
      <c r="M28" s="10">
        <v>14008360924</v>
      </c>
      <c r="N28" s="10">
        <v>1668936</v>
      </c>
      <c r="O28" s="12">
        <v>45</v>
      </c>
    </row>
    <row r="29" spans="1:15" ht="27" x14ac:dyDescent="0.3">
      <c r="A29" s="9">
        <v>43484</v>
      </c>
      <c r="B29" s="12">
        <v>9</v>
      </c>
      <c r="C29" s="11">
        <v>1E-3</v>
      </c>
      <c r="D29" s="12">
        <v>9</v>
      </c>
      <c r="E29" s="11">
        <v>0</v>
      </c>
      <c r="F29" s="10">
        <v>1364</v>
      </c>
      <c r="G29" s="11">
        <v>0</v>
      </c>
      <c r="H29" s="11">
        <v>0.14099999999999999</v>
      </c>
      <c r="I29" s="10">
        <v>1812500</v>
      </c>
      <c r="J29" s="12" t="s">
        <v>1213</v>
      </c>
      <c r="K29" s="12">
        <v>192</v>
      </c>
      <c r="L29" s="12" t="s">
        <v>1214</v>
      </c>
      <c r="M29" s="10">
        <v>14010173424</v>
      </c>
      <c r="N29" s="10">
        <v>1669128</v>
      </c>
      <c r="O29" s="12">
        <v>37</v>
      </c>
    </row>
    <row r="30" spans="1:15" ht="27" x14ac:dyDescent="0.3">
      <c r="A30" s="9">
        <v>43485</v>
      </c>
      <c r="B30" s="12">
        <v>10</v>
      </c>
      <c r="C30" s="11">
        <v>1E-3</v>
      </c>
      <c r="D30" s="12">
        <v>10</v>
      </c>
      <c r="E30" s="11">
        <v>1E-3</v>
      </c>
      <c r="F30" s="10">
        <v>1310</v>
      </c>
      <c r="G30" s="11">
        <v>0</v>
      </c>
      <c r="H30" s="11">
        <v>0.13100000000000001</v>
      </c>
      <c r="I30" s="10">
        <v>1546500</v>
      </c>
      <c r="J30" s="12" t="s">
        <v>1215</v>
      </c>
      <c r="K30" s="12">
        <v>171</v>
      </c>
      <c r="L30" s="12" t="s">
        <v>1216</v>
      </c>
      <c r="M30" s="10">
        <v>14011719924</v>
      </c>
      <c r="N30" s="10">
        <v>1669299</v>
      </c>
      <c r="O30" s="12">
        <v>32</v>
      </c>
    </row>
    <row r="31" spans="1:15" ht="27" x14ac:dyDescent="0.3">
      <c r="A31" s="9">
        <v>43486</v>
      </c>
      <c r="B31" s="12">
        <v>2</v>
      </c>
      <c r="C31" s="11">
        <v>0</v>
      </c>
      <c r="D31" s="12">
        <v>2</v>
      </c>
      <c r="E31" s="11">
        <v>0</v>
      </c>
      <c r="F31" s="12">
        <v>306</v>
      </c>
      <c r="G31" s="11">
        <v>0</v>
      </c>
      <c r="H31" s="11">
        <v>3.9E-2</v>
      </c>
      <c r="I31" s="10">
        <v>75000</v>
      </c>
      <c r="J31" s="12" t="s">
        <v>1217</v>
      </c>
      <c r="K31" s="12">
        <v>12</v>
      </c>
      <c r="L31" s="12" t="s">
        <v>1218</v>
      </c>
      <c r="M31" s="10">
        <v>14011794924</v>
      </c>
      <c r="N31" s="10">
        <v>1669311</v>
      </c>
      <c r="O31" s="12">
        <v>65</v>
      </c>
    </row>
    <row r="32" spans="1:15" ht="27" x14ac:dyDescent="0.3">
      <c r="A32" s="9">
        <v>43487</v>
      </c>
      <c r="B32" s="12">
        <v>3</v>
      </c>
      <c r="C32" s="11">
        <v>0</v>
      </c>
      <c r="D32" s="12">
        <v>3</v>
      </c>
      <c r="E32" s="11">
        <v>0</v>
      </c>
      <c r="F32" s="12">
        <v>422</v>
      </c>
      <c r="G32" s="11">
        <v>0</v>
      </c>
      <c r="H32" s="11">
        <v>8.5000000000000006E-2</v>
      </c>
      <c r="I32" s="10">
        <v>303000</v>
      </c>
      <c r="J32" s="12" t="s">
        <v>1219</v>
      </c>
      <c r="K32" s="12">
        <v>36</v>
      </c>
      <c r="L32" s="12" t="s">
        <v>1220</v>
      </c>
      <c r="M32" s="10">
        <v>14012097924</v>
      </c>
      <c r="N32" s="10">
        <v>1669347</v>
      </c>
      <c r="O32" s="12">
        <v>63</v>
      </c>
    </row>
    <row r="33" spans="1:15" ht="27" x14ac:dyDescent="0.3">
      <c r="A33" s="9">
        <v>43488</v>
      </c>
      <c r="B33" s="12">
        <v>20</v>
      </c>
      <c r="C33" s="11">
        <v>3.0000000000000001E-3</v>
      </c>
      <c r="D33" s="12">
        <v>20</v>
      </c>
      <c r="E33" s="11">
        <v>1E-3</v>
      </c>
      <c r="F33" s="10">
        <v>2532</v>
      </c>
      <c r="G33" s="11">
        <v>1E-3</v>
      </c>
      <c r="H33" s="11">
        <v>0.158</v>
      </c>
      <c r="I33" s="10">
        <v>2000000</v>
      </c>
      <c r="J33" s="12" t="s">
        <v>1221</v>
      </c>
      <c r="K33" s="12">
        <v>400</v>
      </c>
      <c r="L33" s="12" t="s">
        <v>1222</v>
      </c>
      <c r="M33" s="10">
        <v>14014097924</v>
      </c>
      <c r="N33" s="10">
        <v>1669747</v>
      </c>
      <c r="O33" s="12">
        <v>25</v>
      </c>
    </row>
    <row r="34" spans="1:15" ht="27" x14ac:dyDescent="0.3">
      <c r="A34" s="9">
        <v>43489</v>
      </c>
      <c r="B34" s="12">
        <v>6</v>
      </c>
      <c r="C34" s="11">
        <v>1E-3</v>
      </c>
      <c r="D34" s="12">
        <v>6</v>
      </c>
      <c r="E34" s="11">
        <v>0</v>
      </c>
      <c r="F34" s="12">
        <v>679</v>
      </c>
      <c r="G34" s="11">
        <v>0</v>
      </c>
      <c r="H34" s="11">
        <v>0.161</v>
      </c>
      <c r="I34" s="10">
        <v>590000</v>
      </c>
      <c r="J34" s="12" t="s">
        <v>1223</v>
      </c>
      <c r="K34" s="12">
        <v>109</v>
      </c>
      <c r="L34" s="12" t="s">
        <v>1224</v>
      </c>
      <c r="M34" s="10">
        <v>14014687924</v>
      </c>
      <c r="N34" s="10">
        <v>1669856</v>
      </c>
      <c r="O34" s="12">
        <v>42</v>
      </c>
    </row>
    <row r="35" spans="1:15" ht="27" x14ac:dyDescent="0.3">
      <c r="A35" s="9">
        <v>43490</v>
      </c>
      <c r="B35" s="12">
        <v>5</v>
      </c>
      <c r="C35" s="11">
        <v>1E-3</v>
      </c>
      <c r="D35" s="12">
        <v>5</v>
      </c>
      <c r="E35" s="11">
        <v>0</v>
      </c>
      <c r="F35" s="12">
        <v>564</v>
      </c>
      <c r="G35" s="11">
        <v>0</v>
      </c>
      <c r="H35" s="11">
        <v>0.17699999999999999</v>
      </c>
      <c r="I35" s="10">
        <v>500000</v>
      </c>
      <c r="J35" s="12" t="s">
        <v>1225</v>
      </c>
      <c r="K35" s="12">
        <v>100</v>
      </c>
      <c r="L35" s="12" t="s">
        <v>1226</v>
      </c>
      <c r="M35" s="10">
        <v>14015187924</v>
      </c>
      <c r="N35" s="10">
        <v>1669956</v>
      </c>
      <c r="O35" s="12">
        <v>43</v>
      </c>
    </row>
    <row r="36" spans="1:15" x14ac:dyDescent="0.3">
      <c r="A36" s="9">
        <v>43491</v>
      </c>
      <c r="B36" s="12">
        <v>5</v>
      </c>
      <c r="C36" s="11">
        <v>1E-3</v>
      </c>
      <c r="D36" s="12">
        <v>5</v>
      </c>
      <c r="E36" s="11">
        <v>0</v>
      </c>
      <c r="F36" s="12">
        <v>594</v>
      </c>
      <c r="G36" s="11">
        <v>0</v>
      </c>
      <c r="H36" s="11">
        <v>0.16800000000000001</v>
      </c>
      <c r="I36" s="10">
        <v>500000</v>
      </c>
      <c r="J36" s="12" t="s">
        <v>292</v>
      </c>
      <c r="K36" s="12">
        <v>100</v>
      </c>
      <c r="L36" s="12" t="s">
        <v>292</v>
      </c>
      <c r="M36" s="10">
        <v>14015687924</v>
      </c>
      <c r="N36" s="10">
        <v>1670056</v>
      </c>
      <c r="O36" s="12">
        <v>42</v>
      </c>
    </row>
    <row r="37" spans="1:15" x14ac:dyDescent="0.3">
      <c r="A37" s="9">
        <v>43492</v>
      </c>
      <c r="B37" s="12">
        <v>5</v>
      </c>
      <c r="C37" s="11">
        <v>1E-3</v>
      </c>
      <c r="D37" s="12">
        <v>5</v>
      </c>
      <c r="E37" s="11">
        <v>0</v>
      </c>
      <c r="F37" s="12">
        <v>594</v>
      </c>
      <c r="G37" s="11">
        <v>0</v>
      </c>
      <c r="H37" s="11">
        <v>0.16800000000000001</v>
      </c>
      <c r="I37" s="10">
        <v>500000</v>
      </c>
      <c r="J37" s="12" t="s">
        <v>292</v>
      </c>
      <c r="K37" s="12">
        <v>100</v>
      </c>
      <c r="L37" s="12" t="s">
        <v>292</v>
      </c>
      <c r="M37" s="10">
        <v>14016187924</v>
      </c>
      <c r="N37" s="10">
        <v>1670156</v>
      </c>
      <c r="O37" s="12">
        <v>45</v>
      </c>
    </row>
    <row r="38" spans="1:15" ht="27" x14ac:dyDescent="0.3">
      <c r="A38" s="9">
        <v>43493</v>
      </c>
      <c r="B38" s="12">
        <v>6</v>
      </c>
      <c r="C38" s="11">
        <v>1E-3</v>
      </c>
      <c r="D38" s="12">
        <v>6</v>
      </c>
      <c r="E38" s="11">
        <v>0</v>
      </c>
      <c r="F38" s="12">
        <v>745</v>
      </c>
      <c r="G38" s="11">
        <v>0</v>
      </c>
      <c r="H38" s="11">
        <v>0.13600000000000001</v>
      </c>
      <c r="I38" s="10">
        <v>505000</v>
      </c>
      <c r="J38" s="12" t="s">
        <v>1227</v>
      </c>
      <c r="K38" s="12">
        <v>101</v>
      </c>
      <c r="L38" s="12" t="s">
        <v>1228</v>
      </c>
      <c r="M38" s="10">
        <v>14016692924</v>
      </c>
      <c r="N38" s="10">
        <v>1670257</v>
      </c>
      <c r="O38" s="12">
        <v>42</v>
      </c>
    </row>
    <row r="39" spans="1:15" x14ac:dyDescent="0.3">
      <c r="A39" s="9">
        <v>43494</v>
      </c>
      <c r="B39" s="12">
        <v>6</v>
      </c>
      <c r="C39" s="11">
        <v>1E-3</v>
      </c>
      <c r="D39" s="12">
        <v>6</v>
      </c>
      <c r="E39" s="11">
        <v>0</v>
      </c>
      <c r="F39" s="12">
        <v>745</v>
      </c>
      <c r="G39" s="11">
        <v>0</v>
      </c>
      <c r="H39" s="11">
        <v>0.13600000000000001</v>
      </c>
      <c r="I39" s="10">
        <v>505000</v>
      </c>
      <c r="J39" s="12" t="s">
        <v>292</v>
      </c>
      <c r="K39" s="12">
        <v>101</v>
      </c>
      <c r="L39" s="12" t="s">
        <v>292</v>
      </c>
      <c r="M39" s="10">
        <v>14017197924</v>
      </c>
      <c r="N39" s="10">
        <v>1670358</v>
      </c>
      <c r="O39" s="12">
        <v>53</v>
      </c>
    </row>
    <row r="40" spans="1:15" x14ac:dyDescent="0.3">
      <c r="A40" s="9">
        <v>43495</v>
      </c>
      <c r="B40" s="12">
        <v>6</v>
      </c>
      <c r="C40" s="11">
        <v>1E-3</v>
      </c>
      <c r="D40" s="12">
        <v>6</v>
      </c>
      <c r="E40" s="11">
        <v>0</v>
      </c>
      <c r="F40" s="12">
        <v>727</v>
      </c>
      <c r="G40" s="11">
        <v>0</v>
      </c>
      <c r="H40" s="11">
        <v>0.13900000000000001</v>
      </c>
      <c r="I40" s="10">
        <v>505000</v>
      </c>
      <c r="J40" s="12" t="s">
        <v>292</v>
      </c>
      <c r="K40" s="12">
        <v>101</v>
      </c>
      <c r="L40" s="12" t="s">
        <v>292</v>
      </c>
      <c r="M40" s="10">
        <v>14017702924</v>
      </c>
      <c r="N40" s="10">
        <v>1670459</v>
      </c>
      <c r="O40" s="12">
        <v>41</v>
      </c>
    </row>
    <row r="41" spans="1:15" ht="27" x14ac:dyDescent="0.3">
      <c r="A41" s="9">
        <v>43496</v>
      </c>
      <c r="B41" s="12">
        <v>5</v>
      </c>
      <c r="C41" s="11">
        <v>1E-3</v>
      </c>
      <c r="D41" s="12">
        <v>5</v>
      </c>
      <c r="E41" s="11">
        <v>0</v>
      </c>
      <c r="F41" s="12">
        <v>654</v>
      </c>
      <c r="G41" s="11">
        <v>0</v>
      </c>
      <c r="H41" s="11">
        <v>0.153</v>
      </c>
      <c r="I41" s="10">
        <v>500000</v>
      </c>
      <c r="J41" s="12" t="s">
        <v>1229</v>
      </c>
      <c r="K41" s="12">
        <v>100</v>
      </c>
      <c r="L41" s="12" t="s">
        <v>1230</v>
      </c>
      <c r="M41" s="10">
        <v>14018202924</v>
      </c>
      <c r="N41" s="10">
        <v>1670559</v>
      </c>
      <c r="O41" s="12">
        <v>40</v>
      </c>
    </row>
    <row r="42" spans="1:15" ht="27" x14ac:dyDescent="0.3">
      <c r="A42" s="9">
        <v>43497</v>
      </c>
      <c r="B42" s="12">
        <v>4</v>
      </c>
      <c r="C42" s="11">
        <v>1E-3</v>
      </c>
      <c r="D42" s="12">
        <v>4</v>
      </c>
      <c r="E42" s="11">
        <v>0</v>
      </c>
      <c r="F42" s="12">
        <v>511</v>
      </c>
      <c r="G42" s="11">
        <v>0</v>
      </c>
      <c r="H42" s="11">
        <v>0.157</v>
      </c>
      <c r="I42" s="10">
        <v>400000</v>
      </c>
      <c r="J42" s="12" t="s">
        <v>1231</v>
      </c>
      <c r="K42" s="12">
        <v>80</v>
      </c>
      <c r="L42" s="12" t="s">
        <v>1232</v>
      </c>
      <c r="M42" s="10">
        <v>14018602924</v>
      </c>
      <c r="N42" s="10">
        <v>1670639</v>
      </c>
      <c r="O42" s="12">
        <v>32</v>
      </c>
    </row>
    <row r="43" spans="1:15" ht="27" x14ac:dyDescent="0.3">
      <c r="A43" s="9">
        <v>43498</v>
      </c>
      <c r="B43" s="12">
        <v>5</v>
      </c>
      <c r="C43" s="11">
        <v>1E-3</v>
      </c>
      <c r="D43" s="12">
        <v>5</v>
      </c>
      <c r="E43" s="11">
        <v>0</v>
      </c>
      <c r="F43" s="12">
        <v>629</v>
      </c>
      <c r="G43" s="11">
        <v>0</v>
      </c>
      <c r="H43" s="11">
        <v>0.191</v>
      </c>
      <c r="I43" s="10">
        <v>600000</v>
      </c>
      <c r="J43" s="12" t="s">
        <v>1233</v>
      </c>
      <c r="K43" s="12">
        <v>120</v>
      </c>
      <c r="L43" s="12" t="s">
        <v>1234</v>
      </c>
      <c r="M43" s="10">
        <v>14019202924</v>
      </c>
      <c r="N43" s="10">
        <v>1670759</v>
      </c>
      <c r="O43" s="12">
        <v>33</v>
      </c>
    </row>
    <row r="44" spans="1:15" ht="27" x14ac:dyDescent="0.3">
      <c r="A44" s="9">
        <v>43499</v>
      </c>
      <c r="B44" s="12">
        <v>5</v>
      </c>
      <c r="C44" s="11">
        <v>1E-3</v>
      </c>
      <c r="D44" s="12">
        <v>5</v>
      </c>
      <c r="E44" s="11">
        <v>0</v>
      </c>
      <c r="F44" s="12">
        <v>772</v>
      </c>
      <c r="G44" s="11">
        <v>0</v>
      </c>
      <c r="H44" s="11">
        <v>0.13</v>
      </c>
      <c r="I44" s="10">
        <v>500000</v>
      </c>
      <c r="J44" s="12" t="s">
        <v>1235</v>
      </c>
      <c r="K44" s="12">
        <v>100</v>
      </c>
      <c r="L44" s="12" t="s">
        <v>1236</v>
      </c>
      <c r="M44" s="10">
        <v>14019702924</v>
      </c>
      <c r="N44" s="10">
        <v>1670859</v>
      </c>
      <c r="O44" s="12">
        <v>32</v>
      </c>
    </row>
    <row r="45" spans="1:15" x14ac:dyDescent="0.3">
      <c r="A45" s="9">
        <v>43500</v>
      </c>
      <c r="B45" s="12">
        <v>5</v>
      </c>
      <c r="C45" s="11">
        <v>1E-3</v>
      </c>
      <c r="D45" s="12">
        <v>5</v>
      </c>
      <c r="E45" s="11">
        <v>0</v>
      </c>
      <c r="F45" s="12">
        <v>772</v>
      </c>
      <c r="G45" s="11">
        <v>0</v>
      </c>
      <c r="H45" s="11">
        <v>0.13</v>
      </c>
      <c r="I45" s="10">
        <v>500000</v>
      </c>
      <c r="J45" s="12" t="s">
        <v>292</v>
      </c>
      <c r="K45" s="12">
        <v>100</v>
      </c>
      <c r="L45" s="12" t="s">
        <v>292</v>
      </c>
      <c r="M45" s="10">
        <v>14020202924</v>
      </c>
      <c r="N45" s="10">
        <v>1670959</v>
      </c>
      <c r="O45" s="12">
        <v>32</v>
      </c>
    </row>
    <row r="46" spans="1:15" x14ac:dyDescent="0.3">
      <c r="A46" s="9">
        <v>43501</v>
      </c>
      <c r="B46" s="12">
        <v>5</v>
      </c>
      <c r="C46" s="11">
        <v>1E-3</v>
      </c>
      <c r="D46" s="12">
        <v>5</v>
      </c>
      <c r="E46" s="11">
        <v>0</v>
      </c>
      <c r="F46" s="12">
        <v>583</v>
      </c>
      <c r="G46" s="11">
        <v>0</v>
      </c>
      <c r="H46" s="11">
        <v>0.17199999999999999</v>
      </c>
      <c r="I46" s="10">
        <v>500000</v>
      </c>
      <c r="J46" s="12" t="s">
        <v>292</v>
      </c>
      <c r="K46" s="12">
        <v>100</v>
      </c>
      <c r="L46" s="12" t="s">
        <v>292</v>
      </c>
      <c r="M46" s="10">
        <v>14020702924</v>
      </c>
      <c r="N46" s="10">
        <v>1671059</v>
      </c>
      <c r="O46" s="12">
        <v>32</v>
      </c>
    </row>
    <row r="47" spans="1:15" ht="27" x14ac:dyDescent="0.3">
      <c r="A47" s="9">
        <v>43504</v>
      </c>
      <c r="B47" s="12">
        <v>1</v>
      </c>
      <c r="C47" s="11">
        <v>0</v>
      </c>
      <c r="D47" s="12">
        <v>1</v>
      </c>
      <c r="E47" s="11">
        <v>0</v>
      </c>
      <c r="F47" s="12">
        <v>104</v>
      </c>
      <c r="G47" s="11">
        <v>0</v>
      </c>
      <c r="H47" s="11">
        <v>0.01</v>
      </c>
      <c r="I47" s="10">
        <v>5000</v>
      </c>
      <c r="J47" s="12" t="s">
        <v>584</v>
      </c>
      <c r="K47" s="12">
        <v>1</v>
      </c>
      <c r="L47" s="12" t="s">
        <v>312</v>
      </c>
      <c r="M47" s="10">
        <v>14020707924</v>
      </c>
      <c r="N47" s="10">
        <v>1671060</v>
      </c>
      <c r="O47" s="12">
        <v>81</v>
      </c>
    </row>
    <row r="48" spans="1:15" ht="27" x14ac:dyDescent="0.3">
      <c r="A48" s="9">
        <v>43508</v>
      </c>
      <c r="B48" s="12">
        <v>1</v>
      </c>
      <c r="C48" s="11">
        <v>0</v>
      </c>
      <c r="D48" s="12">
        <v>1</v>
      </c>
      <c r="E48" s="11">
        <v>0</v>
      </c>
      <c r="F48" s="12">
        <v>97</v>
      </c>
      <c r="G48" s="11">
        <v>0</v>
      </c>
      <c r="H48" s="11">
        <v>0.01</v>
      </c>
      <c r="I48" s="10">
        <v>5000</v>
      </c>
      <c r="J48" s="12" t="s">
        <v>584</v>
      </c>
      <c r="K48" s="12">
        <v>1</v>
      </c>
      <c r="L48" s="12" t="s">
        <v>312</v>
      </c>
      <c r="M48" s="10">
        <v>14020712924</v>
      </c>
      <c r="N48" s="10">
        <v>1671061</v>
      </c>
      <c r="O48" s="12">
        <v>79</v>
      </c>
    </row>
    <row r="49" spans="1:15" ht="27" x14ac:dyDescent="0.3">
      <c r="A49" s="9">
        <v>43509</v>
      </c>
      <c r="B49" s="12">
        <v>1</v>
      </c>
      <c r="C49" s="11">
        <v>0</v>
      </c>
      <c r="D49" s="12">
        <v>1</v>
      </c>
      <c r="E49" s="11">
        <v>0</v>
      </c>
      <c r="F49" s="12">
        <v>306</v>
      </c>
      <c r="G49" s="11">
        <v>0</v>
      </c>
      <c r="H49" s="11">
        <v>1</v>
      </c>
      <c r="I49" s="10">
        <v>2601000</v>
      </c>
      <c r="J49" s="12" t="s">
        <v>1237</v>
      </c>
      <c r="K49" s="12">
        <v>306</v>
      </c>
      <c r="L49" s="12" t="s">
        <v>1238</v>
      </c>
      <c r="M49" s="10">
        <v>14023313924</v>
      </c>
      <c r="N49" s="10">
        <v>1671367</v>
      </c>
      <c r="O49" s="12">
        <v>28</v>
      </c>
    </row>
    <row r="50" spans="1:15" ht="27" x14ac:dyDescent="0.3">
      <c r="A50" s="9">
        <v>43510</v>
      </c>
      <c r="B50" s="12">
        <v>2</v>
      </c>
      <c r="C50" s="11">
        <v>0</v>
      </c>
      <c r="D50" s="12">
        <v>2</v>
      </c>
      <c r="E50" s="11">
        <v>0</v>
      </c>
      <c r="F50" s="12">
        <v>403</v>
      </c>
      <c r="G50" s="11">
        <v>0</v>
      </c>
      <c r="H50" s="11">
        <v>0.442</v>
      </c>
      <c r="I50" s="10">
        <v>1509500</v>
      </c>
      <c r="J50" s="12" t="s">
        <v>1239</v>
      </c>
      <c r="K50" s="12">
        <v>178</v>
      </c>
      <c r="L50" s="12" t="s">
        <v>1240</v>
      </c>
      <c r="M50" s="10">
        <v>14024823424</v>
      </c>
      <c r="N50" s="10">
        <v>1671545</v>
      </c>
      <c r="O50" s="12">
        <v>37</v>
      </c>
    </row>
    <row r="51" spans="1:15" ht="27" x14ac:dyDescent="0.3">
      <c r="A51" s="9">
        <v>43518</v>
      </c>
      <c r="B51" s="12">
        <v>1</v>
      </c>
      <c r="C51" s="11">
        <v>0</v>
      </c>
      <c r="D51" s="12">
        <v>1</v>
      </c>
      <c r="E51" s="11">
        <v>0</v>
      </c>
      <c r="F51" s="12">
        <v>117</v>
      </c>
      <c r="G51" s="11">
        <v>0</v>
      </c>
      <c r="H51" s="11">
        <v>8.9999999999999993E-3</v>
      </c>
      <c r="I51" s="10">
        <v>5000</v>
      </c>
      <c r="J51" s="12" t="s">
        <v>584</v>
      </c>
      <c r="K51" s="12">
        <v>1</v>
      </c>
      <c r="L51" s="12" t="s">
        <v>312</v>
      </c>
      <c r="M51" s="10">
        <v>14024828424</v>
      </c>
      <c r="N51" s="10">
        <v>1671546</v>
      </c>
      <c r="O51" s="12">
        <v>84</v>
      </c>
    </row>
    <row r="52" spans="1:15" ht="27" x14ac:dyDescent="0.3">
      <c r="A52" s="9">
        <v>43521</v>
      </c>
      <c r="B52" s="12">
        <v>1</v>
      </c>
      <c r="C52" s="11">
        <v>0</v>
      </c>
      <c r="D52" s="12">
        <v>1</v>
      </c>
      <c r="E52" s="11">
        <v>0</v>
      </c>
      <c r="F52" s="12">
        <v>117</v>
      </c>
      <c r="G52" s="11">
        <v>0</v>
      </c>
      <c r="H52" s="11">
        <v>8.9999999999999993E-3</v>
      </c>
      <c r="I52" s="10">
        <v>5000</v>
      </c>
      <c r="J52" s="12" t="s">
        <v>584</v>
      </c>
      <c r="K52" s="12">
        <v>1</v>
      </c>
      <c r="L52" s="12" t="s">
        <v>312</v>
      </c>
      <c r="M52" s="10">
        <v>14024833424</v>
      </c>
      <c r="N52" s="10">
        <v>1671547</v>
      </c>
      <c r="O52" s="12">
        <v>89</v>
      </c>
    </row>
    <row r="53" spans="1:15" ht="27" x14ac:dyDescent="0.3">
      <c r="A53" s="9">
        <v>43524</v>
      </c>
      <c r="B53" s="12">
        <v>1</v>
      </c>
      <c r="C53" s="11">
        <v>0</v>
      </c>
      <c r="D53" s="12">
        <v>1</v>
      </c>
      <c r="E53" s="11">
        <v>0</v>
      </c>
      <c r="F53" s="12">
        <v>97</v>
      </c>
      <c r="G53" s="11">
        <v>0</v>
      </c>
      <c r="H53" s="11">
        <v>0.01</v>
      </c>
      <c r="I53" s="10">
        <v>5000</v>
      </c>
      <c r="J53" s="12" t="s">
        <v>584</v>
      </c>
      <c r="K53" s="12">
        <v>1</v>
      </c>
      <c r="L53" s="12" t="s">
        <v>312</v>
      </c>
      <c r="M53" s="10">
        <v>14024838424</v>
      </c>
      <c r="N53" s="10">
        <v>1671548</v>
      </c>
      <c r="O53" s="12">
        <v>94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B4A7B-8DBF-47E3-9A77-2E5A5526901A}">
  <dimension ref="A1:O39"/>
  <sheetViews>
    <sheetView workbookViewId="0">
      <selection activeCell="A5" sqref="A5:O5"/>
    </sheetView>
  </sheetViews>
  <sheetFormatPr defaultRowHeight="16.5" x14ac:dyDescent="0.3"/>
  <sheetData>
    <row r="1" spans="1:15" x14ac:dyDescent="0.3">
      <c r="A1" t="s">
        <v>1241</v>
      </c>
    </row>
    <row r="2" spans="1:15" x14ac:dyDescent="0.3">
      <c r="A2" t="s">
        <v>1242</v>
      </c>
    </row>
    <row r="3" spans="1:15" x14ac:dyDescent="0.3">
      <c r="A3" t="s">
        <v>1243</v>
      </c>
    </row>
    <row r="4" spans="1:15" x14ac:dyDescent="0.3">
      <c r="A4" t="s">
        <v>111</v>
      </c>
      <c r="B4" t="s">
        <v>112</v>
      </c>
      <c r="C4" t="s">
        <v>113</v>
      </c>
      <c r="D4" t="s">
        <v>114</v>
      </c>
      <c r="E4" t="s">
        <v>115</v>
      </c>
      <c r="F4" t="s">
        <v>116</v>
      </c>
      <c r="G4" t="s">
        <v>117</v>
      </c>
      <c r="H4" t="s">
        <v>118</v>
      </c>
      <c r="I4" t="s">
        <v>119</v>
      </c>
      <c r="J4" t="s">
        <v>120</v>
      </c>
      <c r="K4" t="s">
        <v>121</v>
      </c>
      <c r="L4" t="s">
        <v>122</v>
      </c>
      <c r="M4" t="s">
        <v>123</v>
      </c>
      <c r="N4" t="s">
        <v>124</v>
      </c>
      <c r="O4" t="s">
        <v>125</v>
      </c>
    </row>
    <row r="5" spans="1:15" x14ac:dyDescent="0.3">
      <c r="A5" s="13">
        <v>43482</v>
      </c>
      <c r="B5">
        <v>837</v>
      </c>
      <c r="C5" s="14">
        <v>0.115</v>
      </c>
      <c r="D5" s="3">
        <v>3400</v>
      </c>
      <c r="E5" s="14">
        <v>0.186</v>
      </c>
      <c r="F5" s="3">
        <v>617553</v>
      </c>
      <c r="G5" s="14">
        <v>0.217</v>
      </c>
      <c r="H5" s="14">
        <v>0.11600000000000001</v>
      </c>
      <c r="I5" s="3">
        <v>615511580</v>
      </c>
      <c r="J5" t="s">
        <v>1244</v>
      </c>
      <c r="K5" s="3">
        <v>71816</v>
      </c>
      <c r="L5" t="s">
        <v>1245</v>
      </c>
      <c r="M5" s="3">
        <v>623623580</v>
      </c>
      <c r="N5" s="3">
        <v>72440</v>
      </c>
      <c r="O5">
        <v>3</v>
      </c>
    </row>
    <row r="6" spans="1:15" x14ac:dyDescent="0.3">
      <c r="A6" s="13">
        <v>43483</v>
      </c>
      <c r="B6">
        <v>817</v>
      </c>
      <c r="C6" s="14">
        <v>0.111</v>
      </c>
      <c r="D6" s="3">
        <v>3360</v>
      </c>
      <c r="E6" s="14">
        <v>0.182</v>
      </c>
      <c r="F6" s="3">
        <v>603132</v>
      </c>
      <c r="G6" s="14">
        <v>0.20899999999999999</v>
      </c>
      <c r="H6" s="14">
        <v>0.107</v>
      </c>
      <c r="I6" s="3">
        <v>603538158</v>
      </c>
      <c r="J6" t="s">
        <v>1246</v>
      </c>
      <c r="K6" s="3">
        <v>64404</v>
      </c>
      <c r="L6" t="s">
        <v>1247</v>
      </c>
      <c r="M6" s="3">
        <v>1227161738</v>
      </c>
      <c r="N6" s="3">
        <v>136844</v>
      </c>
      <c r="O6">
        <v>3</v>
      </c>
    </row>
    <row r="7" spans="1:15" x14ac:dyDescent="0.3">
      <c r="A7" s="13">
        <v>43484</v>
      </c>
      <c r="B7">
        <v>810</v>
      </c>
      <c r="C7" s="14">
        <v>0.104</v>
      </c>
      <c r="D7" s="3">
        <v>3167</v>
      </c>
      <c r="E7" s="14">
        <v>0.16300000000000001</v>
      </c>
      <c r="F7" s="3">
        <v>552602</v>
      </c>
      <c r="G7" s="14">
        <v>0.183</v>
      </c>
      <c r="H7" s="14">
        <v>0.20499999999999999</v>
      </c>
      <c r="I7" s="3">
        <v>1062950124</v>
      </c>
      <c r="J7" t="s">
        <v>1248</v>
      </c>
      <c r="K7" s="3">
        <v>113258</v>
      </c>
      <c r="L7" t="s">
        <v>1249</v>
      </c>
      <c r="M7" s="3">
        <v>2290111862</v>
      </c>
      <c r="N7" s="3">
        <v>250102</v>
      </c>
      <c r="O7">
        <v>3</v>
      </c>
    </row>
    <row r="8" spans="1:15" x14ac:dyDescent="0.3">
      <c r="A8" s="13">
        <v>43485</v>
      </c>
      <c r="B8">
        <v>792</v>
      </c>
      <c r="C8" s="14">
        <v>0.10299999999999999</v>
      </c>
      <c r="D8" s="3">
        <v>2931</v>
      </c>
      <c r="E8" s="14">
        <v>0.155</v>
      </c>
      <c r="F8" s="3">
        <v>513952</v>
      </c>
      <c r="G8" s="14">
        <v>0.17499999999999999</v>
      </c>
      <c r="H8" s="14">
        <v>0.17399999999999999</v>
      </c>
      <c r="I8" s="3">
        <v>837810510</v>
      </c>
      <c r="J8" t="s">
        <v>1250</v>
      </c>
      <c r="K8" s="3">
        <v>89605</v>
      </c>
      <c r="L8" t="s">
        <v>1251</v>
      </c>
      <c r="M8" s="3">
        <v>3127922372</v>
      </c>
      <c r="N8" s="3">
        <v>339707</v>
      </c>
      <c r="O8">
        <v>3</v>
      </c>
    </row>
    <row r="9" spans="1:15" x14ac:dyDescent="0.3">
      <c r="A9" s="13">
        <v>43486</v>
      </c>
      <c r="B9">
        <v>735</v>
      </c>
      <c r="C9" s="14">
        <v>0.106</v>
      </c>
      <c r="D9" s="3">
        <v>2739</v>
      </c>
      <c r="E9" s="14">
        <v>0.157</v>
      </c>
      <c r="F9" s="3">
        <v>476501</v>
      </c>
      <c r="G9" s="14">
        <v>0.17399999999999999</v>
      </c>
      <c r="H9" s="14">
        <v>6.7000000000000004E-2</v>
      </c>
      <c r="I9" s="3">
        <v>270294530</v>
      </c>
      <c r="J9" t="s">
        <v>1252</v>
      </c>
      <c r="K9" s="3">
        <v>31743</v>
      </c>
      <c r="L9" t="s">
        <v>1253</v>
      </c>
      <c r="M9" s="3">
        <v>3398216902</v>
      </c>
      <c r="N9" s="3">
        <v>371450</v>
      </c>
      <c r="O9">
        <v>3</v>
      </c>
    </row>
    <row r="10" spans="1:15" x14ac:dyDescent="0.3">
      <c r="A10" s="13">
        <v>43487</v>
      </c>
      <c r="B10">
        <v>727</v>
      </c>
      <c r="C10" s="14">
        <v>0.10199999999999999</v>
      </c>
      <c r="D10" s="3">
        <v>2605</v>
      </c>
      <c r="E10" s="14">
        <v>0.15</v>
      </c>
      <c r="F10" s="3">
        <v>455288</v>
      </c>
      <c r="G10" s="14">
        <v>0.16700000000000001</v>
      </c>
      <c r="H10" s="14">
        <v>5.7000000000000002E-2</v>
      </c>
      <c r="I10" s="3">
        <v>220560100</v>
      </c>
      <c r="J10" t="s">
        <v>1254</v>
      </c>
      <c r="K10" s="3">
        <v>26131</v>
      </c>
      <c r="L10" t="s">
        <v>1255</v>
      </c>
      <c r="M10" s="3">
        <v>3618777002</v>
      </c>
      <c r="N10" s="3">
        <v>397581</v>
      </c>
      <c r="O10">
        <v>3</v>
      </c>
    </row>
    <row r="11" spans="1:15" x14ac:dyDescent="0.3">
      <c r="A11" s="13">
        <v>43488</v>
      </c>
      <c r="B11">
        <v>490</v>
      </c>
      <c r="C11" s="14">
        <v>0.08</v>
      </c>
      <c r="D11" s="3">
        <v>1220</v>
      </c>
      <c r="E11" s="14">
        <v>6.6000000000000003E-2</v>
      </c>
      <c r="F11" s="3">
        <v>178319</v>
      </c>
      <c r="G11" s="14">
        <v>6.0999999999999999E-2</v>
      </c>
      <c r="H11" s="14">
        <v>6.5000000000000002E-2</v>
      </c>
      <c r="I11" s="3">
        <v>104067250</v>
      </c>
      <c r="J11" t="s">
        <v>1256</v>
      </c>
      <c r="K11" s="3">
        <v>11678</v>
      </c>
      <c r="L11" t="s">
        <v>1257</v>
      </c>
      <c r="M11" s="3">
        <v>3722844252</v>
      </c>
      <c r="N11" s="3">
        <v>409259</v>
      </c>
      <c r="O11">
        <v>5</v>
      </c>
    </row>
    <row r="12" spans="1:15" x14ac:dyDescent="0.3">
      <c r="A12" s="13">
        <v>43489</v>
      </c>
      <c r="B12">
        <v>453</v>
      </c>
      <c r="C12" s="14">
        <v>7.1999999999999995E-2</v>
      </c>
      <c r="D12" s="3">
        <v>1015</v>
      </c>
      <c r="E12" s="14">
        <v>5.5E-2</v>
      </c>
      <c r="F12" s="3">
        <v>150521</v>
      </c>
      <c r="G12" s="14">
        <v>5.1999999999999998E-2</v>
      </c>
      <c r="H12" s="14">
        <v>6.2E-2</v>
      </c>
      <c r="I12" s="3">
        <v>82303690</v>
      </c>
      <c r="J12" t="s">
        <v>1258</v>
      </c>
      <c r="K12" s="3">
        <v>9325</v>
      </c>
      <c r="L12" t="s">
        <v>1259</v>
      </c>
      <c r="M12" s="3">
        <v>3805147942</v>
      </c>
      <c r="N12" s="3">
        <v>418584</v>
      </c>
      <c r="O12">
        <v>5</v>
      </c>
    </row>
    <row r="13" spans="1:15" x14ac:dyDescent="0.3">
      <c r="A13" s="13">
        <v>43490</v>
      </c>
      <c r="B13">
        <v>426</v>
      </c>
      <c r="C13" s="14">
        <v>6.8000000000000005E-2</v>
      </c>
      <c r="D13">
        <v>915</v>
      </c>
      <c r="E13" s="14">
        <v>4.9000000000000002E-2</v>
      </c>
      <c r="F13" s="3">
        <v>136956</v>
      </c>
      <c r="G13" s="14">
        <v>4.5999999999999999E-2</v>
      </c>
      <c r="H13" s="14">
        <v>6.0999999999999999E-2</v>
      </c>
      <c r="I13" s="3">
        <v>82478670</v>
      </c>
      <c r="J13" t="s">
        <v>1260</v>
      </c>
      <c r="K13" s="3">
        <v>8388</v>
      </c>
      <c r="L13" t="s">
        <v>1261</v>
      </c>
      <c r="M13" s="3">
        <v>3887626612</v>
      </c>
      <c r="N13" s="3">
        <v>426972</v>
      </c>
      <c r="O13">
        <v>5</v>
      </c>
    </row>
    <row r="14" spans="1:15" x14ac:dyDescent="0.3">
      <c r="A14" s="13">
        <v>43491</v>
      </c>
      <c r="B14">
        <v>358</v>
      </c>
      <c r="C14" s="14">
        <v>5.3999999999999999E-2</v>
      </c>
      <c r="D14">
        <v>679</v>
      </c>
      <c r="E14" s="14">
        <v>3.4000000000000002E-2</v>
      </c>
      <c r="F14" s="3">
        <v>107066</v>
      </c>
      <c r="G14" s="14">
        <v>3.4000000000000002E-2</v>
      </c>
      <c r="H14" s="14">
        <v>0.13</v>
      </c>
      <c r="I14" s="3">
        <v>145160380</v>
      </c>
      <c r="J14" t="s">
        <v>1262</v>
      </c>
      <c r="K14" s="3">
        <v>13897</v>
      </c>
      <c r="L14" t="s">
        <v>1263</v>
      </c>
      <c r="M14" s="3">
        <v>4032786992</v>
      </c>
      <c r="N14" s="3">
        <v>440869</v>
      </c>
      <c r="O14">
        <v>6</v>
      </c>
    </row>
    <row r="15" spans="1:15" x14ac:dyDescent="0.3">
      <c r="A15" s="13">
        <v>43492</v>
      </c>
      <c r="B15">
        <v>349</v>
      </c>
      <c r="C15" s="14">
        <v>5.3999999999999999E-2</v>
      </c>
      <c r="D15">
        <v>633</v>
      </c>
      <c r="E15" s="14">
        <v>3.3000000000000002E-2</v>
      </c>
      <c r="F15" s="3">
        <v>102464</v>
      </c>
      <c r="G15" s="14">
        <v>3.4000000000000002E-2</v>
      </c>
      <c r="H15" s="14">
        <v>0.113</v>
      </c>
      <c r="I15" s="3">
        <v>120110530</v>
      </c>
      <c r="J15" t="s">
        <v>1264</v>
      </c>
      <c r="K15" s="3">
        <v>11591</v>
      </c>
      <c r="L15" t="s">
        <v>1265</v>
      </c>
      <c r="M15" s="3">
        <v>4152897522</v>
      </c>
      <c r="N15" s="3">
        <v>452460</v>
      </c>
      <c r="O15">
        <v>6</v>
      </c>
    </row>
    <row r="16" spans="1:15" x14ac:dyDescent="0.3">
      <c r="A16" s="13">
        <v>43493</v>
      </c>
      <c r="B16">
        <v>353</v>
      </c>
      <c r="C16" s="14">
        <v>0.06</v>
      </c>
      <c r="D16">
        <v>674</v>
      </c>
      <c r="E16" s="14">
        <v>3.6999999999999998E-2</v>
      </c>
      <c r="F16" s="3">
        <v>106098</v>
      </c>
      <c r="G16" s="14">
        <v>3.6999999999999998E-2</v>
      </c>
      <c r="H16" s="14">
        <v>4.5999999999999999E-2</v>
      </c>
      <c r="I16" s="3">
        <v>44352510</v>
      </c>
      <c r="J16" t="s">
        <v>1266</v>
      </c>
      <c r="K16" s="3">
        <v>4926</v>
      </c>
      <c r="L16" t="s">
        <v>1267</v>
      </c>
      <c r="M16" s="3">
        <v>4197250032</v>
      </c>
      <c r="N16" s="3">
        <v>457386</v>
      </c>
      <c r="O16">
        <v>7</v>
      </c>
    </row>
    <row r="17" spans="1:15" x14ac:dyDescent="0.3">
      <c r="A17" s="13">
        <v>43494</v>
      </c>
      <c r="B17">
        <v>348</v>
      </c>
      <c r="C17" s="14">
        <v>5.7000000000000002E-2</v>
      </c>
      <c r="D17">
        <v>695</v>
      </c>
      <c r="E17" s="14">
        <v>3.7999999999999999E-2</v>
      </c>
      <c r="F17" s="3">
        <v>110273</v>
      </c>
      <c r="G17" s="14">
        <v>3.7999999999999999E-2</v>
      </c>
      <c r="H17" s="14">
        <v>4.9000000000000002E-2</v>
      </c>
      <c r="I17" s="3">
        <v>49305570</v>
      </c>
      <c r="J17" t="s">
        <v>1268</v>
      </c>
      <c r="K17" s="3">
        <v>5430</v>
      </c>
      <c r="L17" t="s">
        <v>1269</v>
      </c>
      <c r="M17" s="3">
        <v>4246555602</v>
      </c>
      <c r="N17" s="3">
        <v>462816</v>
      </c>
      <c r="O17">
        <v>7</v>
      </c>
    </row>
    <row r="18" spans="1:15" x14ac:dyDescent="0.3">
      <c r="A18" s="13">
        <v>43495</v>
      </c>
      <c r="B18">
        <v>37</v>
      </c>
      <c r="C18" s="14">
        <v>7.0000000000000001E-3</v>
      </c>
      <c r="D18">
        <v>42</v>
      </c>
      <c r="E18" s="14">
        <v>2E-3</v>
      </c>
      <c r="F18" s="3">
        <v>4672</v>
      </c>
      <c r="G18" s="14">
        <v>2E-3</v>
      </c>
      <c r="H18" s="14">
        <v>0.13600000000000001</v>
      </c>
      <c r="I18" s="3">
        <v>4212700</v>
      </c>
      <c r="J18" t="s">
        <v>1270</v>
      </c>
      <c r="K18">
        <v>635</v>
      </c>
      <c r="L18" t="s">
        <v>1271</v>
      </c>
      <c r="M18" s="3">
        <v>4250768302</v>
      </c>
      <c r="N18" s="3">
        <v>463451</v>
      </c>
      <c r="O18">
        <v>17</v>
      </c>
    </row>
    <row r="19" spans="1:15" x14ac:dyDescent="0.3">
      <c r="A19" s="13">
        <v>43496</v>
      </c>
      <c r="B19">
        <v>14</v>
      </c>
      <c r="C19" s="14">
        <v>3.0000000000000001E-3</v>
      </c>
      <c r="D19">
        <v>19</v>
      </c>
      <c r="E19" s="14">
        <v>1E-3</v>
      </c>
      <c r="F19" s="3">
        <v>2450</v>
      </c>
      <c r="G19" s="14">
        <v>1E-3</v>
      </c>
      <c r="H19" s="14">
        <v>0.23</v>
      </c>
      <c r="I19" s="3">
        <v>4403880</v>
      </c>
      <c r="J19" t="s">
        <v>1272</v>
      </c>
      <c r="K19">
        <v>564</v>
      </c>
      <c r="L19" t="s">
        <v>1273</v>
      </c>
      <c r="M19" s="3">
        <v>4255172182</v>
      </c>
      <c r="N19" s="3">
        <v>464015</v>
      </c>
      <c r="O19">
        <v>20</v>
      </c>
    </row>
    <row r="20" spans="1:15" x14ac:dyDescent="0.3">
      <c r="A20" s="13">
        <v>43497</v>
      </c>
      <c r="B20">
        <v>12</v>
      </c>
      <c r="C20" s="14">
        <v>2E-3</v>
      </c>
      <c r="D20">
        <v>15</v>
      </c>
      <c r="E20" s="14">
        <v>1E-3</v>
      </c>
      <c r="F20" s="3">
        <v>1743</v>
      </c>
      <c r="G20" s="14">
        <v>1E-3</v>
      </c>
      <c r="H20" s="14">
        <v>0.22</v>
      </c>
      <c r="I20" s="3">
        <v>3556900</v>
      </c>
      <c r="J20" t="s">
        <v>1274</v>
      </c>
      <c r="K20">
        <v>383</v>
      </c>
      <c r="L20" t="s">
        <v>1275</v>
      </c>
      <c r="M20" s="3">
        <v>4258729082</v>
      </c>
      <c r="N20" s="3">
        <v>464398</v>
      </c>
      <c r="O20">
        <v>18</v>
      </c>
    </row>
    <row r="21" spans="1:15" x14ac:dyDescent="0.3">
      <c r="A21" s="13">
        <v>43498</v>
      </c>
      <c r="B21">
        <v>11</v>
      </c>
      <c r="C21" s="14">
        <v>2E-3</v>
      </c>
      <c r="D21">
        <v>15</v>
      </c>
      <c r="E21" s="14">
        <v>1E-3</v>
      </c>
      <c r="F21" s="3">
        <v>2026</v>
      </c>
      <c r="G21" s="14">
        <v>1E-3</v>
      </c>
      <c r="H21" s="14">
        <v>0.20899999999999999</v>
      </c>
      <c r="I21" s="3">
        <v>3869700</v>
      </c>
      <c r="J21" t="s">
        <v>1276</v>
      </c>
      <c r="K21">
        <v>423</v>
      </c>
      <c r="L21" t="s">
        <v>1277</v>
      </c>
      <c r="M21" s="3">
        <v>4262598782</v>
      </c>
      <c r="N21" s="3">
        <v>464821</v>
      </c>
      <c r="O21">
        <v>21</v>
      </c>
    </row>
    <row r="22" spans="1:15" x14ac:dyDescent="0.3">
      <c r="A22" s="13">
        <v>43499</v>
      </c>
      <c r="B22">
        <v>13</v>
      </c>
      <c r="C22" s="14">
        <v>2E-3</v>
      </c>
      <c r="D22">
        <v>14</v>
      </c>
      <c r="E22" s="14">
        <v>1E-3</v>
      </c>
      <c r="F22" s="3">
        <v>1867</v>
      </c>
      <c r="G22" s="14">
        <v>1E-3</v>
      </c>
      <c r="H22" s="14">
        <v>0.22700000000000001</v>
      </c>
      <c r="I22" s="3">
        <v>3895700</v>
      </c>
      <c r="J22" t="s">
        <v>1278</v>
      </c>
      <c r="K22">
        <v>423</v>
      </c>
      <c r="L22" t="s">
        <v>292</v>
      </c>
      <c r="M22" s="3">
        <v>4266494482</v>
      </c>
      <c r="N22" s="3">
        <v>465244</v>
      </c>
      <c r="O22">
        <v>20</v>
      </c>
    </row>
    <row r="23" spans="1:15" x14ac:dyDescent="0.3">
      <c r="A23" s="13">
        <v>43500</v>
      </c>
      <c r="B23">
        <v>18</v>
      </c>
      <c r="C23" s="14">
        <v>3.0000000000000001E-3</v>
      </c>
      <c r="D23">
        <v>20</v>
      </c>
      <c r="E23" s="14">
        <v>1E-3</v>
      </c>
      <c r="F23" s="3">
        <v>2566</v>
      </c>
      <c r="G23" s="14">
        <v>1E-3</v>
      </c>
      <c r="H23" s="14">
        <v>0.16500000000000001</v>
      </c>
      <c r="I23" s="3">
        <v>3904500</v>
      </c>
      <c r="J23" t="s">
        <v>1279</v>
      </c>
      <c r="K23">
        <v>424</v>
      </c>
      <c r="L23" t="s">
        <v>1280</v>
      </c>
      <c r="M23" s="3">
        <v>4270398982</v>
      </c>
      <c r="N23" s="3">
        <v>465668</v>
      </c>
      <c r="O23">
        <v>17</v>
      </c>
    </row>
    <row r="24" spans="1:15" x14ac:dyDescent="0.3">
      <c r="A24" s="13">
        <v>43501</v>
      </c>
      <c r="B24">
        <v>7</v>
      </c>
      <c r="C24" s="14">
        <v>1E-3</v>
      </c>
      <c r="D24">
        <v>9</v>
      </c>
      <c r="E24" s="14">
        <v>0</v>
      </c>
      <c r="F24" s="3">
        <v>1349</v>
      </c>
      <c r="G24" s="14">
        <v>0</v>
      </c>
      <c r="H24" s="14">
        <v>0.14000000000000001</v>
      </c>
      <c r="I24" s="3">
        <v>1763500</v>
      </c>
      <c r="J24" t="s">
        <v>1281</v>
      </c>
      <c r="K24">
        <v>189</v>
      </c>
      <c r="L24" t="s">
        <v>1282</v>
      </c>
      <c r="M24" s="3">
        <v>4272162482</v>
      </c>
      <c r="N24" s="3">
        <v>465857</v>
      </c>
      <c r="O24">
        <v>22</v>
      </c>
    </row>
    <row r="25" spans="1:15" x14ac:dyDescent="0.3">
      <c r="A25" s="13">
        <v>43502</v>
      </c>
      <c r="B25">
        <v>5</v>
      </c>
      <c r="C25" s="14">
        <v>1E-3</v>
      </c>
      <c r="D25">
        <v>5</v>
      </c>
      <c r="E25" s="14">
        <v>0</v>
      </c>
      <c r="F25">
        <v>660</v>
      </c>
      <c r="G25" s="14">
        <v>0</v>
      </c>
      <c r="H25" s="14">
        <v>0.28799999999999998</v>
      </c>
      <c r="I25" s="3">
        <v>1611500</v>
      </c>
      <c r="J25" t="s">
        <v>1283</v>
      </c>
      <c r="K25">
        <v>190</v>
      </c>
      <c r="L25" t="s">
        <v>1284</v>
      </c>
      <c r="M25" s="3">
        <v>4273773982</v>
      </c>
      <c r="N25" s="3">
        <v>466047</v>
      </c>
      <c r="O25">
        <v>29</v>
      </c>
    </row>
    <row r="26" spans="1:15" x14ac:dyDescent="0.3">
      <c r="A26" s="13">
        <v>43503</v>
      </c>
      <c r="B26">
        <v>2</v>
      </c>
      <c r="C26" s="14">
        <v>0</v>
      </c>
      <c r="D26">
        <v>2</v>
      </c>
      <c r="E26" s="14">
        <v>0</v>
      </c>
      <c r="F26">
        <v>187</v>
      </c>
      <c r="G26" s="14">
        <v>0</v>
      </c>
      <c r="H26" s="14">
        <v>0.17100000000000001</v>
      </c>
      <c r="I26" s="3">
        <v>249000</v>
      </c>
      <c r="J26" t="s">
        <v>1285</v>
      </c>
      <c r="K26">
        <v>32</v>
      </c>
      <c r="L26" t="s">
        <v>1286</v>
      </c>
      <c r="M26" s="3">
        <v>4274022982</v>
      </c>
      <c r="N26" s="3">
        <v>466079</v>
      </c>
      <c r="O26">
        <v>49</v>
      </c>
    </row>
    <row r="27" spans="1:15" x14ac:dyDescent="0.3">
      <c r="A27" s="13">
        <v>43504</v>
      </c>
      <c r="B27">
        <v>2</v>
      </c>
      <c r="C27" s="14">
        <v>0</v>
      </c>
      <c r="D27">
        <v>2</v>
      </c>
      <c r="E27" s="14">
        <v>0</v>
      </c>
      <c r="F27">
        <v>187</v>
      </c>
      <c r="G27" s="14">
        <v>0</v>
      </c>
      <c r="H27" s="14">
        <v>0.23499999999999999</v>
      </c>
      <c r="I27" s="3">
        <v>407000</v>
      </c>
      <c r="J27" t="s">
        <v>1287</v>
      </c>
      <c r="K27">
        <v>44</v>
      </c>
      <c r="L27" t="s">
        <v>446</v>
      </c>
      <c r="M27" s="3">
        <v>4274429982</v>
      </c>
      <c r="N27" s="3">
        <v>466123</v>
      </c>
      <c r="O27">
        <v>47</v>
      </c>
    </row>
    <row r="28" spans="1:15" x14ac:dyDescent="0.3">
      <c r="A28" s="13">
        <v>43505</v>
      </c>
      <c r="B28">
        <v>3</v>
      </c>
      <c r="C28" s="14">
        <v>0</v>
      </c>
      <c r="D28">
        <v>3</v>
      </c>
      <c r="E28" s="14">
        <v>0</v>
      </c>
      <c r="F28">
        <v>337</v>
      </c>
      <c r="G28" s="14">
        <v>0</v>
      </c>
      <c r="H28" s="14">
        <v>0.35299999999999998</v>
      </c>
      <c r="I28" s="3">
        <v>1089000</v>
      </c>
      <c r="J28" t="s">
        <v>1288</v>
      </c>
      <c r="K28">
        <v>119</v>
      </c>
      <c r="L28" t="s">
        <v>1289</v>
      </c>
      <c r="M28" s="3">
        <v>4275518982</v>
      </c>
      <c r="N28" s="3">
        <v>466242</v>
      </c>
      <c r="O28">
        <v>38</v>
      </c>
    </row>
    <row r="29" spans="1:15" x14ac:dyDescent="0.3">
      <c r="A29" s="13">
        <v>43506</v>
      </c>
      <c r="B29">
        <v>2</v>
      </c>
      <c r="C29" s="14">
        <v>0</v>
      </c>
      <c r="D29">
        <v>2</v>
      </c>
      <c r="E29" s="14">
        <v>0</v>
      </c>
      <c r="F29">
        <v>286</v>
      </c>
      <c r="G29" s="14">
        <v>0</v>
      </c>
      <c r="H29" s="14">
        <v>0.255</v>
      </c>
      <c r="I29" s="3">
        <v>624000</v>
      </c>
      <c r="J29" t="s">
        <v>1290</v>
      </c>
      <c r="K29">
        <v>73</v>
      </c>
      <c r="L29" t="s">
        <v>1291</v>
      </c>
      <c r="M29" s="3">
        <v>4276142982</v>
      </c>
      <c r="N29" s="3">
        <v>466315</v>
      </c>
      <c r="O29">
        <v>38</v>
      </c>
    </row>
    <row r="30" spans="1:15" x14ac:dyDescent="0.3">
      <c r="A30" s="13">
        <v>43507</v>
      </c>
      <c r="B30">
        <v>2</v>
      </c>
      <c r="C30" s="14">
        <v>0</v>
      </c>
      <c r="D30">
        <v>2</v>
      </c>
      <c r="E30" s="14">
        <v>0</v>
      </c>
      <c r="F30">
        <v>187</v>
      </c>
      <c r="G30" s="14">
        <v>0</v>
      </c>
      <c r="H30" s="14">
        <v>9.0999999999999998E-2</v>
      </c>
      <c r="I30" s="3">
        <v>115000</v>
      </c>
      <c r="J30" t="s">
        <v>1292</v>
      </c>
      <c r="K30">
        <v>17</v>
      </c>
      <c r="L30" t="s">
        <v>1293</v>
      </c>
      <c r="M30" s="3">
        <v>4276257982</v>
      </c>
      <c r="N30" s="3">
        <v>466332</v>
      </c>
      <c r="O30">
        <v>46</v>
      </c>
    </row>
    <row r="31" spans="1:15" x14ac:dyDescent="0.3">
      <c r="A31" s="13">
        <v>43508</v>
      </c>
      <c r="B31">
        <v>2</v>
      </c>
      <c r="C31" s="14">
        <v>0</v>
      </c>
      <c r="D31">
        <v>2</v>
      </c>
      <c r="E31" s="14">
        <v>0</v>
      </c>
      <c r="F31">
        <v>187</v>
      </c>
      <c r="G31" s="14">
        <v>0</v>
      </c>
      <c r="H31" s="14">
        <v>8.5999999999999993E-2</v>
      </c>
      <c r="I31" s="3">
        <v>131000</v>
      </c>
      <c r="J31" t="s">
        <v>1294</v>
      </c>
      <c r="K31">
        <v>16</v>
      </c>
      <c r="L31" t="s">
        <v>1295</v>
      </c>
      <c r="M31" s="3">
        <v>4276388982</v>
      </c>
      <c r="N31" s="3">
        <v>466348</v>
      </c>
      <c r="O31">
        <v>61</v>
      </c>
    </row>
    <row r="32" spans="1:15" x14ac:dyDescent="0.3">
      <c r="A32" s="13">
        <v>43509</v>
      </c>
      <c r="B32">
        <v>1</v>
      </c>
      <c r="C32" s="14">
        <v>0</v>
      </c>
      <c r="D32">
        <v>1</v>
      </c>
      <c r="E32" s="14">
        <v>0</v>
      </c>
      <c r="F32">
        <v>84</v>
      </c>
      <c r="G32" s="14">
        <v>0</v>
      </c>
      <c r="H32" s="14">
        <v>0.107</v>
      </c>
      <c r="I32" s="3">
        <v>65000</v>
      </c>
      <c r="J32" t="s">
        <v>1296</v>
      </c>
      <c r="K32">
        <v>9</v>
      </c>
      <c r="L32" t="s">
        <v>1297</v>
      </c>
      <c r="M32" s="3">
        <v>4276453982</v>
      </c>
      <c r="N32" s="3">
        <v>466357</v>
      </c>
      <c r="O32">
        <v>75</v>
      </c>
    </row>
    <row r="33" spans="1:15" x14ac:dyDescent="0.3">
      <c r="A33" s="13">
        <v>43510</v>
      </c>
      <c r="B33">
        <v>1</v>
      </c>
      <c r="C33" s="14">
        <v>0</v>
      </c>
      <c r="D33">
        <v>1</v>
      </c>
      <c r="E33" s="14">
        <v>0</v>
      </c>
      <c r="F33">
        <v>81</v>
      </c>
      <c r="G33" s="14">
        <v>0</v>
      </c>
      <c r="H33" s="14">
        <v>0.13600000000000001</v>
      </c>
      <c r="I33" s="3">
        <v>89000</v>
      </c>
      <c r="J33" t="s">
        <v>1298</v>
      </c>
      <c r="K33">
        <v>11</v>
      </c>
      <c r="L33" t="s">
        <v>1299</v>
      </c>
      <c r="M33" s="3">
        <v>4276542982</v>
      </c>
      <c r="N33" s="3">
        <v>466368</v>
      </c>
      <c r="O33">
        <v>71</v>
      </c>
    </row>
    <row r="34" spans="1:15" x14ac:dyDescent="0.3">
      <c r="A34" s="13">
        <v>43511</v>
      </c>
      <c r="B34">
        <v>1</v>
      </c>
      <c r="C34" s="14">
        <v>0</v>
      </c>
      <c r="D34">
        <v>1</v>
      </c>
      <c r="E34" s="14">
        <v>0</v>
      </c>
      <c r="F34">
        <v>81</v>
      </c>
      <c r="G34" s="14">
        <v>0</v>
      </c>
      <c r="H34" s="14">
        <v>0.13600000000000001</v>
      </c>
      <c r="I34" s="3">
        <v>110000</v>
      </c>
      <c r="J34" t="s">
        <v>1300</v>
      </c>
      <c r="K34">
        <v>11</v>
      </c>
      <c r="L34" t="s">
        <v>292</v>
      </c>
      <c r="M34" s="3">
        <v>4276652982</v>
      </c>
      <c r="N34" s="3">
        <v>466379</v>
      </c>
      <c r="O34">
        <v>68</v>
      </c>
    </row>
    <row r="35" spans="1:15" x14ac:dyDescent="0.3">
      <c r="A35" s="13">
        <v>43512</v>
      </c>
      <c r="B35">
        <v>1</v>
      </c>
      <c r="C35" s="14">
        <v>0</v>
      </c>
      <c r="D35">
        <v>1</v>
      </c>
      <c r="E35" s="14">
        <v>0</v>
      </c>
      <c r="F35">
        <v>92</v>
      </c>
      <c r="G35" s="14">
        <v>0</v>
      </c>
      <c r="H35" s="14">
        <v>0.30399999999999999</v>
      </c>
      <c r="I35" s="3">
        <v>233000</v>
      </c>
      <c r="J35" t="s">
        <v>1301</v>
      </c>
      <c r="K35">
        <v>28</v>
      </c>
      <c r="L35" t="s">
        <v>1302</v>
      </c>
      <c r="M35" s="3">
        <v>4276885982</v>
      </c>
      <c r="N35" s="3">
        <v>466407</v>
      </c>
      <c r="O35">
        <v>56</v>
      </c>
    </row>
    <row r="36" spans="1:15" x14ac:dyDescent="0.3">
      <c r="A36" s="13">
        <v>43513</v>
      </c>
      <c r="B36">
        <v>1</v>
      </c>
      <c r="C36" s="14">
        <v>0</v>
      </c>
      <c r="D36">
        <v>1</v>
      </c>
      <c r="E36" s="14">
        <v>0</v>
      </c>
      <c r="F36">
        <v>92</v>
      </c>
      <c r="G36" s="14">
        <v>0</v>
      </c>
      <c r="H36" s="14">
        <v>0.44600000000000001</v>
      </c>
      <c r="I36" s="3">
        <v>374000</v>
      </c>
      <c r="J36" t="s">
        <v>1303</v>
      </c>
      <c r="K36">
        <v>41</v>
      </c>
      <c r="L36" t="s">
        <v>1304</v>
      </c>
      <c r="M36" s="3">
        <v>4277259982</v>
      </c>
      <c r="N36" s="3">
        <v>466448</v>
      </c>
      <c r="O36">
        <v>48</v>
      </c>
    </row>
    <row r="37" spans="1:15" x14ac:dyDescent="0.3">
      <c r="A37" s="13">
        <v>43514</v>
      </c>
      <c r="B37">
        <v>1</v>
      </c>
      <c r="C37" s="14">
        <v>0</v>
      </c>
      <c r="D37">
        <v>1</v>
      </c>
      <c r="E37" s="14">
        <v>0</v>
      </c>
      <c r="F37">
        <v>92</v>
      </c>
      <c r="G37" s="14">
        <v>0</v>
      </c>
      <c r="H37" s="14">
        <v>9.8000000000000004E-2</v>
      </c>
      <c r="I37" s="3">
        <v>69000</v>
      </c>
      <c r="J37" t="s">
        <v>1305</v>
      </c>
      <c r="K37">
        <v>9</v>
      </c>
      <c r="L37" t="s">
        <v>1306</v>
      </c>
      <c r="M37" s="3">
        <v>4277328982</v>
      </c>
      <c r="N37" s="3">
        <v>466457</v>
      </c>
      <c r="O37">
        <v>62</v>
      </c>
    </row>
    <row r="38" spans="1:15" x14ac:dyDescent="0.3">
      <c r="A38" s="13">
        <v>43515</v>
      </c>
      <c r="B38">
        <v>1</v>
      </c>
      <c r="C38" s="14">
        <v>0</v>
      </c>
      <c r="D38">
        <v>1</v>
      </c>
      <c r="E38" s="14">
        <v>0</v>
      </c>
      <c r="F38">
        <v>92</v>
      </c>
      <c r="G38" s="14">
        <v>0</v>
      </c>
      <c r="H38" s="14">
        <v>0.13</v>
      </c>
      <c r="I38" s="3">
        <v>85000</v>
      </c>
      <c r="J38" t="s">
        <v>1307</v>
      </c>
      <c r="K38">
        <v>12</v>
      </c>
      <c r="L38" t="s">
        <v>1308</v>
      </c>
      <c r="M38" s="3">
        <v>4277413982</v>
      </c>
      <c r="N38" s="3">
        <v>466469</v>
      </c>
      <c r="O38">
        <v>65</v>
      </c>
    </row>
    <row r="39" spans="1:15" x14ac:dyDescent="0.3">
      <c r="A39" s="13">
        <v>43516</v>
      </c>
      <c r="B39">
        <v>1</v>
      </c>
      <c r="C39" s="14">
        <v>0</v>
      </c>
      <c r="D39">
        <v>1</v>
      </c>
      <c r="E39" s="14">
        <v>0</v>
      </c>
      <c r="F39">
        <v>92</v>
      </c>
      <c r="G39" s="14">
        <v>0</v>
      </c>
      <c r="H39" s="14">
        <v>6.5000000000000002E-2</v>
      </c>
      <c r="I39" s="3">
        <v>39000</v>
      </c>
      <c r="J39" t="s">
        <v>1309</v>
      </c>
      <c r="K39">
        <v>6</v>
      </c>
      <c r="L39" t="s">
        <v>1310</v>
      </c>
      <c r="M39" s="3">
        <v>4277452982</v>
      </c>
      <c r="N39" s="3">
        <v>466475</v>
      </c>
      <c r="O39">
        <v>71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30418-418A-4FF1-AE01-E7884050504F}">
  <dimension ref="A1:O65"/>
  <sheetViews>
    <sheetView workbookViewId="0">
      <selection activeCell="E6" sqref="E6"/>
    </sheetView>
  </sheetViews>
  <sheetFormatPr defaultRowHeight="16.5" x14ac:dyDescent="0.3"/>
  <sheetData>
    <row r="1" spans="1:15" ht="19.5" x14ac:dyDescent="0.3">
      <c r="A1" s="197" t="s">
        <v>1311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43475</v>
      </c>
      <c r="B5" s="12">
        <v>692</v>
      </c>
      <c r="C5" s="11">
        <v>0.10299999999999999</v>
      </c>
      <c r="D5" s="10">
        <v>1581</v>
      </c>
      <c r="E5" s="11">
        <v>8.5999999999999993E-2</v>
      </c>
      <c r="F5" s="10">
        <v>219990</v>
      </c>
      <c r="G5" s="11">
        <v>7.6999999999999999E-2</v>
      </c>
      <c r="H5" s="11">
        <v>0.26200000000000001</v>
      </c>
      <c r="I5" s="10">
        <v>405005750</v>
      </c>
      <c r="J5" s="12" t="s">
        <v>1312</v>
      </c>
      <c r="K5" s="10">
        <v>57616</v>
      </c>
      <c r="L5" s="12" t="s">
        <v>1313</v>
      </c>
      <c r="M5" s="10">
        <v>419138750</v>
      </c>
      <c r="N5" s="10">
        <v>59191</v>
      </c>
      <c r="O5" s="12">
        <v>4</v>
      </c>
    </row>
    <row r="6" spans="1:15" ht="40.5" x14ac:dyDescent="0.3">
      <c r="A6" s="9">
        <v>43476</v>
      </c>
      <c r="B6" s="12">
        <v>707</v>
      </c>
      <c r="C6" s="11">
        <v>0.10299999999999999</v>
      </c>
      <c r="D6" s="10">
        <v>1657</v>
      </c>
      <c r="E6" s="11">
        <v>8.7999999999999995E-2</v>
      </c>
      <c r="F6" s="10">
        <v>232189</v>
      </c>
      <c r="G6" s="11">
        <v>7.9000000000000001E-2</v>
      </c>
      <c r="H6" s="11">
        <v>0.13</v>
      </c>
      <c r="I6" s="10">
        <v>233759680</v>
      </c>
      <c r="J6" s="12" t="s">
        <v>1314</v>
      </c>
      <c r="K6" s="10">
        <v>30253</v>
      </c>
      <c r="L6" s="12" t="s">
        <v>1315</v>
      </c>
      <c r="M6" s="10">
        <v>652898430</v>
      </c>
      <c r="N6" s="10">
        <v>89444</v>
      </c>
      <c r="O6" s="12">
        <v>5</v>
      </c>
    </row>
    <row r="7" spans="1:15" ht="27" x14ac:dyDescent="0.3">
      <c r="A7" s="9">
        <v>43477</v>
      </c>
      <c r="B7" s="12">
        <v>763</v>
      </c>
      <c r="C7" s="11">
        <v>0.108</v>
      </c>
      <c r="D7" s="10">
        <v>2189</v>
      </c>
      <c r="E7" s="11">
        <v>0.111</v>
      </c>
      <c r="F7" s="10">
        <v>340245</v>
      </c>
      <c r="G7" s="11">
        <v>0.111</v>
      </c>
      <c r="H7" s="11">
        <v>0.32600000000000001</v>
      </c>
      <c r="I7" s="10">
        <v>872894780</v>
      </c>
      <c r="J7" s="12" t="s">
        <v>1316</v>
      </c>
      <c r="K7" s="10">
        <v>110957</v>
      </c>
      <c r="L7" s="12" t="s">
        <v>1317</v>
      </c>
      <c r="M7" s="10">
        <v>1525793210</v>
      </c>
      <c r="N7" s="10">
        <v>200401</v>
      </c>
      <c r="O7" s="12">
        <v>4</v>
      </c>
    </row>
    <row r="8" spans="1:15" ht="40.5" x14ac:dyDescent="0.3">
      <c r="A8" s="9">
        <v>43478</v>
      </c>
      <c r="B8" s="12">
        <v>748</v>
      </c>
      <c r="C8" s="11">
        <v>0.107</v>
      </c>
      <c r="D8" s="10">
        <v>2160</v>
      </c>
      <c r="E8" s="11">
        <v>0.113</v>
      </c>
      <c r="F8" s="10">
        <v>335282</v>
      </c>
      <c r="G8" s="11">
        <v>0.112</v>
      </c>
      <c r="H8" s="11">
        <v>0.26700000000000002</v>
      </c>
      <c r="I8" s="10">
        <v>710820230</v>
      </c>
      <c r="J8" s="12" t="s">
        <v>1318</v>
      </c>
      <c r="K8" s="10">
        <v>89477</v>
      </c>
      <c r="L8" s="12" t="s">
        <v>1319</v>
      </c>
      <c r="M8" s="10">
        <v>2236613440</v>
      </c>
      <c r="N8" s="10">
        <v>289878</v>
      </c>
      <c r="O8" s="12">
        <v>4</v>
      </c>
    </row>
    <row r="9" spans="1:15" ht="40.5" x14ac:dyDescent="0.3">
      <c r="A9" s="9">
        <v>43479</v>
      </c>
      <c r="B9" s="12">
        <v>568</v>
      </c>
      <c r="C9" s="11">
        <v>8.8999999999999996E-2</v>
      </c>
      <c r="D9" s="10">
        <v>1313</v>
      </c>
      <c r="E9" s="11">
        <v>7.3999999999999996E-2</v>
      </c>
      <c r="F9" s="10">
        <v>194575</v>
      </c>
      <c r="G9" s="11">
        <v>7.0000000000000007E-2</v>
      </c>
      <c r="H9" s="11">
        <v>5.8000000000000003E-2</v>
      </c>
      <c r="I9" s="10">
        <v>80676800</v>
      </c>
      <c r="J9" s="12" t="s">
        <v>1320</v>
      </c>
      <c r="K9" s="10">
        <v>11348</v>
      </c>
      <c r="L9" s="12" t="s">
        <v>1321</v>
      </c>
      <c r="M9" s="10">
        <v>2317290240</v>
      </c>
      <c r="N9" s="10">
        <v>301226</v>
      </c>
      <c r="O9" s="12">
        <v>7</v>
      </c>
    </row>
    <row r="10" spans="1:15" ht="27" x14ac:dyDescent="0.3">
      <c r="A10" s="9">
        <v>43480</v>
      </c>
      <c r="B10" s="12">
        <v>557</v>
      </c>
      <c r="C10" s="11">
        <v>8.5000000000000006E-2</v>
      </c>
      <c r="D10" s="10">
        <v>1210</v>
      </c>
      <c r="E10" s="11">
        <v>6.8000000000000005E-2</v>
      </c>
      <c r="F10" s="10">
        <v>176521</v>
      </c>
      <c r="G10" s="11">
        <v>6.3E-2</v>
      </c>
      <c r="H10" s="11">
        <v>6.3E-2</v>
      </c>
      <c r="I10" s="10">
        <v>76513300</v>
      </c>
      <c r="J10" s="12" t="s">
        <v>1322</v>
      </c>
      <c r="K10" s="10">
        <v>11066</v>
      </c>
      <c r="L10" s="12" t="s">
        <v>1323</v>
      </c>
      <c r="M10" s="10">
        <v>2393803540</v>
      </c>
      <c r="N10" s="10">
        <v>312292</v>
      </c>
      <c r="O10" s="12">
        <v>7</v>
      </c>
    </row>
    <row r="11" spans="1:15" ht="27" x14ac:dyDescent="0.3">
      <c r="A11" s="9">
        <v>43481</v>
      </c>
      <c r="B11" s="12">
        <v>407</v>
      </c>
      <c r="C11" s="11">
        <v>5.7000000000000002E-2</v>
      </c>
      <c r="D11" s="12">
        <v>648</v>
      </c>
      <c r="E11" s="11">
        <v>3.5999999999999997E-2</v>
      </c>
      <c r="F11" s="10">
        <v>84349</v>
      </c>
      <c r="G11" s="11">
        <v>0.03</v>
      </c>
      <c r="H11" s="11">
        <v>0.09</v>
      </c>
      <c r="I11" s="10">
        <v>52263100</v>
      </c>
      <c r="J11" s="12" t="s">
        <v>1324</v>
      </c>
      <c r="K11" s="10">
        <v>7576</v>
      </c>
      <c r="L11" s="12" t="s">
        <v>1325</v>
      </c>
      <c r="M11" s="10">
        <v>2446066640</v>
      </c>
      <c r="N11" s="10">
        <v>319868</v>
      </c>
      <c r="O11" s="12">
        <v>11</v>
      </c>
    </row>
    <row r="12" spans="1:15" ht="27" x14ac:dyDescent="0.3">
      <c r="A12" s="9">
        <v>43482</v>
      </c>
      <c r="B12" s="12">
        <v>346</v>
      </c>
      <c r="C12" s="11">
        <v>4.7E-2</v>
      </c>
      <c r="D12" s="12">
        <v>464</v>
      </c>
      <c r="E12" s="11">
        <v>2.5000000000000001E-2</v>
      </c>
      <c r="F12" s="10">
        <v>58149</v>
      </c>
      <c r="G12" s="11">
        <v>0.02</v>
      </c>
      <c r="H12" s="11">
        <v>9.4E-2</v>
      </c>
      <c r="I12" s="10">
        <v>37443550</v>
      </c>
      <c r="J12" s="12" t="s">
        <v>1326</v>
      </c>
      <c r="K12" s="10">
        <v>5491</v>
      </c>
      <c r="L12" s="12" t="s">
        <v>1327</v>
      </c>
      <c r="M12" s="10">
        <v>2483510190</v>
      </c>
      <c r="N12" s="10">
        <v>325359</v>
      </c>
      <c r="O12" s="12">
        <v>13</v>
      </c>
    </row>
    <row r="13" spans="1:15" ht="27" x14ac:dyDescent="0.3">
      <c r="A13" s="9">
        <v>43483</v>
      </c>
      <c r="B13" s="12">
        <v>334</v>
      </c>
      <c r="C13" s="11">
        <v>4.5999999999999999E-2</v>
      </c>
      <c r="D13" s="12">
        <v>437</v>
      </c>
      <c r="E13" s="11">
        <v>2.4E-2</v>
      </c>
      <c r="F13" s="10">
        <v>54311</v>
      </c>
      <c r="G13" s="11">
        <v>1.9E-2</v>
      </c>
      <c r="H13" s="11">
        <v>9.4E-2</v>
      </c>
      <c r="I13" s="10">
        <v>38342050</v>
      </c>
      <c r="J13" s="12" t="s">
        <v>1328</v>
      </c>
      <c r="K13" s="10">
        <v>5115</v>
      </c>
      <c r="L13" s="12" t="s">
        <v>1329</v>
      </c>
      <c r="M13" s="10">
        <v>2521852240</v>
      </c>
      <c r="N13" s="10">
        <v>330474</v>
      </c>
      <c r="O13" s="12">
        <v>12</v>
      </c>
    </row>
    <row r="14" spans="1:15" ht="27" x14ac:dyDescent="0.3">
      <c r="A14" s="9">
        <v>43484</v>
      </c>
      <c r="B14" s="12">
        <v>436</v>
      </c>
      <c r="C14" s="11">
        <v>5.6000000000000001E-2</v>
      </c>
      <c r="D14" s="12">
        <v>586</v>
      </c>
      <c r="E14" s="11">
        <v>0.03</v>
      </c>
      <c r="F14" s="10">
        <v>74261</v>
      </c>
      <c r="G14" s="11">
        <v>2.5000000000000001E-2</v>
      </c>
      <c r="H14" s="11">
        <v>0.33500000000000002</v>
      </c>
      <c r="I14" s="10">
        <v>197009840</v>
      </c>
      <c r="J14" s="12" t="s">
        <v>1330</v>
      </c>
      <c r="K14" s="10">
        <v>24858</v>
      </c>
      <c r="L14" s="12" t="s">
        <v>1331</v>
      </c>
      <c r="M14" s="10">
        <v>2718862080</v>
      </c>
      <c r="N14" s="10">
        <v>355332</v>
      </c>
      <c r="O14" s="12">
        <v>6</v>
      </c>
    </row>
    <row r="15" spans="1:15" ht="27" x14ac:dyDescent="0.3">
      <c r="A15" s="9">
        <v>43485</v>
      </c>
      <c r="B15" s="12">
        <v>460</v>
      </c>
      <c r="C15" s="11">
        <v>0.06</v>
      </c>
      <c r="D15" s="12">
        <v>626</v>
      </c>
      <c r="E15" s="11">
        <v>3.3000000000000002E-2</v>
      </c>
      <c r="F15" s="10">
        <v>79133</v>
      </c>
      <c r="G15" s="11">
        <v>2.7E-2</v>
      </c>
      <c r="H15" s="11">
        <v>0.30599999999999999</v>
      </c>
      <c r="I15" s="10">
        <v>193928810</v>
      </c>
      <c r="J15" s="12" t="s">
        <v>1332</v>
      </c>
      <c r="K15" s="10">
        <v>24237</v>
      </c>
      <c r="L15" s="12" t="s">
        <v>1333</v>
      </c>
      <c r="M15" s="10">
        <v>2912790890</v>
      </c>
      <c r="N15" s="10">
        <v>379569</v>
      </c>
      <c r="O15" s="12">
        <v>6</v>
      </c>
    </row>
    <row r="16" spans="1:15" ht="40.5" x14ac:dyDescent="0.3">
      <c r="A16" s="9">
        <v>43486</v>
      </c>
      <c r="B16" s="12">
        <v>303</v>
      </c>
      <c r="C16" s="11">
        <v>4.3999999999999997E-2</v>
      </c>
      <c r="D16" s="12">
        <v>375</v>
      </c>
      <c r="E16" s="11">
        <v>2.1999999999999999E-2</v>
      </c>
      <c r="F16" s="10">
        <v>46008</v>
      </c>
      <c r="G16" s="11">
        <v>1.7000000000000001E-2</v>
      </c>
      <c r="H16" s="11">
        <v>6.0999999999999999E-2</v>
      </c>
      <c r="I16" s="10">
        <v>19557550</v>
      </c>
      <c r="J16" s="12" t="s">
        <v>1334</v>
      </c>
      <c r="K16" s="10">
        <v>2798</v>
      </c>
      <c r="L16" s="12" t="s">
        <v>1335</v>
      </c>
      <c r="M16" s="10">
        <v>2932348440</v>
      </c>
      <c r="N16" s="10">
        <v>382367</v>
      </c>
      <c r="O16" s="12">
        <v>13</v>
      </c>
    </row>
    <row r="17" spans="1:15" ht="27" x14ac:dyDescent="0.3">
      <c r="A17" s="9">
        <v>43487</v>
      </c>
      <c r="B17" s="12">
        <v>313</v>
      </c>
      <c r="C17" s="11">
        <v>4.3999999999999997E-2</v>
      </c>
      <c r="D17" s="12">
        <v>382</v>
      </c>
      <c r="E17" s="11">
        <v>2.1999999999999999E-2</v>
      </c>
      <c r="F17" s="10">
        <v>48152</v>
      </c>
      <c r="G17" s="11">
        <v>1.7999999999999999E-2</v>
      </c>
      <c r="H17" s="11">
        <v>6.5000000000000002E-2</v>
      </c>
      <c r="I17" s="10">
        <v>21031350</v>
      </c>
      <c r="J17" s="12" t="s">
        <v>1336</v>
      </c>
      <c r="K17" s="10">
        <v>3113</v>
      </c>
      <c r="L17" s="12" t="s">
        <v>1337</v>
      </c>
      <c r="M17" s="10">
        <v>2953379790</v>
      </c>
      <c r="N17" s="10">
        <v>385480</v>
      </c>
      <c r="O17" s="12">
        <v>13</v>
      </c>
    </row>
    <row r="18" spans="1:15" ht="27" x14ac:dyDescent="0.3">
      <c r="A18" s="9">
        <v>43488</v>
      </c>
      <c r="B18" s="12">
        <v>150</v>
      </c>
      <c r="C18" s="11">
        <v>2.5000000000000001E-2</v>
      </c>
      <c r="D18" s="12">
        <v>180</v>
      </c>
      <c r="E18" s="11">
        <v>0.01</v>
      </c>
      <c r="F18" s="10">
        <v>21125</v>
      </c>
      <c r="G18" s="11">
        <v>7.0000000000000001E-3</v>
      </c>
      <c r="H18" s="11">
        <v>7.5999999999999998E-2</v>
      </c>
      <c r="I18" s="10">
        <v>10974800</v>
      </c>
      <c r="J18" s="12" t="s">
        <v>1338</v>
      </c>
      <c r="K18" s="10">
        <v>1611</v>
      </c>
      <c r="L18" s="12" t="s">
        <v>1339</v>
      </c>
      <c r="M18" s="10">
        <v>2964354590</v>
      </c>
      <c r="N18" s="10">
        <v>387091</v>
      </c>
      <c r="O18" s="12">
        <v>13</v>
      </c>
    </row>
    <row r="19" spans="1:15" ht="27" x14ac:dyDescent="0.3">
      <c r="A19" s="9">
        <v>43489</v>
      </c>
      <c r="B19" s="12">
        <v>142</v>
      </c>
      <c r="C19" s="11">
        <v>2.1999999999999999E-2</v>
      </c>
      <c r="D19" s="12">
        <v>167</v>
      </c>
      <c r="E19" s="11">
        <v>8.9999999999999993E-3</v>
      </c>
      <c r="F19" s="10">
        <v>19178</v>
      </c>
      <c r="G19" s="11">
        <v>7.0000000000000001E-3</v>
      </c>
      <c r="H19" s="11">
        <v>7.5999999999999998E-2</v>
      </c>
      <c r="I19" s="10">
        <v>9837930</v>
      </c>
      <c r="J19" s="12" t="s">
        <v>1340</v>
      </c>
      <c r="K19" s="10">
        <v>1462</v>
      </c>
      <c r="L19" s="12" t="s">
        <v>1341</v>
      </c>
      <c r="M19" s="10">
        <v>2974192520</v>
      </c>
      <c r="N19" s="10">
        <v>388553</v>
      </c>
      <c r="O19" s="12">
        <v>15</v>
      </c>
    </row>
    <row r="20" spans="1:15" ht="27" x14ac:dyDescent="0.3">
      <c r="A20" s="9">
        <v>43490</v>
      </c>
      <c r="B20" s="12">
        <v>141</v>
      </c>
      <c r="C20" s="11">
        <v>2.1999999999999999E-2</v>
      </c>
      <c r="D20" s="12">
        <v>172</v>
      </c>
      <c r="E20" s="11">
        <v>8.9999999999999993E-3</v>
      </c>
      <c r="F20" s="10">
        <v>20650</v>
      </c>
      <c r="G20" s="11">
        <v>7.0000000000000001E-3</v>
      </c>
      <c r="H20" s="11">
        <v>9.5000000000000001E-2</v>
      </c>
      <c r="I20" s="10">
        <v>13699000</v>
      </c>
      <c r="J20" s="12" t="s">
        <v>1342</v>
      </c>
      <c r="K20" s="10">
        <v>1964</v>
      </c>
      <c r="L20" s="12" t="s">
        <v>1343</v>
      </c>
      <c r="M20" s="10">
        <v>2987891520</v>
      </c>
      <c r="N20" s="10">
        <v>390517</v>
      </c>
      <c r="O20" s="12">
        <v>13</v>
      </c>
    </row>
    <row r="21" spans="1:15" ht="27" x14ac:dyDescent="0.3">
      <c r="A21" s="9">
        <v>43491</v>
      </c>
      <c r="B21" s="12">
        <v>194</v>
      </c>
      <c r="C21" s="11">
        <v>2.9000000000000001E-2</v>
      </c>
      <c r="D21" s="12">
        <v>247</v>
      </c>
      <c r="E21" s="11">
        <v>1.2E-2</v>
      </c>
      <c r="F21" s="10">
        <v>29027</v>
      </c>
      <c r="G21" s="11">
        <v>8.9999999999999993E-3</v>
      </c>
      <c r="H21" s="11">
        <v>0.26300000000000001</v>
      </c>
      <c r="I21" s="10">
        <v>60067810</v>
      </c>
      <c r="J21" s="12" t="s">
        <v>1344</v>
      </c>
      <c r="K21" s="10">
        <v>7624</v>
      </c>
      <c r="L21" s="12" t="s">
        <v>1345</v>
      </c>
      <c r="M21" s="10">
        <v>3047959330</v>
      </c>
      <c r="N21" s="10">
        <v>398141</v>
      </c>
      <c r="O21" s="12">
        <v>9</v>
      </c>
    </row>
    <row r="22" spans="1:15" ht="27" x14ac:dyDescent="0.3">
      <c r="A22" s="9">
        <v>43492</v>
      </c>
      <c r="B22" s="12">
        <v>197</v>
      </c>
      <c r="C22" s="11">
        <v>0.03</v>
      </c>
      <c r="D22" s="12">
        <v>256</v>
      </c>
      <c r="E22" s="11">
        <v>1.2999999999999999E-2</v>
      </c>
      <c r="F22" s="10">
        <v>30037</v>
      </c>
      <c r="G22" s="11">
        <v>0.01</v>
      </c>
      <c r="H22" s="11">
        <v>0.26200000000000001</v>
      </c>
      <c r="I22" s="10">
        <v>63687550</v>
      </c>
      <c r="J22" s="12" t="s">
        <v>1346</v>
      </c>
      <c r="K22" s="10">
        <v>7878</v>
      </c>
      <c r="L22" s="12" t="s">
        <v>1347</v>
      </c>
      <c r="M22" s="10">
        <v>3111646880</v>
      </c>
      <c r="N22" s="10">
        <v>406019</v>
      </c>
      <c r="O22" s="12">
        <v>8</v>
      </c>
    </row>
    <row r="23" spans="1:15" ht="27" x14ac:dyDescent="0.3">
      <c r="A23" s="9">
        <v>43493</v>
      </c>
      <c r="B23" s="12">
        <v>105</v>
      </c>
      <c r="C23" s="11">
        <v>1.7999999999999999E-2</v>
      </c>
      <c r="D23" s="12">
        <v>126</v>
      </c>
      <c r="E23" s="11">
        <v>7.0000000000000001E-3</v>
      </c>
      <c r="F23" s="10">
        <v>14638</v>
      </c>
      <c r="G23" s="11">
        <v>5.0000000000000001E-3</v>
      </c>
      <c r="H23" s="11">
        <v>5.8999999999999997E-2</v>
      </c>
      <c r="I23" s="10">
        <v>5854240</v>
      </c>
      <c r="J23" s="12" t="s">
        <v>1348</v>
      </c>
      <c r="K23" s="12">
        <v>862</v>
      </c>
      <c r="L23" s="12" t="s">
        <v>1349</v>
      </c>
      <c r="M23" s="10">
        <v>3117501120</v>
      </c>
      <c r="N23" s="10">
        <v>406881</v>
      </c>
      <c r="O23" s="12">
        <v>16</v>
      </c>
    </row>
    <row r="24" spans="1:15" ht="27" x14ac:dyDescent="0.3">
      <c r="A24" s="9">
        <v>43494</v>
      </c>
      <c r="B24" s="12">
        <v>111</v>
      </c>
      <c r="C24" s="11">
        <v>1.7999999999999999E-2</v>
      </c>
      <c r="D24" s="12">
        <v>130</v>
      </c>
      <c r="E24" s="11">
        <v>7.0000000000000001E-3</v>
      </c>
      <c r="F24" s="10">
        <v>14609</v>
      </c>
      <c r="G24" s="11">
        <v>5.0000000000000001E-3</v>
      </c>
      <c r="H24" s="11">
        <v>6.5000000000000002E-2</v>
      </c>
      <c r="I24" s="10">
        <v>6408700</v>
      </c>
      <c r="J24" s="12" t="s">
        <v>1350</v>
      </c>
      <c r="K24" s="12">
        <v>952</v>
      </c>
      <c r="L24" s="12" t="s">
        <v>1351</v>
      </c>
      <c r="M24" s="10">
        <v>3123909820</v>
      </c>
      <c r="N24" s="10">
        <v>407833</v>
      </c>
      <c r="O24" s="12">
        <v>20</v>
      </c>
    </row>
    <row r="25" spans="1:15" ht="27" x14ac:dyDescent="0.3">
      <c r="A25" s="9">
        <v>43495</v>
      </c>
      <c r="B25" s="12">
        <v>30</v>
      </c>
      <c r="C25" s="11">
        <v>6.0000000000000001E-3</v>
      </c>
      <c r="D25" s="12">
        <v>35</v>
      </c>
      <c r="E25" s="11">
        <v>2E-3</v>
      </c>
      <c r="F25" s="10">
        <v>3430</v>
      </c>
      <c r="G25" s="11">
        <v>1E-3</v>
      </c>
      <c r="H25" s="11">
        <v>9.2999999999999999E-2</v>
      </c>
      <c r="I25" s="10">
        <v>1954700</v>
      </c>
      <c r="J25" s="12" t="s">
        <v>1352</v>
      </c>
      <c r="K25" s="12">
        <v>318</v>
      </c>
      <c r="L25" s="12" t="s">
        <v>1353</v>
      </c>
      <c r="M25" s="10">
        <v>3125864520</v>
      </c>
      <c r="N25" s="10">
        <v>408151</v>
      </c>
      <c r="O25" s="12">
        <v>25</v>
      </c>
    </row>
    <row r="26" spans="1:15" ht="27" x14ac:dyDescent="0.3">
      <c r="A26" s="9">
        <v>43496</v>
      </c>
      <c r="B26" s="12">
        <v>17</v>
      </c>
      <c r="C26" s="11">
        <v>3.0000000000000001E-3</v>
      </c>
      <c r="D26" s="12">
        <v>17</v>
      </c>
      <c r="E26" s="11">
        <v>1E-3</v>
      </c>
      <c r="F26" s="10">
        <v>2008</v>
      </c>
      <c r="G26" s="11">
        <v>1E-3</v>
      </c>
      <c r="H26" s="11">
        <v>3.9E-2</v>
      </c>
      <c r="I26" s="10">
        <v>564300</v>
      </c>
      <c r="J26" s="12" t="s">
        <v>1354</v>
      </c>
      <c r="K26" s="12">
        <v>79</v>
      </c>
      <c r="L26" s="12" t="s">
        <v>1355</v>
      </c>
      <c r="M26" s="10">
        <v>3126428820</v>
      </c>
      <c r="N26" s="10">
        <v>408230</v>
      </c>
      <c r="O26" s="12">
        <v>45</v>
      </c>
    </row>
    <row r="27" spans="1:15" ht="27" x14ac:dyDescent="0.3">
      <c r="A27" s="9">
        <v>43497</v>
      </c>
      <c r="B27" s="12">
        <v>14</v>
      </c>
      <c r="C27" s="11">
        <v>3.0000000000000001E-3</v>
      </c>
      <c r="D27" s="12">
        <v>15</v>
      </c>
      <c r="E27" s="11">
        <v>1E-3</v>
      </c>
      <c r="F27" s="10">
        <v>1721</v>
      </c>
      <c r="G27" s="11">
        <v>1E-3</v>
      </c>
      <c r="H27" s="11">
        <v>5.8000000000000003E-2</v>
      </c>
      <c r="I27" s="10">
        <v>651300</v>
      </c>
      <c r="J27" s="12" t="s">
        <v>1356</v>
      </c>
      <c r="K27" s="12">
        <v>99</v>
      </c>
      <c r="L27" s="12" t="s">
        <v>1357</v>
      </c>
      <c r="M27" s="10">
        <v>3127080120</v>
      </c>
      <c r="N27" s="10">
        <v>408329</v>
      </c>
      <c r="O27" s="12">
        <v>31</v>
      </c>
    </row>
    <row r="28" spans="1:15" ht="27" x14ac:dyDescent="0.3">
      <c r="A28" s="9">
        <v>43498</v>
      </c>
      <c r="B28" s="12">
        <v>17</v>
      </c>
      <c r="C28" s="11">
        <v>3.0000000000000001E-3</v>
      </c>
      <c r="D28" s="12">
        <v>19</v>
      </c>
      <c r="E28" s="11">
        <v>1E-3</v>
      </c>
      <c r="F28" s="10">
        <v>2253</v>
      </c>
      <c r="G28" s="11">
        <v>1E-3</v>
      </c>
      <c r="H28" s="11">
        <v>0.106</v>
      </c>
      <c r="I28" s="10">
        <v>1819300</v>
      </c>
      <c r="J28" s="12" t="s">
        <v>1358</v>
      </c>
      <c r="K28" s="12">
        <v>238</v>
      </c>
      <c r="L28" s="12" t="s">
        <v>1359</v>
      </c>
      <c r="M28" s="10">
        <v>3128899420</v>
      </c>
      <c r="N28" s="10">
        <v>408567</v>
      </c>
      <c r="O28" s="12">
        <v>27</v>
      </c>
    </row>
    <row r="29" spans="1:15" ht="27" x14ac:dyDescent="0.3">
      <c r="A29" s="9">
        <v>43499</v>
      </c>
      <c r="B29" s="12">
        <v>17</v>
      </c>
      <c r="C29" s="11">
        <v>3.0000000000000001E-3</v>
      </c>
      <c r="D29" s="12">
        <v>19</v>
      </c>
      <c r="E29" s="11">
        <v>1E-3</v>
      </c>
      <c r="F29" s="10">
        <v>2319</v>
      </c>
      <c r="G29" s="11">
        <v>1E-3</v>
      </c>
      <c r="H29" s="11">
        <v>0.11</v>
      </c>
      <c r="I29" s="10">
        <v>1858900</v>
      </c>
      <c r="J29" s="12" t="s">
        <v>1360</v>
      </c>
      <c r="K29" s="12">
        <v>255</v>
      </c>
      <c r="L29" s="12" t="s">
        <v>1361</v>
      </c>
      <c r="M29" s="10">
        <v>3130758320</v>
      </c>
      <c r="N29" s="10">
        <v>408822</v>
      </c>
      <c r="O29" s="12">
        <v>24</v>
      </c>
    </row>
    <row r="30" spans="1:15" ht="27" x14ac:dyDescent="0.3">
      <c r="A30" s="9">
        <v>43500</v>
      </c>
      <c r="B30" s="12">
        <v>14</v>
      </c>
      <c r="C30" s="11">
        <v>3.0000000000000001E-3</v>
      </c>
      <c r="D30" s="12">
        <v>16</v>
      </c>
      <c r="E30" s="11">
        <v>1E-3</v>
      </c>
      <c r="F30" s="10">
        <v>1461</v>
      </c>
      <c r="G30" s="11">
        <v>0</v>
      </c>
      <c r="H30" s="11">
        <v>9.6000000000000002E-2</v>
      </c>
      <c r="I30" s="10">
        <v>949300</v>
      </c>
      <c r="J30" s="12" t="s">
        <v>1362</v>
      </c>
      <c r="K30" s="12">
        <v>140</v>
      </c>
      <c r="L30" s="12" t="s">
        <v>1363</v>
      </c>
      <c r="M30" s="10">
        <v>3131707620</v>
      </c>
      <c r="N30" s="10">
        <v>408962</v>
      </c>
      <c r="O30" s="12">
        <v>26</v>
      </c>
    </row>
    <row r="31" spans="1:15" ht="27" x14ac:dyDescent="0.3">
      <c r="A31" s="9">
        <v>43501</v>
      </c>
      <c r="B31" s="12">
        <v>7</v>
      </c>
      <c r="C31" s="11">
        <v>1E-3</v>
      </c>
      <c r="D31" s="12">
        <v>8</v>
      </c>
      <c r="E31" s="11">
        <v>0</v>
      </c>
      <c r="F31" s="12">
        <v>795</v>
      </c>
      <c r="G31" s="11">
        <v>0</v>
      </c>
      <c r="H31" s="11">
        <v>8.8999999999999996E-2</v>
      </c>
      <c r="I31" s="10">
        <v>574000</v>
      </c>
      <c r="J31" s="12" t="s">
        <v>1364</v>
      </c>
      <c r="K31" s="12">
        <v>71</v>
      </c>
      <c r="L31" s="12" t="s">
        <v>1365</v>
      </c>
      <c r="M31" s="10">
        <v>3132281620</v>
      </c>
      <c r="N31" s="10">
        <v>409033</v>
      </c>
      <c r="O31" s="12">
        <v>37</v>
      </c>
    </row>
    <row r="32" spans="1:15" ht="27" x14ac:dyDescent="0.3">
      <c r="A32" s="9">
        <v>43502</v>
      </c>
      <c r="B32" s="12">
        <v>7</v>
      </c>
      <c r="C32" s="11">
        <v>1E-3</v>
      </c>
      <c r="D32" s="12">
        <v>9</v>
      </c>
      <c r="E32" s="11">
        <v>0</v>
      </c>
      <c r="F32" s="12">
        <v>707</v>
      </c>
      <c r="G32" s="11">
        <v>0</v>
      </c>
      <c r="H32" s="11">
        <v>0.214</v>
      </c>
      <c r="I32" s="10">
        <v>1133300</v>
      </c>
      <c r="J32" s="12" t="s">
        <v>1366</v>
      </c>
      <c r="K32" s="12">
        <v>151</v>
      </c>
      <c r="L32" s="12" t="s">
        <v>1367</v>
      </c>
      <c r="M32" s="10">
        <v>3133414920</v>
      </c>
      <c r="N32" s="10">
        <v>409184</v>
      </c>
      <c r="O32" s="12">
        <v>34</v>
      </c>
    </row>
    <row r="33" spans="1:15" ht="27" x14ac:dyDescent="0.3">
      <c r="A33" s="9">
        <v>43503</v>
      </c>
      <c r="B33" s="12">
        <v>3</v>
      </c>
      <c r="C33" s="11">
        <v>1E-3</v>
      </c>
      <c r="D33" s="12">
        <v>4</v>
      </c>
      <c r="E33" s="11">
        <v>0</v>
      </c>
      <c r="F33" s="12">
        <v>342</v>
      </c>
      <c r="G33" s="11">
        <v>0</v>
      </c>
      <c r="H33" s="11">
        <v>4.1000000000000002E-2</v>
      </c>
      <c r="I33" s="10">
        <v>98000</v>
      </c>
      <c r="J33" s="12" t="s">
        <v>1368</v>
      </c>
      <c r="K33" s="12">
        <v>14</v>
      </c>
      <c r="L33" s="12" t="s">
        <v>1369</v>
      </c>
      <c r="M33" s="10">
        <v>3133512920</v>
      </c>
      <c r="N33" s="10">
        <v>409198</v>
      </c>
      <c r="O33" s="12">
        <v>59</v>
      </c>
    </row>
    <row r="34" spans="1:15" ht="27" x14ac:dyDescent="0.3">
      <c r="A34" s="9">
        <v>43504</v>
      </c>
      <c r="B34" s="12">
        <v>4</v>
      </c>
      <c r="C34" s="11">
        <v>1E-3</v>
      </c>
      <c r="D34" s="12">
        <v>5</v>
      </c>
      <c r="E34" s="11">
        <v>0</v>
      </c>
      <c r="F34" s="12">
        <v>504</v>
      </c>
      <c r="G34" s="11">
        <v>0</v>
      </c>
      <c r="H34" s="11">
        <v>8.6999999999999994E-2</v>
      </c>
      <c r="I34" s="10">
        <v>237000</v>
      </c>
      <c r="J34" s="12" t="s">
        <v>1370</v>
      </c>
      <c r="K34" s="12">
        <v>44</v>
      </c>
      <c r="L34" s="12" t="s">
        <v>1371</v>
      </c>
      <c r="M34" s="10">
        <v>3133749920</v>
      </c>
      <c r="N34" s="10">
        <v>409242</v>
      </c>
      <c r="O34" s="12">
        <v>47</v>
      </c>
    </row>
    <row r="35" spans="1:15" ht="27" x14ac:dyDescent="0.3">
      <c r="A35" s="9">
        <v>43505</v>
      </c>
      <c r="B35" s="12">
        <v>5</v>
      </c>
      <c r="C35" s="11">
        <v>1E-3</v>
      </c>
      <c r="D35" s="12">
        <v>7</v>
      </c>
      <c r="E35" s="11">
        <v>0</v>
      </c>
      <c r="F35" s="12">
        <v>707</v>
      </c>
      <c r="G35" s="11">
        <v>0</v>
      </c>
      <c r="H35" s="11">
        <v>7.5999999999999998E-2</v>
      </c>
      <c r="I35" s="10">
        <v>420000</v>
      </c>
      <c r="J35" s="12" t="s">
        <v>1372</v>
      </c>
      <c r="K35" s="12">
        <v>54</v>
      </c>
      <c r="L35" s="12" t="s">
        <v>1373</v>
      </c>
      <c r="M35" s="10">
        <v>3134169920</v>
      </c>
      <c r="N35" s="10">
        <v>409296</v>
      </c>
      <c r="O35" s="12">
        <v>43</v>
      </c>
    </row>
    <row r="36" spans="1:15" ht="27" x14ac:dyDescent="0.3">
      <c r="A36" s="9">
        <v>43506</v>
      </c>
      <c r="B36" s="12">
        <v>5</v>
      </c>
      <c r="C36" s="11">
        <v>1E-3</v>
      </c>
      <c r="D36" s="12">
        <v>7</v>
      </c>
      <c r="E36" s="11">
        <v>0</v>
      </c>
      <c r="F36" s="12">
        <v>987</v>
      </c>
      <c r="G36" s="11">
        <v>0</v>
      </c>
      <c r="H36" s="11">
        <v>7.0000000000000007E-2</v>
      </c>
      <c r="I36" s="10">
        <v>500000</v>
      </c>
      <c r="J36" s="12" t="s">
        <v>1374</v>
      </c>
      <c r="K36" s="12">
        <v>69</v>
      </c>
      <c r="L36" s="12" t="s">
        <v>1375</v>
      </c>
      <c r="M36" s="10">
        <v>3134669920</v>
      </c>
      <c r="N36" s="10">
        <v>409365</v>
      </c>
      <c r="O36" s="12">
        <v>39</v>
      </c>
    </row>
    <row r="37" spans="1:15" ht="27" x14ac:dyDescent="0.3">
      <c r="A37" s="9">
        <v>43507</v>
      </c>
      <c r="B37" s="12">
        <v>4</v>
      </c>
      <c r="C37" s="11">
        <v>1E-3</v>
      </c>
      <c r="D37" s="12">
        <v>4</v>
      </c>
      <c r="E37" s="11">
        <v>0</v>
      </c>
      <c r="F37" s="12">
        <v>382</v>
      </c>
      <c r="G37" s="11">
        <v>0</v>
      </c>
      <c r="H37" s="11">
        <v>3.1E-2</v>
      </c>
      <c r="I37" s="10">
        <v>89000</v>
      </c>
      <c r="J37" s="12" t="s">
        <v>1376</v>
      </c>
      <c r="K37" s="12">
        <v>12</v>
      </c>
      <c r="L37" s="12" t="s">
        <v>1377</v>
      </c>
      <c r="M37" s="10">
        <v>3134758920</v>
      </c>
      <c r="N37" s="10">
        <v>409377</v>
      </c>
      <c r="O37" s="12">
        <v>48</v>
      </c>
    </row>
    <row r="38" spans="1:15" ht="27" x14ac:dyDescent="0.3">
      <c r="A38" s="9">
        <v>43508</v>
      </c>
      <c r="B38" s="12">
        <v>4</v>
      </c>
      <c r="C38" s="11">
        <v>1E-3</v>
      </c>
      <c r="D38" s="12">
        <v>5</v>
      </c>
      <c r="E38" s="11">
        <v>0</v>
      </c>
      <c r="F38" s="12">
        <v>417</v>
      </c>
      <c r="G38" s="11">
        <v>0</v>
      </c>
      <c r="H38" s="11">
        <v>3.7999999999999999E-2</v>
      </c>
      <c r="I38" s="10">
        <v>105000</v>
      </c>
      <c r="J38" s="12" t="s">
        <v>1378</v>
      </c>
      <c r="K38" s="12">
        <v>16</v>
      </c>
      <c r="L38" s="12" t="s">
        <v>1379</v>
      </c>
      <c r="M38" s="10">
        <v>3134863920</v>
      </c>
      <c r="N38" s="10">
        <v>409393</v>
      </c>
      <c r="O38" s="12">
        <v>61</v>
      </c>
    </row>
    <row r="39" spans="1:15" ht="27" x14ac:dyDescent="0.3">
      <c r="A39" s="9">
        <v>43509</v>
      </c>
      <c r="B39" s="12">
        <v>5</v>
      </c>
      <c r="C39" s="11">
        <v>1E-3</v>
      </c>
      <c r="D39" s="12">
        <v>5</v>
      </c>
      <c r="E39" s="11">
        <v>0</v>
      </c>
      <c r="F39" s="12">
        <v>876</v>
      </c>
      <c r="G39" s="11">
        <v>0</v>
      </c>
      <c r="H39" s="11">
        <v>0.622</v>
      </c>
      <c r="I39" s="10">
        <v>4669000</v>
      </c>
      <c r="J39" s="12" t="s">
        <v>1380</v>
      </c>
      <c r="K39" s="12">
        <v>545</v>
      </c>
      <c r="L39" s="12" t="s">
        <v>1381</v>
      </c>
      <c r="M39" s="10">
        <v>3139532920</v>
      </c>
      <c r="N39" s="10">
        <v>409938</v>
      </c>
      <c r="O39" s="12">
        <v>18</v>
      </c>
    </row>
    <row r="40" spans="1:15" ht="27" x14ac:dyDescent="0.3">
      <c r="A40" s="9">
        <v>43511</v>
      </c>
      <c r="B40" s="12">
        <v>1</v>
      </c>
      <c r="C40" s="11">
        <v>0</v>
      </c>
      <c r="D40" s="12">
        <v>1</v>
      </c>
      <c r="E40" s="11">
        <v>0</v>
      </c>
      <c r="F40" s="12">
        <v>63</v>
      </c>
      <c r="G40" s="11">
        <v>0</v>
      </c>
      <c r="H40" s="11">
        <v>0.50800000000000001</v>
      </c>
      <c r="I40" s="10">
        <v>163000</v>
      </c>
      <c r="J40" s="12" t="s">
        <v>1382</v>
      </c>
      <c r="K40" s="12">
        <v>32</v>
      </c>
      <c r="L40" s="12" t="s">
        <v>1383</v>
      </c>
      <c r="M40" s="10">
        <v>3139695920</v>
      </c>
      <c r="N40" s="10">
        <v>409970</v>
      </c>
      <c r="O40" s="12">
        <v>52</v>
      </c>
    </row>
    <row r="41" spans="1:15" ht="27" x14ac:dyDescent="0.3">
      <c r="A41" s="9">
        <v>43515</v>
      </c>
      <c r="B41" s="12">
        <v>1</v>
      </c>
      <c r="C41" s="11">
        <v>0</v>
      </c>
      <c r="D41" s="12">
        <v>1</v>
      </c>
      <c r="E41" s="11">
        <v>0</v>
      </c>
      <c r="F41" s="12">
        <v>106</v>
      </c>
      <c r="G41" s="11">
        <v>0</v>
      </c>
      <c r="H41" s="11">
        <v>0.311</v>
      </c>
      <c r="I41" s="10">
        <v>165000</v>
      </c>
      <c r="J41" s="12" t="s">
        <v>1384</v>
      </c>
      <c r="K41" s="12">
        <v>33</v>
      </c>
      <c r="L41" s="12" t="s">
        <v>1385</v>
      </c>
      <c r="M41" s="10">
        <v>3139860920</v>
      </c>
      <c r="N41" s="10">
        <v>410003</v>
      </c>
      <c r="O41" s="12">
        <v>56</v>
      </c>
    </row>
    <row r="42" spans="1:15" ht="27" x14ac:dyDescent="0.3">
      <c r="A42" s="9">
        <v>43516</v>
      </c>
      <c r="B42" s="12">
        <v>2</v>
      </c>
      <c r="C42" s="11">
        <v>0</v>
      </c>
      <c r="D42" s="12">
        <v>2</v>
      </c>
      <c r="E42" s="11">
        <v>0</v>
      </c>
      <c r="F42" s="12">
        <v>170</v>
      </c>
      <c r="G42" s="11">
        <v>0</v>
      </c>
      <c r="H42" s="11">
        <v>0.58199999999999996</v>
      </c>
      <c r="I42" s="10">
        <v>495000</v>
      </c>
      <c r="J42" s="12" t="s">
        <v>1386</v>
      </c>
      <c r="K42" s="12">
        <v>99</v>
      </c>
      <c r="L42" s="12" t="s">
        <v>1387</v>
      </c>
      <c r="M42" s="10">
        <v>3140355920</v>
      </c>
      <c r="N42" s="10">
        <v>410102</v>
      </c>
      <c r="O42" s="12">
        <v>44</v>
      </c>
    </row>
    <row r="43" spans="1:15" ht="27" x14ac:dyDescent="0.3">
      <c r="A43" s="9">
        <v>43517</v>
      </c>
      <c r="B43" s="12">
        <v>1</v>
      </c>
      <c r="C43" s="11">
        <v>0</v>
      </c>
      <c r="D43" s="12">
        <v>1</v>
      </c>
      <c r="E43" s="11">
        <v>0</v>
      </c>
      <c r="F43" s="12">
        <v>59</v>
      </c>
      <c r="G43" s="11">
        <v>0</v>
      </c>
      <c r="H43" s="11">
        <v>0.627</v>
      </c>
      <c r="I43" s="10">
        <v>185000</v>
      </c>
      <c r="J43" s="12" t="s">
        <v>1388</v>
      </c>
      <c r="K43" s="12">
        <v>37</v>
      </c>
      <c r="L43" s="12" t="s">
        <v>1389</v>
      </c>
      <c r="M43" s="10">
        <v>3140540920</v>
      </c>
      <c r="N43" s="10">
        <v>410139</v>
      </c>
      <c r="O43" s="12">
        <v>66</v>
      </c>
    </row>
    <row r="44" spans="1:15" ht="27" x14ac:dyDescent="0.3">
      <c r="A44" s="9">
        <v>43518</v>
      </c>
      <c r="B44" s="12">
        <v>1</v>
      </c>
      <c r="C44" s="11">
        <v>0</v>
      </c>
      <c r="D44" s="12">
        <v>1</v>
      </c>
      <c r="E44" s="11">
        <v>0</v>
      </c>
      <c r="F44" s="12">
        <v>106</v>
      </c>
      <c r="G44" s="11">
        <v>0</v>
      </c>
      <c r="H44" s="11">
        <v>0.27400000000000002</v>
      </c>
      <c r="I44" s="10">
        <v>151000</v>
      </c>
      <c r="J44" s="12" t="s">
        <v>1390</v>
      </c>
      <c r="K44" s="12">
        <v>29</v>
      </c>
      <c r="L44" s="12" t="s">
        <v>1391</v>
      </c>
      <c r="M44" s="10">
        <v>3140691920</v>
      </c>
      <c r="N44" s="10">
        <v>410168</v>
      </c>
      <c r="O44" s="12">
        <v>57</v>
      </c>
    </row>
    <row r="45" spans="1:15" ht="27" x14ac:dyDescent="0.3">
      <c r="A45" s="9">
        <v>43520</v>
      </c>
      <c r="B45" s="12">
        <v>1</v>
      </c>
      <c r="C45" s="11">
        <v>0</v>
      </c>
      <c r="D45" s="12">
        <v>1</v>
      </c>
      <c r="E45" s="11">
        <v>0</v>
      </c>
      <c r="F45" s="12">
        <v>386</v>
      </c>
      <c r="G45" s="11">
        <v>0</v>
      </c>
      <c r="H45" s="11">
        <v>3.1E-2</v>
      </c>
      <c r="I45" s="10">
        <v>79000</v>
      </c>
      <c r="J45" s="12" t="s">
        <v>1392</v>
      </c>
      <c r="K45" s="12">
        <v>12</v>
      </c>
      <c r="L45" s="12" t="s">
        <v>1393</v>
      </c>
      <c r="M45" s="10">
        <v>3140770920</v>
      </c>
      <c r="N45" s="10">
        <v>410180</v>
      </c>
      <c r="O45" s="12">
        <v>77</v>
      </c>
    </row>
    <row r="46" spans="1:15" ht="27" x14ac:dyDescent="0.3">
      <c r="A46" s="9">
        <v>43523</v>
      </c>
      <c r="B46" s="12">
        <v>1</v>
      </c>
      <c r="C46" s="11">
        <v>0</v>
      </c>
      <c r="D46" s="12">
        <v>1</v>
      </c>
      <c r="E46" s="11">
        <v>0</v>
      </c>
      <c r="F46" s="12">
        <v>386</v>
      </c>
      <c r="G46" s="11">
        <v>0</v>
      </c>
      <c r="H46" s="11">
        <v>1.2999999999999999E-2</v>
      </c>
      <c r="I46" s="10">
        <v>31000</v>
      </c>
      <c r="J46" s="12" t="s">
        <v>1394</v>
      </c>
      <c r="K46" s="12">
        <v>5</v>
      </c>
      <c r="L46" s="12" t="s">
        <v>1395</v>
      </c>
      <c r="M46" s="10">
        <v>3140801920</v>
      </c>
      <c r="N46" s="10">
        <v>410185</v>
      </c>
      <c r="O46" s="12">
        <v>92</v>
      </c>
    </row>
    <row r="47" spans="1:15" ht="27" x14ac:dyDescent="0.3">
      <c r="A47" s="9">
        <v>43544</v>
      </c>
      <c r="B47" s="12">
        <v>1</v>
      </c>
      <c r="C47" s="11">
        <v>0</v>
      </c>
      <c r="D47" s="12">
        <v>1</v>
      </c>
      <c r="E47" s="11">
        <v>0</v>
      </c>
      <c r="F47" s="12">
        <v>98</v>
      </c>
      <c r="G47" s="11">
        <v>0</v>
      </c>
      <c r="H47" s="11">
        <v>0.10199999999999999</v>
      </c>
      <c r="I47" s="10">
        <v>90000</v>
      </c>
      <c r="J47" s="12" t="s">
        <v>1396</v>
      </c>
      <c r="K47" s="12">
        <v>10</v>
      </c>
      <c r="L47" s="12" t="s">
        <v>1397</v>
      </c>
      <c r="M47" s="10">
        <v>3140891920</v>
      </c>
      <c r="N47" s="10">
        <v>410195</v>
      </c>
      <c r="O47" s="12">
        <v>68</v>
      </c>
    </row>
    <row r="48" spans="1:15" ht="27" x14ac:dyDescent="0.3">
      <c r="A48" s="9">
        <v>43545</v>
      </c>
      <c r="B48" s="12">
        <v>1</v>
      </c>
      <c r="C48" s="11">
        <v>0</v>
      </c>
      <c r="D48" s="12">
        <v>1</v>
      </c>
      <c r="E48" s="11">
        <v>0</v>
      </c>
      <c r="F48" s="12">
        <v>48</v>
      </c>
      <c r="G48" s="11">
        <v>0</v>
      </c>
      <c r="H48" s="11">
        <v>8.3000000000000004E-2</v>
      </c>
      <c r="I48" s="10">
        <v>29000</v>
      </c>
      <c r="J48" s="12" t="s">
        <v>1398</v>
      </c>
      <c r="K48" s="12">
        <v>4</v>
      </c>
      <c r="L48" s="12" t="s">
        <v>1399</v>
      </c>
      <c r="M48" s="10">
        <v>3140920920</v>
      </c>
      <c r="N48" s="10">
        <v>410199</v>
      </c>
      <c r="O48" s="12">
        <v>83</v>
      </c>
    </row>
    <row r="49" spans="1:15" ht="27" x14ac:dyDescent="0.3">
      <c r="A49" s="9">
        <v>43547</v>
      </c>
      <c r="B49" s="12">
        <v>1</v>
      </c>
      <c r="C49" s="11">
        <v>0</v>
      </c>
      <c r="D49" s="12">
        <v>1</v>
      </c>
      <c r="E49" s="11">
        <v>0</v>
      </c>
      <c r="F49" s="12">
        <v>48</v>
      </c>
      <c r="G49" s="11">
        <v>0</v>
      </c>
      <c r="H49" s="11">
        <v>0.35399999999999998</v>
      </c>
      <c r="I49" s="10">
        <v>150000</v>
      </c>
      <c r="J49" s="12" t="s">
        <v>1400</v>
      </c>
      <c r="K49" s="12">
        <v>17</v>
      </c>
      <c r="L49" s="12" t="s">
        <v>1401</v>
      </c>
      <c r="M49" s="10">
        <v>3141070920</v>
      </c>
      <c r="N49" s="10">
        <v>410216</v>
      </c>
      <c r="O49" s="12">
        <v>92</v>
      </c>
    </row>
    <row r="50" spans="1:15" ht="27" x14ac:dyDescent="0.3">
      <c r="A50" s="9">
        <v>43548</v>
      </c>
      <c r="B50" s="12">
        <v>1</v>
      </c>
      <c r="C50" s="11">
        <v>0</v>
      </c>
      <c r="D50" s="12">
        <v>1</v>
      </c>
      <c r="E50" s="11">
        <v>0</v>
      </c>
      <c r="F50" s="12">
        <v>48</v>
      </c>
      <c r="G50" s="11">
        <v>0</v>
      </c>
      <c r="H50" s="11">
        <v>0.16700000000000001</v>
      </c>
      <c r="I50" s="10">
        <v>63000</v>
      </c>
      <c r="J50" s="12" t="s">
        <v>1402</v>
      </c>
      <c r="K50" s="12">
        <v>8</v>
      </c>
      <c r="L50" s="12" t="s">
        <v>1403</v>
      </c>
      <c r="M50" s="10">
        <v>3141133920</v>
      </c>
      <c r="N50" s="10">
        <v>410224</v>
      </c>
      <c r="O50" s="12">
        <v>99</v>
      </c>
    </row>
    <row r="51" spans="1:15" ht="27" x14ac:dyDescent="0.3">
      <c r="A51" s="9">
        <v>43550</v>
      </c>
      <c r="B51" s="12">
        <v>1</v>
      </c>
      <c r="C51" s="11">
        <v>0</v>
      </c>
      <c r="D51" s="12">
        <v>1</v>
      </c>
      <c r="E51" s="11">
        <v>0</v>
      </c>
      <c r="F51" s="12">
        <v>48</v>
      </c>
      <c r="G51" s="11">
        <v>0</v>
      </c>
      <c r="H51" s="11">
        <v>8.3000000000000004E-2</v>
      </c>
      <c r="I51" s="10">
        <v>33000</v>
      </c>
      <c r="J51" s="12" t="s">
        <v>1404</v>
      </c>
      <c r="K51" s="12">
        <v>4</v>
      </c>
      <c r="L51" s="12" t="s">
        <v>296</v>
      </c>
      <c r="M51" s="10">
        <v>3141166920</v>
      </c>
      <c r="N51" s="10">
        <v>410228</v>
      </c>
      <c r="O51" s="12">
        <v>98</v>
      </c>
    </row>
    <row r="52" spans="1:15" ht="27" x14ac:dyDescent="0.3">
      <c r="A52" s="9">
        <v>43551</v>
      </c>
      <c r="B52" s="12">
        <v>1</v>
      </c>
      <c r="C52" s="11">
        <v>0</v>
      </c>
      <c r="D52" s="12">
        <v>1</v>
      </c>
      <c r="E52" s="11">
        <v>0</v>
      </c>
      <c r="F52" s="12">
        <v>48</v>
      </c>
      <c r="G52" s="11">
        <v>0</v>
      </c>
      <c r="H52" s="11">
        <v>8.3000000000000004E-2</v>
      </c>
      <c r="I52" s="10">
        <v>25000</v>
      </c>
      <c r="J52" s="12" t="s">
        <v>1405</v>
      </c>
      <c r="K52" s="12">
        <v>4</v>
      </c>
      <c r="L52" s="12" t="s">
        <v>292</v>
      </c>
      <c r="M52" s="10">
        <v>3141191920</v>
      </c>
      <c r="N52" s="10">
        <v>410232</v>
      </c>
      <c r="O52" s="12">
        <v>107</v>
      </c>
    </row>
    <row r="53" spans="1:15" ht="27" x14ac:dyDescent="0.3">
      <c r="A53" s="9">
        <v>43553</v>
      </c>
      <c r="B53" s="12">
        <v>1</v>
      </c>
      <c r="C53" s="11">
        <v>0</v>
      </c>
      <c r="D53" s="12">
        <v>1</v>
      </c>
      <c r="E53" s="11">
        <v>0</v>
      </c>
      <c r="F53" s="12">
        <v>48</v>
      </c>
      <c r="G53" s="11">
        <v>0</v>
      </c>
      <c r="H53" s="11">
        <v>2.1000000000000001E-2</v>
      </c>
      <c r="I53" s="10">
        <v>8000</v>
      </c>
      <c r="J53" s="12" t="s">
        <v>1406</v>
      </c>
      <c r="K53" s="12">
        <v>1</v>
      </c>
      <c r="L53" s="12" t="s">
        <v>312</v>
      </c>
      <c r="M53" s="10">
        <v>3141199920</v>
      </c>
      <c r="N53" s="10">
        <v>410233</v>
      </c>
      <c r="O53" s="12">
        <v>98</v>
      </c>
    </row>
    <row r="54" spans="1:15" ht="27" x14ac:dyDescent="0.3">
      <c r="A54" s="9">
        <v>43556</v>
      </c>
      <c r="B54" s="12">
        <v>1</v>
      </c>
      <c r="C54" s="11">
        <v>0</v>
      </c>
      <c r="D54" s="12">
        <v>1</v>
      </c>
      <c r="E54" s="11">
        <v>0</v>
      </c>
      <c r="F54" s="12">
        <v>48</v>
      </c>
      <c r="G54" s="11">
        <v>0</v>
      </c>
      <c r="H54" s="11">
        <v>4.2000000000000003E-2</v>
      </c>
      <c r="I54" s="10">
        <v>10000</v>
      </c>
      <c r="J54" s="12" t="s">
        <v>1407</v>
      </c>
      <c r="K54" s="12">
        <v>2</v>
      </c>
      <c r="L54" s="12" t="s">
        <v>1408</v>
      </c>
      <c r="M54" s="10">
        <v>3141209920</v>
      </c>
      <c r="N54" s="10">
        <v>410235</v>
      </c>
      <c r="O54" s="12">
        <v>87</v>
      </c>
    </row>
    <row r="55" spans="1:15" ht="27" x14ac:dyDescent="0.3">
      <c r="A55" s="9">
        <v>43557</v>
      </c>
      <c r="B55" s="12">
        <v>1</v>
      </c>
      <c r="C55" s="11">
        <v>0</v>
      </c>
      <c r="D55" s="12">
        <v>1</v>
      </c>
      <c r="E55" s="11">
        <v>0</v>
      </c>
      <c r="F55" s="12">
        <v>48</v>
      </c>
      <c r="G55" s="11">
        <v>0</v>
      </c>
      <c r="H55" s="11">
        <v>4.2000000000000003E-2</v>
      </c>
      <c r="I55" s="10">
        <v>14000</v>
      </c>
      <c r="J55" s="12" t="s">
        <v>1409</v>
      </c>
      <c r="K55" s="12">
        <v>2</v>
      </c>
      <c r="L55" s="12" t="s">
        <v>292</v>
      </c>
      <c r="M55" s="10">
        <v>3141223920</v>
      </c>
      <c r="N55" s="10">
        <v>410237</v>
      </c>
      <c r="O55" s="12">
        <v>91</v>
      </c>
    </row>
    <row r="56" spans="1:15" ht="27" x14ac:dyDescent="0.3">
      <c r="A56" s="9">
        <v>43558</v>
      </c>
      <c r="B56" s="12">
        <v>1</v>
      </c>
      <c r="C56" s="11">
        <v>0</v>
      </c>
      <c r="D56" s="12">
        <v>1</v>
      </c>
      <c r="E56" s="11">
        <v>0</v>
      </c>
      <c r="F56" s="12">
        <v>48</v>
      </c>
      <c r="G56" s="11">
        <v>0</v>
      </c>
      <c r="H56" s="11">
        <v>4.2000000000000003E-2</v>
      </c>
      <c r="I56" s="10">
        <v>12500</v>
      </c>
      <c r="J56" s="12" t="s">
        <v>1410</v>
      </c>
      <c r="K56" s="12">
        <v>2</v>
      </c>
      <c r="L56" s="12" t="s">
        <v>292</v>
      </c>
      <c r="M56" s="10">
        <v>3141236420</v>
      </c>
      <c r="N56" s="10">
        <v>410239</v>
      </c>
      <c r="O56" s="12">
        <v>88</v>
      </c>
    </row>
    <row r="57" spans="1:15" ht="27" x14ac:dyDescent="0.3">
      <c r="A57" s="9">
        <v>43563</v>
      </c>
      <c r="B57" s="12">
        <v>1</v>
      </c>
      <c r="C57" s="11">
        <v>0</v>
      </c>
      <c r="D57" s="12">
        <v>1</v>
      </c>
      <c r="E57" s="11">
        <v>0</v>
      </c>
      <c r="F57" s="12">
        <v>48</v>
      </c>
      <c r="G57" s="11">
        <v>0</v>
      </c>
      <c r="H57" s="11">
        <v>2.1000000000000001E-2</v>
      </c>
      <c r="I57" s="10">
        <v>7000</v>
      </c>
      <c r="J57" s="12" t="s">
        <v>1411</v>
      </c>
      <c r="K57" s="12">
        <v>1</v>
      </c>
      <c r="L57" s="12" t="s">
        <v>312</v>
      </c>
      <c r="M57" s="10">
        <v>3141243420</v>
      </c>
      <c r="N57" s="10">
        <v>410240</v>
      </c>
      <c r="O57" s="12">
        <v>92</v>
      </c>
    </row>
    <row r="58" spans="1:15" ht="27" x14ac:dyDescent="0.3">
      <c r="A58" s="9">
        <v>43565</v>
      </c>
      <c r="B58" s="12">
        <v>1</v>
      </c>
      <c r="C58" s="11">
        <v>0</v>
      </c>
      <c r="D58" s="12">
        <v>1</v>
      </c>
      <c r="E58" s="11">
        <v>0</v>
      </c>
      <c r="F58" s="12">
        <v>48</v>
      </c>
      <c r="G58" s="11">
        <v>0</v>
      </c>
      <c r="H58" s="11">
        <v>2.1000000000000001E-2</v>
      </c>
      <c r="I58" s="10">
        <v>7000</v>
      </c>
      <c r="J58" s="12" t="s">
        <v>1411</v>
      </c>
      <c r="K58" s="12">
        <v>1</v>
      </c>
      <c r="L58" s="12" t="s">
        <v>312</v>
      </c>
      <c r="M58" s="10">
        <v>3141250420</v>
      </c>
      <c r="N58" s="10">
        <v>410241</v>
      </c>
      <c r="O58" s="12">
        <v>98</v>
      </c>
    </row>
    <row r="59" spans="1:15" ht="27" x14ac:dyDescent="0.3">
      <c r="A59" s="9">
        <v>43568</v>
      </c>
      <c r="B59" s="12">
        <v>1</v>
      </c>
      <c r="C59" s="11">
        <v>0</v>
      </c>
      <c r="D59" s="12">
        <v>1</v>
      </c>
      <c r="E59" s="11">
        <v>0</v>
      </c>
      <c r="F59" s="12">
        <v>48</v>
      </c>
      <c r="G59" s="11">
        <v>0</v>
      </c>
      <c r="H59" s="11">
        <v>0.188</v>
      </c>
      <c r="I59" s="10">
        <v>72500</v>
      </c>
      <c r="J59" s="12" t="s">
        <v>1412</v>
      </c>
      <c r="K59" s="12">
        <v>9</v>
      </c>
      <c r="L59" s="12" t="s">
        <v>1413</v>
      </c>
      <c r="M59" s="10">
        <v>3141322920</v>
      </c>
      <c r="N59" s="10">
        <v>410250</v>
      </c>
      <c r="O59" s="12">
        <v>101</v>
      </c>
    </row>
    <row r="60" spans="1:15" ht="27" x14ac:dyDescent="0.3">
      <c r="A60" s="9">
        <v>43569</v>
      </c>
      <c r="B60" s="12">
        <v>1</v>
      </c>
      <c r="C60" s="11">
        <v>0</v>
      </c>
      <c r="D60" s="12">
        <v>1</v>
      </c>
      <c r="E60" s="11">
        <v>0</v>
      </c>
      <c r="F60" s="12">
        <v>48</v>
      </c>
      <c r="G60" s="11">
        <v>0</v>
      </c>
      <c r="H60" s="11">
        <v>0.20799999999999999</v>
      </c>
      <c r="I60" s="10">
        <v>80500</v>
      </c>
      <c r="J60" s="12" t="s">
        <v>1414</v>
      </c>
      <c r="K60" s="12">
        <v>10</v>
      </c>
      <c r="L60" s="12" t="s">
        <v>1415</v>
      </c>
      <c r="M60" s="10">
        <v>3141403420</v>
      </c>
      <c r="N60" s="10">
        <v>410260</v>
      </c>
      <c r="O60" s="12">
        <v>94</v>
      </c>
    </row>
    <row r="61" spans="1:15" ht="27" x14ac:dyDescent="0.3">
      <c r="A61" s="9">
        <v>43570</v>
      </c>
      <c r="B61" s="12">
        <v>1</v>
      </c>
      <c r="C61" s="11">
        <v>0</v>
      </c>
      <c r="D61" s="12">
        <v>1</v>
      </c>
      <c r="E61" s="11">
        <v>0</v>
      </c>
      <c r="F61" s="12">
        <v>48</v>
      </c>
      <c r="G61" s="11">
        <v>0</v>
      </c>
      <c r="H61" s="11">
        <v>4.2000000000000003E-2</v>
      </c>
      <c r="I61" s="10">
        <v>16000</v>
      </c>
      <c r="J61" s="12" t="s">
        <v>1416</v>
      </c>
      <c r="K61" s="12">
        <v>2</v>
      </c>
      <c r="L61" s="12" t="s">
        <v>1417</v>
      </c>
      <c r="M61" s="10">
        <v>3141419420</v>
      </c>
      <c r="N61" s="10">
        <v>410262</v>
      </c>
      <c r="O61" s="12">
        <v>95</v>
      </c>
    </row>
    <row r="62" spans="1:15" ht="27" x14ac:dyDescent="0.3">
      <c r="A62" s="9">
        <v>43572</v>
      </c>
      <c r="B62" s="12">
        <v>1</v>
      </c>
      <c r="C62" s="11">
        <v>0</v>
      </c>
      <c r="D62" s="12">
        <v>1</v>
      </c>
      <c r="E62" s="11">
        <v>0</v>
      </c>
      <c r="F62" s="12">
        <v>48</v>
      </c>
      <c r="G62" s="11">
        <v>0</v>
      </c>
      <c r="H62" s="11">
        <v>8.3000000000000004E-2</v>
      </c>
      <c r="I62" s="10">
        <v>23000</v>
      </c>
      <c r="J62" s="12" t="s">
        <v>1418</v>
      </c>
      <c r="K62" s="12">
        <v>4</v>
      </c>
      <c r="L62" s="12" t="s">
        <v>296</v>
      </c>
      <c r="M62" s="10">
        <v>3141442420</v>
      </c>
      <c r="N62" s="10">
        <v>410266</v>
      </c>
      <c r="O62" s="12">
        <v>100</v>
      </c>
    </row>
    <row r="63" spans="1:15" ht="27" x14ac:dyDescent="0.3">
      <c r="A63" s="9">
        <v>43573</v>
      </c>
      <c r="B63" s="12">
        <v>1</v>
      </c>
      <c r="C63" s="11">
        <v>0</v>
      </c>
      <c r="D63" s="12">
        <v>1</v>
      </c>
      <c r="E63" s="11">
        <v>0</v>
      </c>
      <c r="F63" s="12">
        <v>48</v>
      </c>
      <c r="G63" s="11">
        <v>0</v>
      </c>
      <c r="H63" s="11">
        <v>4.2000000000000003E-2</v>
      </c>
      <c r="I63" s="10">
        <v>14000</v>
      </c>
      <c r="J63" s="12" t="s">
        <v>1419</v>
      </c>
      <c r="K63" s="12">
        <v>2</v>
      </c>
      <c r="L63" s="12" t="s">
        <v>306</v>
      </c>
      <c r="M63" s="10">
        <v>3141456420</v>
      </c>
      <c r="N63" s="10">
        <v>410268</v>
      </c>
      <c r="O63" s="12">
        <v>121</v>
      </c>
    </row>
    <row r="64" spans="1:15" ht="27" x14ac:dyDescent="0.3">
      <c r="A64" s="9">
        <v>43577</v>
      </c>
      <c r="B64" s="12">
        <v>1</v>
      </c>
      <c r="C64" s="11">
        <v>0</v>
      </c>
      <c r="D64" s="12">
        <v>1</v>
      </c>
      <c r="E64" s="11">
        <v>0</v>
      </c>
      <c r="F64" s="12">
        <v>48</v>
      </c>
      <c r="G64" s="11">
        <v>0</v>
      </c>
      <c r="H64" s="11">
        <v>6.3E-2</v>
      </c>
      <c r="I64" s="10">
        <v>20000</v>
      </c>
      <c r="J64" s="12" t="s">
        <v>1420</v>
      </c>
      <c r="K64" s="12">
        <v>3</v>
      </c>
      <c r="L64" s="12" t="s">
        <v>294</v>
      </c>
      <c r="M64" s="10">
        <v>3141476420</v>
      </c>
      <c r="N64" s="10">
        <v>410271</v>
      </c>
      <c r="O64" s="12">
        <v>98</v>
      </c>
    </row>
    <row r="65" spans="1:15" ht="27" x14ac:dyDescent="0.3">
      <c r="A65" s="9">
        <v>43578</v>
      </c>
      <c r="B65" s="12">
        <v>1</v>
      </c>
      <c r="C65" s="11">
        <v>0</v>
      </c>
      <c r="D65" s="12">
        <v>1</v>
      </c>
      <c r="E65" s="11">
        <v>0</v>
      </c>
      <c r="F65" s="12">
        <v>48</v>
      </c>
      <c r="G65" s="11">
        <v>0</v>
      </c>
      <c r="H65" s="11">
        <v>4.2000000000000003E-2</v>
      </c>
      <c r="I65" s="10">
        <v>16000</v>
      </c>
      <c r="J65" s="12" t="s">
        <v>1421</v>
      </c>
      <c r="K65" s="12">
        <v>2</v>
      </c>
      <c r="L65" s="12" t="s">
        <v>1422</v>
      </c>
      <c r="M65" s="10">
        <v>3141492420</v>
      </c>
      <c r="N65" s="10">
        <v>410273</v>
      </c>
      <c r="O65" s="12">
        <v>117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A5757-D216-42FC-BCDC-A7167969FE00}">
  <dimension ref="A1:O40"/>
  <sheetViews>
    <sheetView workbookViewId="0">
      <selection activeCell="K21" sqref="K21"/>
    </sheetView>
  </sheetViews>
  <sheetFormatPr defaultRowHeight="16.5" x14ac:dyDescent="0.3"/>
  <cols>
    <col min="1" max="1" width="17.625" customWidth="1"/>
  </cols>
  <sheetData>
    <row r="1" spans="1:15" x14ac:dyDescent="0.3">
      <c r="A1" t="s">
        <v>1423</v>
      </c>
    </row>
    <row r="2" spans="1:15" x14ac:dyDescent="0.3">
      <c r="A2" t="s">
        <v>1242</v>
      </c>
    </row>
    <row r="3" spans="1:15" x14ac:dyDescent="0.3">
      <c r="A3" t="s">
        <v>1243</v>
      </c>
    </row>
    <row r="4" spans="1:15" x14ac:dyDescent="0.3">
      <c r="A4" t="s">
        <v>111</v>
      </c>
      <c r="B4" t="s">
        <v>112</v>
      </c>
      <c r="C4" t="s">
        <v>113</v>
      </c>
      <c r="D4" t="s">
        <v>114</v>
      </c>
      <c r="E4" t="s">
        <v>115</v>
      </c>
      <c r="F4" t="s">
        <v>116</v>
      </c>
      <c r="G4" t="s">
        <v>117</v>
      </c>
      <c r="H4" t="s">
        <v>118</v>
      </c>
      <c r="I4" t="s">
        <v>119</v>
      </c>
      <c r="J4" t="s">
        <v>120</v>
      </c>
      <c r="K4" t="s">
        <v>121</v>
      </c>
      <c r="L4" t="s">
        <v>122</v>
      </c>
      <c r="M4" t="s">
        <v>123</v>
      </c>
      <c r="N4" t="s">
        <v>124</v>
      </c>
      <c r="O4" t="s">
        <v>125</v>
      </c>
    </row>
    <row r="5" spans="1:15" x14ac:dyDescent="0.3">
      <c r="A5" s="13">
        <v>43458</v>
      </c>
      <c r="B5">
        <v>722</v>
      </c>
      <c r="C5" s="14">
        <v>9.7000000000000003E-2</v>
      </c>
      <c r="D5" s="3">
        <v>2048</v>
      </c>
      <c r="E5" s="14">
        <v>0.107</v>
      </c>
      <c r="F5" s="3">
        <v>338331</v>
      </c>
      <c r="G5" s="14">
        <v>0.113</v>
      </c>
      <c r="H5" s="14">
        <v>0.252</v>
      </c>
      <c r="I5" s="3">
        <v>705887500</v>
      </c>
      <c r="J5" t="s">
        <v>1424</v>
      </c>
      <c r="K5" s="3">
        <v>85275</v>
      </c>
      <c r="L5" t="s">
        <v>1425</v>
      </c>
      <c r="M5" s="3">
        <v>741109500</v>
      </c>
      <c r="N5" s="3">
        <v>88976</v>
      </c>
      <c r="O5">
        <v>5</v>
      </c>
    </row>
    <row r="6" spans="1:15" x14ac:dyDescent="0.3">
      <c r="A6" s="13">
        <v>43459</v>
      </c>
      <c r="B6" s="3">
        <v>1016</v>
      </c>
      <c r="C6" s="14">
        <v>0.13700000000000001</v>
      </c>
      <c r="D6" s="3">
        <v>4650</v>
      </c>
      <c r="E6" s="14">
        <v>0.23300000000000001</v>
      </c>
      <c r="F6" s="3">
        <v>845713</v>
      </c>
      <c r="G6" s="14">
        <v>0.27</v>
      </c>
      <c r="H6" s="14">
        <v>0.52300000000000002</v>
      </c>
      <c r="I6" s="3">
        <v>3832868850</v>
      </c>
      <c r="J6" t="s">
        <v>1426</v>
      </c>
      <c r="K6" s="3">
        <v>441893</v>
      </c>
      <c r="L6" t="s">
        <v>1427</v>
      </c>
      <c r="M6" s="3">
        <v>4573978350</v>
      </c>
      <c r="N6" s="3">
        <v>530869</v>
      </c>
      <c r="O6">
        <v>2</v>
      </c>
    </row>
    <row r="7" spans="1:15" x14ac:dyDescent="0.3">
      <c r="A7" s="13">
        <v>43460</v>
      </c>
      <c r="B7">
        <v>898</v>
      </c>
      <c r="C7" s="14">
        <v>0.13600000000000001</v>
      </c>
      <c r="D7" s="3">
        <v>3781</v>
      </c>
      <c r="E7" s="14">
        <v>0.20499999999999999</v>
      </c>
      <c r="F7" s="3">
        <v>653089</v>
      </c>
      <c r="G7" s="14">
        <v>0.22500000000000001</v>
      </c>
      <c r="H7" s="14">
        <v>0.154</v>
      </c>
      <c r="I7" s="3">
        <v>626725550</v>
      </c>
      <c r="J7" t="s">
        <v>1428</v>
      </c>
      <c r="K7" s="3">
        <v>100536</v>
      </c>
      <c r="L7" t="s">
        <v>1429</v>
      </c>
      <c r="M7" s="3">
        <v>5200703900</v>
      </c>
      <c r="N7" s="3">
        <v>631405</v>
      </c>
      <c r="O7">
        <v>3</v>
      </c>
    </row>
    <row r="8" spans="1:15" x14ac:dyDescent="0.3">
      <c r="A8" s="13">
        <v>43461</v>
      </c>
      <c r="B8">
        <v>879</v>
      </c>
      <c r="C8" s="14">
        <v>0.13100000000000001</v>
      </c>
      <c r="D8" s="3">
        <v>3519</v>
      </c>
      <c r="E8" s="14">
        <v>0.19</v>
      </c>
      <c r="F8" s="3">
        <v>603158</v>
      </c>
      <c r="G8" s="14">
        <v>0.20699999999999999</v>
      </c>
      <c r="H8" s="14">
        <v>9.4E-2</v>
      </c>
      <c r="I8" s="3">
        <v>451996650</v>
      </c>
      <c r="J8" t="s">
        <v>1430</v>
      </c>
      <c r="K8" s="3">
        <v>56449</v>
      </c>
      <c r="L8" t="s">
        <v>1431</v>
      </c>
      <c r="M8" s="3">
        <v>5652700550</v>
      </c>
      <c r="N8" s="3">
        <v>687854</v>
      </c>
      <c r="O8">
        <v>3</v>
      </c>
    </row>
    <row r="9" spans="1:15" x14ac:dyDescent="0.3">
      <c r="A9" s="13">
        <v>43462</v>
      </c>
      <c r="B9">
        <v>843</v>
      </c>
      <c r="C9" s="14">
        <v>0.122</v>
      </c>
      <c r="D9" s="3">
        <v>3330</v>
      </c>
      <c r="E9" s="14">
        <v>0.17599999999999999</v>
      </c>
      <c r="F9" s="3">
        <v>558953</v>
      </c>
      <c r="G9" s="14">
        <v>0.188</v>
      </c>
      <c r="H9" s="14">
        <v>0.13</v>
      </c>
      <c r="I9" s="3">
        <v>639286429</v>
      </c>
      <c r="J9" t="s">
        <v>1432</v>
      </c>
      <c r="K9" s="3">
        <v>72508</v>
      </c>
      <c r="L9" t="s">
        <v>1433</v>
      </c>
      <c r="M9" s="3">
        <v>6291986979</v>
      </c>
      <c r="N9" s="3">
        <v>760362</v>
      </c>
      <c r="O9">
        <v>3</v>
      </c>
    </row>
    <row r="10" spans="1:15" x14ac:dyDescent="0.3">
      <c r="A10" s="13">
        <v>43463</v>
      </c>
      <c r="B10">
        <v>841</v>
      </c>
      <c r="C10" s="14">
        <v>0.115</v>
      </c>
      <c r="D10" s="3">
        <v>3051</v>
      </c>
      <c r="E10" s="14">
        <v>0.155</v>
      </c>
      <c r="F10" s="3">
        <v>482407</v>
      </c>
      <c r="G10" s="14">
        <v>0.157</v>
      </c>
      <c r="H10" s="14">
        <v>0.30499999999999999</v>
      </c>
      <c r="I10" s="3">
        <v>1283755173</v>
      </c>
      <c r="J10" t="s">
        <v>1434</v>
      </c>
      <c r="K10" s="3">
        <v>147031</v>
      </c>
      <c r="L10" t="s">
        <v>1435</v>
      </c>
      <c r="M10" s="3">
        <v>7575742152</v>
      </c>
      <c r="N10" s="3">
        <v>907393</v>
      </c>
      <c r="O10">
        <v>3</v>
      </c>
    </row>
    <row r="11" spans="1:15" x14ac:dyDescent="0.3">
      <c r="A11" s="13">
        <v>43464</v>
      </c>
      <c r="B11">
        <v>815</v>
      </c>
      <c r="C11" s="14">
        <v>0.113</v>
      </c>
      <c r="D11" s="3">
        <v>2941</v>
      </c>
      <c r="E11" s="14">
        <v>0.152</v>
      </c>
      <c r="F11" s="3">
        <v>450498</v>
      </c>
      <c r="G11" s="14">
        <v>0.14899999999999999</v>
      </c>
      <c r="H11" s="14">
        <v>0.33</v>
      </c>
      <c r="I11" s="3">
        <v>1301385050</v>
      </c>
      <c r="J11" t="s">
        <v>1436</v>
      </c>
      <c r="K11" s="3">
        <v>148750</v>
      </c>
      <c r="L11" t="s">
        <v>1437</v>
      </c>
      <c r="M11" s="3">
        <v>8877127202</v>
      </c>
      <c r="N11" s="3">
        <v>1056143</v>
      </c>
      <c r="O11">
        <v>3</v>
      </c>
    </row>
    <row r="12" spans="1:15" x14ac:dyDescent="0.3">
      <c r="A12" s="13">
        <v>43465</v>
      </c>
      <c r="B12">
        <v>799</v>
      </c>
      <c r="C12" s="14">
        <v>0.11600000000000001</v>
      </c>
      <c r="D12" s="3">
        <v>2921</v>
      </c>
      <c r="E12" s="14">
        <v>0.151</v>
      </c>
      <c r="F12" s="3">
        <v>430241</v>
      </c>
      <c r="G12" s="14">
        <v>0.14299999999999999</v>
      </c>
      <c r="H12" s="14">
        <v>0.25800000000000001</v>
      </c>
      <c r="I12" s="3">
        <v>878956550</v>
      </c>
      <c r="J12" t="s">
        <v>1438</v>
      </c>
      <c r="K12" s="3">
        <v>111007</v>
      </c>
      <c r="L12" t="s">
        <v>1439</v>
      </c>
      <c r="M12" s="3">
        <v>9756083752</v>
      </c>
      <c r="N12" s="3">
        <v>1167150</v>
      </c>
      <c r="O12">
        <v>3</v>
      </c>
    </row>
    <row r="13" spans="1:15" x14ac:dyDescent="0.3">
      <c r="A13" s="13">
        <v>43466</v>
      </c>
      <c r="B13">
        <v>766</v>
      </c>
      <c r="C13" s="14">
        <v>0.107</v>
      </c>
      <c r="D13" s="3">
        <v>2519</v>
      </c>
      <c r="E13" s="14">
        <v>0.129</v>
      </c>
      <c r="F13" s="3">
        <v>362242</v>
      </c>
      <c r="G13" s="14">
        <v>0.12</v>
      </c>
      <c r="H13" s="14">
        <v>0.36599999999999999</v>
      </c>
      <c r="I13" s="3">
        <v>1143504700</v>
      </c>
      <c r="J13" t="s">
        <v>1440</v>
      </c>
      <c r="K13" s="3">
        <v>132618</v>
      </c>
      <c r="L13" t="s">
        <v>1441</v>
      </c>
      <c r="M13" s="3">
        <v>10899588452</v>
      </c>
      <c r="N13" s="3">
        <v>1299768</v>
      </c>
      <c r="O13">
        <v>4</v>
      </c>
    </row>
    <row r="14" spans="1:15" x14ac:dyDescent="0.3">
      <c r="A14" s="13">
        <v>43467</v>
      </c>
      <c r="B14">
        <v>719</v>
      </c>
      <c r="C14" s="14">
        <v>0.106</v>
      </c>
      <c r="D14" s="3">
        <v>2386</v>
      </c>
      <c r="E14" s="14">
        <v>0.13</v>
      </c>
      <c r="F14" s="3">
        <v>342074</v>
      </c>
      <c r="G14" s="14">
        <v>0.12</v>
      </c>
      <c r="H14" s="14">
        <v>0.105</v>
      </c>
      <c r="I14" s="3">
        <v>283619450</v>
      </c>
      <c r="J14" t="s">
        <v>1442</v>
      </c>
      <c r="K14" s="3">
        <v>35828</v>
      </c>
      <c r="L14" t="s">
        <v>1443</v>
      </c>
      <c r="M14" s="3">
        <v>11183207902</v>
      </c>
      <c r="N14" s="3">
        <v>1335596</v>
      </c>
      <c r="O14">
        <v>4</v>
      </c>
    </row>
    <row r="15" spans="1:15" x14ac:dyDescent="0.3">
      <c r="A15" s="13">
        <v>43468</v>
      </c>
      <c r="B15">
        <v>656</v>
      </c>
      <c r="C15" s="14">
        <v>9.4E-2</v>
      </c>
      <c r="D15" s="3">
        <v>1921</v>
      </c>
      <c r="E15" s="14">
        <v>0.104</v>
      </c>
      <c r="F15" s="3">
        <v>266811</v>
      </c>
      <c r="G15" s="14">
        <v>9.2999999999999999E-2</v>
      </c>
      <c r="H15" s="14">
        <v>9.4E-2</v>
      </c>
      <c r="I15" s="3">
        <v>198721050</v>
      </c>
      <c r="J15" t="s">
        <v>1444</v>
      </c>
      <c r="K15" s="3">
        <v>25065</v>
      </c>
      <c r="L15" t="s">
        <v>1445</v>
      </c>
      <c r="M15" s="3">
        <v>11381928952</v>
      </c>
      <c r="N15" s="3">
        <v>1360661</v>
      </c>
      <c r="O15">
        <v>5</v>
      </c>
    </row>
    <row r="16" spans="1:15" x14ac:dyDescent="0.3">
      <c r="A16" s="13">
        <v>43469</v>
      </c>
      <c r="B16">
        <v>657</v>
      </c>
      <c r="C16" s="14">
        <v>9.4E-2</v>
      </c>
      <c r="D16" s="3">
        <v>1909</v>
      </c>
      <c r="E16" s="14">
        <v>0.10199999999999999</v>
      </c>
      <c r="F16" s="3">
        <v>261139</v>
      </c>
      <c r="G16" s="14">
        <v>8.8999999999999996E-2</v>
      </c>
      <c r="H16" s="14">
        <v>0.112</v>
      </c>
      <c r="I16" s="3">
        <v>253711862</v>
      </c>
      <c r="J16" t="s">
        <v>1446</v>
      </c>
      <c r="K16" s="3">
        <v>29301</v>
      </c>
      <c r="L16" t="s">
        <v>1447</v>
      </c>
      <c r="M16" s="3">
        <v>11635640814</v>
      </c>
      <c r="N16" s="3">
        <v>1389962</v>
      </c>
      <c r="O16">
        <v>5</v>
      </c>
    </row>
    <row r="17" spans="1:15" x14ac:dyDescent="0.3">
      <c r="A17" s="13">
        <v>43470</v>
      </c>
      <c r="B17">
        <v>662</v>
      </c>
      <c r="C17" s="14">
        <v>8.5000000000000006E-2</v>
      </c>
      <c r="D17" s="3">
        <v>1678</v>
      </c>
      <c r="E17" s="14">
        <v>8.5999999999999993E-2</v>
      </c>
      <c r="F17" s="3">
        <v>224040</v>
      </c>
      <c r="G17" s="14">
        <v>7.3999999999999996E-2</v>
      </c>
      <c r="H17" s="14">
        <v>0.24099999999999999</v>
      </c>
      <c r="I17" s="3">
        <v>471851863</v>
      </c>
      <c r="J17" t="s">
        <v>1448</v>
      </c>
      <c r="K17" s="3">
        <v>54071</v>
      </c>
      <c r="L17" t="s">
        <v>1449</v>
      </c>
      <c r="M17" s="3">
        <v>12107492677</v>
      </c>
      <c r="N17" s="3">
        <v>1444033</v>
      </c>
      <c r="O17">
        <v>5</v>
      </c>
    </row>
    <row r="18" spans="1:15" x14ac:dyDescent="0.3">
      <c r="A18" s="13">
        <v>43471</v>
      </c>
      <c r="B18">
        <v>678</v>
      </c>
      <c r="C18" s="14">
        <v>8.6999999999999994E-2</v>
      </c>
      <c r="D18" s="3">
        <v>1610</v>
      </c>
      <c r="E18" s="14">
        <v>8.5000000000000006E-2</v>
      </c>
      <c r="F18" s="3">
        <v>213531</v>
      </c>
      <c r="G18" s="14">
        <v>7.1999999999999995E-2</v>
      </c>
      <c r="H18" s="14">
        <v>0.216</v>
      </c>
      <c r="I18" s="3">
        <v>400555850</v>
      </c>
      <c r="J18" t="s">
        <v>1450</v>
      </c>
      <c r="K18" s="3">
        <v>46067</v>
      </c>
      <c r="L18" t="s">
        <v>1451</v>
      </c>
      <c r="M18" s="3">
        <v>12508048527</v>
      </c>
      <c r="N18" s="3">
        <v>1490100</v>
      </c>
      <c r="O18">
        <v>6</v>
      </c>
    </row>
    <row r="19" spans="1:15" x14ac:dyDescent="0.3">
      <c r="A19" s="13">
        <v>43472</v>
      </c>
      <c r="B19">
        <v>632</v>
      </c>
      <c r="C19" s="14">
        <v>9.2999999999999999E-2</v>
      </c>
      <c r="D19" s="3">
        <v>1619</v>
      </c>
      <c r="E19" s="14">
        <v>9.1999999999999998E-2</v>
      </c>
      <c r="F19" s="3">
        <v>219597</v>
      </c>
      <c r="G19" s="14">
        <v>7.9000000000000001E-2</v>
      </c>
      <c r="H19" s="14">
        <v>7.3999999999999996E-2</v>
      </c>
      <c r="I19" s="3">
        <v>129316400</v>
      </c>
      <c r="J19" t="s">
        <v>1452</v>
      </c>
      <c r="K19" s="3">
        <v>16234</v>
      </c>
      <c r="L19" t="s">
        <v>1453</v>
      </c>
      <c r="M19" s="3">
        <v>12637364927</v>
      </c>
      <c r="N19" s="3">
        <v>1506334</v>
      </c>
      <c r="O19">
        <v>5</v>
      </c>
    </row>
    <row r="20" spans="1:15" x14ac:dyDescent="0.3">
      <c r="A20" s="13">
        <v>43473</v>
      </c>
      <c r="B20">
        <v>632</v>
      </c>
      <c r="C20" s="14">
        <v>9.0999999999999998E-2</v>
      </c>
      <c r="D20" s="3">
        <v>1618</v>
      </c>
      <c r="E20" s="14">
        <v>9.1999999999999998E-2</v>
      </c>
      <c r="F20" s="3">
        <v>220495</v>
      </c>
      <c r="G20" s="14">
        <v>7.9000000000000001E-2</v>
      </c>
      <c r="H20" s="14">
        <v>7.3999999999999996E-2</v>
      </c>
      <c r="I20" s="3">
        <v>130549800</v>
      </c>
      <c r="J20" t="s">
        <v>1454</v>
      </c>
      <c r="K20" s="3">
        <v>16357</v>
      </c>
      <c r="L20" t="s">
        <v>1455</v>
      </c>
      <c r="M20" s="3">
        <v>12767914727</v>
      </c>
      <c r="N20" s="3">
        <v>1522691</v>
      </c>
      <c r="O20">
        <v>5</v>
      </c>
    </row>
    <row r="21" spans="1:15" x14ac:dyDescent="0.3">
      <c r="A21" s="13">
        <v>43474</v>
      </c>
      <c r="B21">
        <v>357</v>
      </c>
      <c r="C21" s="14">
        <v>5.8000000000000003E-2</v>
      </c>
      <c r="D21">
        <v>576</v>
      </c>
      <c r="E21" s="14">
        <v>3.3000000000000002E-2</v>
      </c>
      <c r="F21" s="3">
        <v>70711</v>
      </c>
      <c r="G21" s="14">
        <v>2.5000000000000001E-2</v>
      </c>
      <c r="H21" s="14">
        <v>8.7999999999999995E-2</v>
      </c>
      <c r="I21" s="3">
        <v>49089950</v>
      </c>
      <c r="J21" t="s">
        <v>1456</v>
      </c>
      <c r="K21" s="3">
        <v>6213</v>
      </c>
      <c r="L21" t="s">
        <v>1457</v>
      </c>
      <c r="M21" s="3">
        <v>12817004677</v>
      </c>
      <c r="N21" s="3">
        <v>1528904</v>
      </c>
      <c r="O21">
        <v>8</v>
      </c>
    </row>
    <row r="22" spans="1:15" x14ac:dyDescent="0.3">
      <c r="A22" s="13">
        <v>43475</v>
      </c>
      <c r="B22">
        <v>300</v>
      </c>
      <c r="C22" s="14">
        <v>4.4999999999999998E-2</v>
      </c>
      <c r="D22">
        <v>451</v>
      </c>
      <c r="E22" s="14">
        <v>2.5000000000000001E-2</v>
      </c>
      <c r="F22" s="3">
        <v>54676</v>
      </c>
      <c r="G22" s="14">
        <v>1.9E-2</v>
      </c>
      <c r="H22" s="14">
        <v>8.4000000000000005E-2</v>
      </c>
      <c r="I22" s="3">
        <v>36622650</v>
      </c>
      <c r="J22" t="s">
        <v>1458</v>
      </c>
      <c r="K22" s="3">
        <v>4617</v>
      </c>
      <c r="L22" t="s">
        <v>1459</v>
      </c>
      <c r="M22" s="3">
        <v>12853627327</v>
      </c>
      <c r="N22" s="3">
        <v>1533521</v>
      </c>
      <c r="O22">
        <v>8</v>
      </c>
    </row>
    <row r="23" spans="1:15" x14ac:dyDescent="0.3">
      <c r="A23" s="13">
        <v>43476</v>
      </c>
      <c r="B23">
        <v>279</v>
      </c>
      <c r="C23" s="14">
        <v>4.1000000000000002E-2</v>
      </c>
      <c r="D23">
        <v>408</v>
      </c>
      <c r="E23" s="14">
        <v>2.1999999999999999E-2</v>
      </c>
      <c r="F23" s="3">
        <v>50660</v>
      </c>
      <c r="G23" s="14">
        <v>1.7000000000000001E-2</v>
      </c>
      <c r="H23" s="14">
        <v>9.4E-2</v>
      </c>
      <c r="I23" s="3">
        <v>41774280</v>
      </c>
      <c r="J23" t="s">
        <v>1460</v>
      </c>
      <c r="K23" s="3">
        <v>4750</v>
      </c>
      <c r="L23" t="s">
        <v>1461</v>
      </c>
      <c r="M23" s="3">
        <v>12895401607</v>
      </c>
      <c r="N23" s="3">
        <v>1538271</v>
      </c>
      <c r="O23">
        <v>8</v>
      </c>
    </row>
    <row r="24" spans="1:15" x14ac:dyDescent="0.3">
      <c r="A24" s="13">
        <v>43477</v>
      </c>
      <c r="B24">
        <v>266</v>
      </c>
      <c r="C24" s="14">
        <v>3.7999999999999999E-2</v>
      </c>
      <c r="D24">
        <v>376</v>
      </c>
      <c r="E24" s="14">
        <v>1.9E-2</v>
      </c>
      <c r="F24" s="3">
        <v>43873</v>
      </c>
      <c r="G24" s="14">
        <v>1.4E-2</v>
      </c>
      <c r="H24" s="14">
        <v>0.19500000000000001</v>
      </c>
      <c r="I24" s="3">
        <v>74256200</v>
      </c>
      <c r="J24" t="s">
        <v>1462</v>
      </c>
      <c r="K24" s="3">
        <v>8556</v>
      </c>
      <c r="L24" t="s">
        <v>1463</v>
      </c>
      <c r="M24" s="3">
        <v>12969657807</v>
      </c>
      <c r="N24" s="3">
        <v>1546827</v>
      </c>
      <c r="O24">
        <v>8</v>
      </c>
    </row>
    <row r="25" spans="1:15" x14ac:dyDescent="0.3">
      <c r="A25" s="13">
        <v>43478</v>
      </c>
      <c r="B25">
        <v>251</v>
      </c>
      <c r="C25" s="14">
        <v>3.5999999999999997E-2</v>
      </c>
      <c r="D25">
        <v>335</v>
      </c>
      <c r="E25" s="14">
        <v>1.7000000000000001E-2</v>
      </c>
      <c r="F25" s="3">
        <v>39018</v>
      </c>
      <c r="G25" s="14">
        <v>1.2999999999999999E-2</v>
      </c>
      <c r="H25" s="14">
        <v>0.17100000000000001</v>
      </c>
      <c r="I25" s="3">
        <v>57216830</v>
      </c>
      <c r="J25" t="s">
        <v>1464</v>
      </c>
      <c r="K25" s="3">
        <v>6664</v>
      </c>
      <c r="L25" t="s">
        <v>1465</v>
      </c>
      <c r="M25" s="3">
        <v>13026874637</v>
      </c>
      <c r="N25" s="3">
        <v>1553491</v>
      </c>
      <c r="O25">
        <v>8</v>
      </c>
    </row>
    <row r="26" spans="1:15" x14ac:dyDescent="0.3">
      <c r="A26" s="13">
        <v>43479</v>
      </c>
      <c r="B26">
        <v>244</v>
      </c>
      <c r="C26" s="14">
        <v>3.7999999999999999E-2</v>
      </c>
      <c r="D26">
        <v>337</v>
      </c>
      <c r="E26" s="14">
        <v>1.9E-2</v>
      </c>
      <c r="F26" s="3">
        <v>40484</v>
      </c>
      <c r="G26" s="14">
        <v>1.4E-2</v>
      </c>
      <c r="H26" s="14">
        <v>0.06</v>
      </c>
      <c r="I26" s="3">
        <v>18927310</v>
      </c>
      <c r="J26" t="s">
        <v>1466</v>
      </c>
      <c r="K26" s="3">
        <v>2425</v>
      </c>
      <c r="L26" t="s">
        <v>1467</v>
      </c>
      <c r="M26" s="3">
        <v>13045801947</v>
      </c>
      <c r="N26" s="3">
        <v>1555916</v>
      </c>
      <c r="O26">
        <v>9</v>
      </c>
    </row>
    <row r="27" spans="1:15" x14ac:dyDescent="0.3">
      <c r="A27" s="13">
        <v>43480</v>
      </c>
      <c r="B27">
        <v>243</v>
      </c>
      <c r="C27" s="14">
        <v>3.6999999999999998E-2</v>
      </c>
      <c r="D27">
        <v>335</v>
      </c>
      <c r="E27" s="14">
        <v>1.9E-2</v>
      </c>
      <c r="F27" s="3">
        <v>40656</v>
      </c>
      <c r="G27" s="14">
        <v>1.4999999999999999E-2</v>
      </c>
      <c r="H27" s="14">
        <v>7.2999999999999995E-2</v>
      </c>
      <c r="I27" s="3">
        <v>23003160</v>
      </c>
      <c r="J27" t="s">
        <v>1468</v>
      </c>
      <c r="K27" s="3">
        <v>2956</v>
      </c>
      <c r="L27" t="s">
        <v>1469</v>
      </c>
      <c r="M27" s="3">
        <v>13068805107</v>
      </c>
      <c r="N27" s="3">
        <v>1558872</v>
      </c>
      <c r="O27">
        <v>10</v>
      </c>
    </row>
    <row r="28" spans="1:15" x14ac:dyDescent="0.3">
      <c r="A28" s="13">
        <v>43481</v>
      </c>
      <c r="B28">
        <v>23</v>
      </c>
      <c r="C28" s="14">
        <v>3.0000000000000001E-3</v>
      </c>
      <c r="D28">
        <v>32</v>
      </c>
      <c r="E28" s="14">
        <v>2E-3</v>
      </c>
      <c r="F28" s="3">
        <v>3930</v>
      </c>
      <c r="G28" s="14">
        <v>1E-3</v>
      </c>
      <c r="H28" s="14">
        <v>0.14699999999999999</v>
      </c>
      <c r="I28" s="3">
        <v>4125200</v>
      </c>
      <c r="J28" t="s">
        <v>1470</v>
      </c>
      <c r="K28">
        <v>576</v>
      </c>
      <c r="L28" t="s">
        <v>1471</v>
      </c>
      <c r="M28" s="3">
        <v>13072930307</v>
      </c>
      <c r="N28" s="3">
        <v>1559448</v>
      </c>
      <c r="O28">
        <v>20</v>
      </c>
    </row>
    <row r="29" spans="1:15" x14ac:dyDescent="0.3">
      <c r="A29" s="13">
        <v>43482</v>
      </c>
      <c r="B29">
        <v>14</v>
      </c>
      <c r="C29" s="14">
        <v>2E-3</v>
      </c>
      <c r="D29">
        <v>18</v>
      </c>
      <c r="E29" s="14">
        <v>1E-3</v>
      </c>
      <c r="F29" s="3">
        <v>1859</v>
      </c>
      <c r="G29" s="14">
        <v>1E-3</v>
      </c>
      <c r="H29" s="14">
        <v>8.7999999999999995E-2</v>
      </c>
      <c r="I29" s="3">
        <v>1210600</v>
      </c>
      <c r="J29" t="s">
        <v>1472</v>
      </c>
      <c r="K29">
        <v>163</v>
      </c>
      <c r="L29" t="s">
        <v>1473</v>
      </c>
      <c r="M29" s="3">
        <v>13074140907</v>
      </c>
      <c r="N29" s="3">
        <v>1559611</v>
      </c>
      <c r="O29">
        <v>38</v>
      </c>
    </row>
    <row r="30" spans="1:15" x14ac:dyDescent="0.3">
      <c r="A30" s="13">
        <v>43483</v>
      </c>
      <c r="B30">
        <v>21</v>
      </c>
      <c r="C30" s="14">
        <v>3.0000000000000001E-3</v>
      </c>
      <c r="D30">
        <v>23</v>
      </c>
      <c r="E30" s="14">
        <v>1E-3</v>
      </c>
      <c r="F30" s="3">
        <v>2369</v>
      </c>
      <c r="G30" s="14">
        <v>1E-3</v>
      </c>
      <c r="H30" s="14">
        <v>7.2999999999999995E-2</v>
      </c>
      <c r="I30" s="3">
        <v>1425900</v>
      </c>
      <c r="J30" t="s">
        <v>1474</v>
      </c>
      <c r="K30">
        <v>172</v>
      </c>
      <c r="L30" t="s">
        <v>1475</v>
      </c>
      <c r="M30" s="3">
        <v>13075566807</v>
      </c>
      <c r="N30" s="3">
        <v>1559783</v>
      </c>
      <c r="O30">
        <v>37</v>
      </c>
    </row>
    <row r="31" spans="1:15" x14ac:dyDescent="0.3">
      <c r="A31" s="13">
        <v>43484</v>
      </c>
      <c r="B31">
        <v>9</v>
      </c>
      <c r="C31" s="14">
        <v>1E-3</v>
      </c>
      <c r="D31">
        <v>10</v>
      </c>
      <c r="E31" s="14">
        <v>1E-3</v>
      </c>
      <c r="F31" s="3">
        <v>1141</v>
      </c>
      <c r="G31" s="14">
        <v>0</v>
      </c>
      <c r="H31" s="14">
        <v>0.30399999999999999</v>
      </c>
      <c r="I31" s="3">
        <v>2775100</v>
      </c>
      <c r="J31" t="s">
        <v>1476</v>
      </c>
      <c r="K31">
        <v>347</v>
      </c>
      <c r="L31" t="s">
        <v>1477</v>
      </c>
      <c r="M31" s="3">
        <v>13078341907</v>
      </c>
      <c r="N31" s="3">
        <v>1560130</v>
      </c>
      <c r="O31">
        <v>26</v>
      </c>
    </row>
    <row r="32" spans="1:15" x14ac:dyDescent="0.3">
      <c r="A32" s="13">
        <v>43485</v>
      </c>
      <c r="B32">
        <v>7</v>
      </c>
      <c r="C32" s="14">
        <v>1E-3</v>
      </c>
      <c r="D32">
        <v>10</v>
      </c>
      <c r="E32" s="14">
        <v>1E-3</v>
      </c>
      <c r="F32" s="3">
        <v>1078</v>
      </c>
      <c r="G32" s="14">
        <v>0</v>
      </c>
      <c r="H32" s="14">
        <v>0.23699999999999999</v>
      </c>
      <c r="I32" s="3">
        <v>2175400</v>
      </c>
      <c r="J32" t="s">
        <v>1478</v>
      </c>
      <c r="K32">
        <v>255</v>
      </c>
      <c r="L32" t="s">
        <v>1479</v>
      </c>
      <c r="M32" s="3">
        <v>13080517307</v>
      </c>
      <c r="N32" s="3">
        <v>1560385</v>
      </c>
      <c r="O32">
        <v>29</v>
      </c>
    </row>
    <row r="33" spans="1:15" x14ac:dyDescent="0.3">
      <c r="A33" s="13">
        <v>43486</v>
      </c>
      <c r="B33">
        <v>8</v>
      </c>
      <c r="C33" s="14">
        <v>1E-3</v>
      </c>
      <c r="D33">
        <v>10</v>
      </c>
      <c r="E33" s="14">
        <v>1E-3</v>
      </c>
      <c r="F33" s="3">
        <v>1154</v>
      </c>
      <c r="G33" s="14">
        <v>0</v>
      </c>
      <c r="H33" s="14">
        <v>8.5000000000000006E-2</v>
      </c>
      <c r="I33" s="3">
        <v>775900</v>
      </c>
      <c r="J33" t="s">
        <v>1480</v>
      </c>
      <c r="K33">
        <v>98</v>
      </c>
      <c r="L33" t="s">
        <v>1481</v>
      </c>
      <c r="M33" s="3">
        <v>13081293207</v>
      </c>
      <c r="N33" s="3">
        <v>1560483</v>
      </c>
      <c r="O33">
        <v>42</v>
      </c>
    </row>
    <row r="34" spans="1:15" x14ac:dyDescent="0.3">
      <c r="A34" s="13">
        <v>43487</v>
      </c>
      <c r="B34">
        <v>7</v>
      </c>
      <c r="C34" s="14">
        <v>1E-3</v>
      </c>
      <c r="D34">
        <v>10</v>
      </c>
      <c r="E34" s="14">
        <v>1E-3</v>
      </c>
      <c r="F34" s="3">
        <v>1097</v>
      </c>
      <c r="G34" s="14">
        <v>0</v>
      </c>
      <c r="H34" s="14">
        <v>0.107</v>
      </c>
      <c r="I34" s="3">
        <v>927200</v>
      </c>
      <c r="J34" t="s">
        <v>1482</v>
      </c>
      <c r="K34">
        <v>117</v>
      </c>
      <c r="L34" t="s">
        <v>1483</v>
      </c>
      <c r="M34" s="3">
        <v>13082220407</v>
      </c>
      <c r="N34" s="3">
        <v>1560600</v>
      </c>
      <c r="O34">
        <v>42</v>
      </c>
    </row>
    <row r="35" spans="1:15" x14ac:dyDescent="0.3">
      <c r="A35" s="13">
        <v>43488</v>
      </c>
      <c r="B35">
        <v>1</v>
      </c>
      <c r="C35" s="14">
        <v>0</v>
      </c>
      <c r="D35">
        <v>1</v>
      </c>
      <c r="E35" s="14">
        <v>0</v>
      </c>
      <c r="F35">
        <v>55</v>
      </c>
      <c r="G35" s="14">
        <v>0</v>
      </c>
      <c r="H35" s="14">
        <v>0.27300000000000002</v>
      </c>
      <c r="I35" s="3">
        <v>136000</v>
      </c>
      <c r="J35" t="s">
        <v>1484</v>
      </c>
      <c r="K35">
        <v>15</v>
      </c>
      <c r="L35" t="s">
        <v>1485</v>
      </c>
      <c r="M35" s="3">
        <v>13082356407</v>
      </c>
      <c r="N35" s="3">
        <v>1560615</v>
      </c>
      <c r="O35">
        <v>69</v>
      </c>
    </row>
    <row r="36" spans="1:15" x14ac:dyDescent="0.3">
      <c r="A36" s="13">
        <v>43489</v>
      </c>
      <c r="B36">
        <v>2</v>
      </c>
      <c r="C36" s="14">
        <v>0</v>
      </c>
      <c r="D36">
        <v>2</v>
      </c>
      <c r="E36" s="14">
        <v>0</v>
      </c>
      <c r="F36">
        <v>254</v>
      </c>
      <c r="G36" s="14">
        <v>0</v>
      </c>
      <c r="H36" s="14">
        <v>0.14599999999999999</v>
      </c>
      <c r="I36" s="3">
        <v>238800</v>
      </c>
      <c r="J36" t="s">
        <v>1486</v>
      </c>
      <c r="K36">
        <v>37</v>
      </c>
      <c r="L36" t="s">
        <v>1487</v>
      </c>
      <c r="M36" s="3">
        <v>13082595207</v>
      </c>
      <c r="N36" s="3">
        <v>1560652</v>
      </c>
      <c r="O36">
        <v>55</v>
      </c>
    </row>
    <row r="37" spans="1:15" x14ac:dyDescent="0.3">
      <c r="A37" s="13">
        <v>43492</v>
      </c>
      <c r="B37">
        <v>1</v>
      </c>
      <c r="C37" s="14">
        <v>0</v>
      </c>
      <c r="D37">
        <v>1</v>
      </c>
      <c r="E37" s="14">
        <v>0</v>
      </c>
      <c r="F37">
        <v>104</v>
      </c>
      <c r="G37" s="14">
        <v>0</v>
      </c>
      <c r="H37" s="14">
        <v>0.01</v>
      </c>
      <c r="I37" s="3">
        <v>8000</v>
      </c>
      <c r="J37" t="s">
        <v>1406</v>
      </c>
      <c r="K37">
        <v>1</v>
      </c>
      <c r="L37" t="s">
        <v>312</v>
      </c>
      <c r="M37" s="3">
        <v>13082603207</v>
      </c>
      <c r="N37" s="3">
        <v>1560653</v>
      </c>
      <c r="O37">
        <v>70</v>
      </c>
    </row>
    <row r="38" spans="1:15" x14ac:dyDescent="0.3">
      <c r="A38" s="13">
        <v>43494</v>
      </c>
      <c r="B38">
        <v>1</v>
      </c>
      <c r="C38" s="14">
        <v>0</v>
      </c>
      <c r="D38">
        <v>1</v>
      </c>
      <c r="E38" s="14">
        <v>0</v>
      </c>
      <c r="F38">
        <v>42</v>
      </c>
      <c r="G38" s="14">
        <v>0</v>
      </c>
      <c r="H38" s="14">
        <v>0.5</v>
      </c>
      <c r="I38" s="3">
        <v>110000</v>
      </c>
      <c r="J38" t="s">
        <v>1488</v>
      </c>
      <c r="K38">
        <v>21</v>
      </c>
      <c r="L38" t="s">
        <v>1489</v>
      </c>
      <c r="M38" s="3">
        <v>13082713207</v>
      </c>
      <c r="N38" s="3">
        <v>1560674</v>
      </c>
      <c r="O38">
        <v>73</v>
      </c>
    </row>
    <row r="39" spans="1:15" x14ac:dyDescent="0.3">
      <c r="A39" s="13">
        <v>43509</v>
      </c>
      <c r="B39">
        <v>2</v>
      </c>
      <c r="C39" s="14">
        <v>0</v>
      </c>
      <c r="D39">
        <v>2</v>
      </c>
      <c r="E39" s="14">
        <v>0</v>
      </c>
      <c r="F39">
        <v>634</v>
      </c>
      <c r="G39" s="14">
        <v>0</v>
      </c>
      <c r="H39" s="14">
        <v>0.98399999999999999</v>
      </c>
      <c r="I39" s="3">
        <v>5304000</v>
      </c>
      <c r="J39" t="s">
        <v>1490</v>
      </c>
      <c r="K39">
        <v>624</v>
      </c>
      <c r="L39" t="s">
        <v>1491</v>
      </c>
      <c r="M39" s="3">
        <v>13088017207</v>
      </c>
      <c r="N39" s="3">
        <v>1561298</v>
      </c>
      <c r="O39">
        <v>16</v>
      </c>
    </row>
    <row r="40" spans="1:15" x14ac:dyDescent="0.3">
      <c r="A40" s="13">
        <v>43510</v>
      </c>
      <c r="B40">
        <v>1</v>
      </c>
      <c r="C40" s="14">
        <v>0</v>
      </c>
      <c r="D40">
        <v>1</v>
      </c>
      <c r="E40" s="14">
        <v>0</v>
      </c>
      <c r="F40">
        <v>383</v>
      </c>
      <c r="G40" s="14">
        <v>0</v>
      </c>
      <c r="H40" s="14">
        <v>0.90100000000000002</v>
      </c>
      <c r="I40" s="3">
        <v>2932500</v>
      </c>
      <c r="J40" t="s">
        <v>1492</v>
      </c>
      <c r="K40">
        <v>345</v>
      </c>
      <c r="L40" t="s">
        <v>1493</v>
      </c>
      <c r="M40" s="3">
        <v>13090949707</v>
      </c>
      <c r="N40" s="3">
        <v>1561643</v>
      </c>
      <c r="O40">
        <v>27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D83E-26B5-4A73-9B73-040BD1606E88}">
  <dimension ref="A1:O38"/>
  <sheetViews>
    <sheetView workbookViewId="0">
      <selection activeCell="A5" sqref="A5:O9"/>
    </sheetView>
  </sheetViews>
  <sheetFormatPr defaultRowHeight="16.5" x14ac:dyDescent="0.3"/>
  <sheetData>
    <row r="1" spans="1:15" ht="19.5" x14ac:dyDescent="0.3">
      <c r="A1" s="197" t="s">
        <v>1494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43495</v>
      </c>
      <c r="B5" s="10">
        <v>1285</v>
      </c>
      <c r="C5" s="11">
        <v>0.247</v>
      </c>
      <c r="D5" s="10">
        <v>5362</v>
      </c>
      <c r="E5" s="11">
        <v>0.28199999999999997</v>
      </c>
      <c r="F5" s="10">
        <v>821607</v>
      </c>
      <c r="G5" s="11">
        <v>0.27600000000000002</v>
      </c>
      <c r="H5" s="11">
        <v>0.309</v>
      </c>
      <c r="I5" s="10">
        <v>1520316950</v>
      </c>
      <c r="J5" s="12" t="s">
        <v>1495</v>
      </c>
      <c r="K5" s="10">
        <v>253727</v>
      </c>
      <c r="L5" s="12" t="s">
        <v>1496</v>
      </c>
      <c r="M5" s="10">
        <v>1645335750</v>
      </c>
      <c r="N5" s="10">
        <v>267984</v>
      </c>
      <c r="O5" s="12">
        <v>2</v>
      </c>
    </row>
    <row r="6" spans="1:15" ht="40.5" x14ac:dyDescent="0.3">
      <c r="A6" s="9">
        <v>43496</v>
      </c>
      <c r="B6" s="10">
        <v>1186</v>
      </c>
      <c r="C6" s="11">
        <v>0.216</v>
      </c>
      <c r="D6" s="10">
        <v>4923</v>
      </c>
      <c r="E6" s="11">
        <v>0.252</v>
      </c>
      <c r="F6" s="10">
        <v>736703</v>
      </c>
      <c r="G6" s="11">
        <v>0.24199999999999999</v>
      </c>
      <c r="H6" s="11">
        <v>0.16700000000000001</v>
      </c>
      <c r="I6" s="10">
        <v>987808690</v>
      </c>
      <c r="J6" s="12" t="s">
        <v>1497</v>
      </c>
      <c r="K6" s="10">
        <v>122748</v>
      </c>
      <c r="L6" s="12" t="s">
        <v>1498</v>
      </c>
      <c r="M6" s="10">
        <v>2633144440</v>
      </c>
      <c r="N6" s="10">
        <v>390732</v>
      </c>
      <c r="O6" s="12">
        <v>2</v>
      </c>
    </row>
    <row r="7" spans="1:15" ht="27" x14ac:dyDescent="0.3">
      <c r="A7" s="9">
        <v>43497</v>
      </c>
      <c r="B7" s="10">
        <v>1134</v>
      </c>
      <c r="C7" s="11">
        <v>0.21</v>
      </c>
      <c r="D7" s="10">
        <v>4577</v>
      </c>
      <c r="E7" s="11">
        <v>0.23</v>
      </c>
      <c r="F7" s="10">
        <v>677323</v>
      </c>
      <c r="G7" s="11">
        <v>0.218</v>
      </c>
      <c r="H7" s="11">
        <v>0.19400000000000001</v>
      </c>
      <c r="I7" s="10">
        <v>1154898712</v>
      </c>
      <c r="J7" s="12" t="s">
        <v>1499</v>
      </c>
      <c r="K7" s="10">
        <v>131301</v>
      </c>
      <c r="L7" s="12" t="s">
        <v>1500</v>
      </c>
      <c r="M7" s="10">
        <v>3788043152</v>
      </c>
      <c r="N7" s="10">
        <v>522033</v>
      </c>
      <c r="O7" s="12">
        <v>2</v>
      </c>
    </row>
    <row r="8" spans="1:15" ht="27" x14ac:dyDescent="0.3">
      <c r="A8" s="9">
        <v>43498</v>
      </c>
      <c r="B8" s="10">
        <v>1083</v>
      </c>
      <c r="C8" s="11">
        <v>0.189</v>
      </c>
      <c r="D8" s="10">
        <v>4088</v>
      </c>
      <c r="E8" s="11">
        <v>0.19500000000000001</v>
      </c>
      <c r="F8" s="10">
        <v>575723</v>
      </c>
      <c r="G8" s="11">
        <v>0.17599999999999999</v>
      </c>
      <c r="H8" s="11">
        <v>0.38100000000000001</v>
      </c>
      <c r="I8" s="10">
        <v>1932705905</v>
      </c>
      <c r="J8" s="12" t="s">
        <v>1501</v>
      </c>
      <c r="K8" s="10">
        <v>219180</v>
      </c>
      <c r="L8" s="12" t="s">
        <v>1502</v>
      </c>
      <c r="M8" s="10">
        <v>5720749057</v>
      </c>
      <c r="N8" s="10">
        <v>741213</v>
      </c>
      <c r="O8" s="12">
        <v>2</v>
      </c>
    </row>
    <row r="9" spans="1:15" ht="27" x14ac:dyDescent="0.3">
      <c r="A9" s="9">
        <v>43499</v>
      </c>
      <c r="B9" s="10">
        <v>1060</v>
      </c>
      <c r="C9" s="11">
        <v>0.184</v>
      </c>
      <c r="D9" s="10">
        <v>3824</v>
      </c>
      <c r="E9" s="11">
        <v>0.182</v>
      </c>
      <c r="F9" s="10">
        <v>536411</v>
      </c>
      <c r="G9" s="11">
        <v>0.16400000000000001</v>
      </c>
      <c r="H9" s="11">
        <v>0.41299999999999998</v>
      </c>
      <c r="I9" s="10">
        <v>1965560090</v>
      </c>
      <c r="J9" s="12" t="s">
        <v>1503</v>
      </c>
      <c r="K9" s="10">
        <v>221789</v>
      </c>
      <c r="L9" s="12" t="s">
        <v>1504</v>
      </c>
      <c r="M9" s="10">
        <v>7686309147</v>
      </c>
      <c r="N9" s="10">
        <v>963002</v>
      </c>
      <c r="O9" s="12">
        <v>2</v>
      </c>
    </row>
    <row r="10" spans="1:15" ht="40.5" x14ac:dyDescent="0.3">
      <c r="A10" s="9">
        <v>43500</v>
      </c>
      <c r="B10" s="12">
        <v>996</v>
      </c>
      <c r="C10" s="11">
        <v>0.17799999999999999</v>
      </c>
      <c r="D10" s="10">
        <v>3583</v>
      </c>
      <c r="E10" s="11">
        <v>0.17199999999999999</v>
      </c>
      <c r="F10" s="10">
        <v>482528</v>
      </c>
      <c r="G10" s="11">
        <v>0.14899999999999999</v>
      </c>
      <c r="H10" s="11">
        <v>0.375</v>
      </c>
      <c r="I10" s="10">
        <v>1619305460</v>
      </c>
      <c r="J10" s="12" t="s">
        <v>1505</v>
      </c>
      <c r="K10" s="10">
        <v>180905</v>
      </c>
      <c r="L10" s="12" t="s">
        <v>1506</v>
      </c>
      <c r="M10" s="10">
        <v>9305614607</v>
      </c>
      <c r="N10" s="10">
        <v>1143907</v>
      </c>
      <c r="O10" s="12">
        <v>2</v>
      </c>
    </row>
    <row r="11" spans="1:15" ht="40.5" x14ac:dyDescent="0.3">
      <c r="A11" s="9">
        <v>43501</v>
      </c>
      <c r="B11" s="12">
        <v>802</v>
      </c>
      <c r="C11" s="11">
        <v>0.14299999999999999</v>
      </c>
      <c r="D11" s="10">
        <v>2540</v>
      </c>
      <c r="E11" s="11">
        <v>0.124</v>
      </c>
      <c r="F11" s="10">
        <v>322276</v>
      </c>
      <c r="G11" s="11">
        <v>0.1</v>
      </c>
      <c r="H11" s="11">
        <v>0.504</v>
      </c>
      <c r="I11" s="10">
        <v>1472636270</v>
      </c>
      <c r="J11" s="12" t="s">
        <v>1507</v>
      </c>
      <c r="K11" s="10">
        <v>162519</v>
      </c>
      <c r="L11" s="12" t="s">
        <v>1508</v>
      </c>
      <c r="M11" s="10">
        <v>10778250877</v>
      </c>
      <c r="N11" s="10">
        <v>1306426</v>
      </c>
      <c r="O11" s="12">
        <v>3</v>
      </c>
    </row>
    <row r="12" spans="1:15" ht="40.5" x14ac:dyDescent="0.3">
      <c r="A12" s="9">
        <v>43502</v>
      </c>
      <c r="B12" s="12">
        <v>786</v>
      </c>
      <c r="C12" s="11">
        <v>0.129</v>
      </c>
      <c r="D12" s="10">
        <v>2340</v>
      </c>
      <c r="E12" s="11">
        <v>0.114</v>
      </c>
      <c r="F12" s="10">
        <v>294005</v>
      </c>
      <c r="G12" s="11">
        <v>9.1999999999999998E-2</v>
      </c>
      <c r="H12" s="11">
        <v>0.504</v>
      </c>
      <c r="I12" s="10">
        <v>1303525650</v>
      </c>
      <c r="J12" s="12" t="s">
        <v>1509</v>
      </c>
      <c r="K12" s="10">
        <v>148122</v>
      </c>
      <c r="L12" s="12" t="s">
        <v>1510</v>
      </c>
      <c r="M12" s="10">
        <v>12081776527</v>
      </c>
      <c r="N12" s="10">
        <v>1454548</v>
      </c>
      <c r="O12" s="12">
        <v>3</v>
      </c>
    </row>
    <row r="13" spans="1:15" ht="40.5" x14ac:dyDescent="0.3">
      <c r="A13" s="9">
        <v>43503</v>
      </c>
      <c r="B13" s="12">
        <v>761</v>
      </c>
      <c r="C13" s="11">
        <v>0.13100000000000001</v>
      </c>
      <c r="D13" s="10">
        <v>2415</v>
      </c>
      <c r="E13" s="11">
        <v>0.125</v>
      </c>
      <c r="F13" s="10">
        <v>308877</v>
      </c>
      <c r="G13" s="11">
        <v>0.10199999999999999</v>
      </c>
      <c r="H13" s="11">
        <v>0.2</v>
      </c>
      <c r="I13" s="10">
        <v>496103840</v>
      </c>
      <c r="J13" s="12" t="s">
        <v>1511</v>
      </c>
      <c r="K13" s="10">
        <v>61925</v>
      </c>
      <c r="L13" s="12" t="s">
        <v>1512</v>
      </c>
      <c r="M13" s="10">
        <v>12577880367</v>
      </c>
      <c r="N13" s="10">
        <v>1516473</v>
      </c>
      <c r="O13" s="12">
        <v>3</v>
      </c>
    </row>
    <row r="14" spans="1:15" ht="27" x14ac:dyDescent="0.3">
      <c r="A14" s="9">
        <v>43504</v>
      </c>
      <c r="B14" s="12">
        <v>734</v>
      </c>
      <c r="C14" s="11">
        <v>0.126</v>
      </c>
      <c r="D14" s="10">
        <v>2344</v>
      </c>
      <c r="E14" s="11">
        <v>0.12</v>
      </c>
      <c r="F14" s="10">
        <v>295350</v>
      </c>
      <c r="G14" s="11">
        <v>9.7000000000000003E-2</v>
      </c>
      <c r="H14" s="11">
        <v>0.182</v>
      </c>
      <c r="I14" s="10">
        <v>472598946</v>
      </c>
      <c r="J14" s="12" t="s">
        <v>1513</v>
      </c>
      <c r="K14" s="10">
        <v>53774</v>
      </c>
      <c r="L14" s="12" t="s">
        <v>1514</v>
      </c>
      <c r="M14" s="10">
        <v>13050479313</v>
      </c>
      <c r="N14" s="10">
        <v>1570247</v>
      </c>
      <c r="O14" s="12">
        <v>3</v>
      </c>
    </row>
    <row r="15" spans="1:15" ht="27" x14ac:dyDescent="0.3">
      <c r="A15" s="9">
        <v>43505</v>
      </c>
      <c r="B15" s="12">
        <v>718</v>
      </c>
      <c r="C15" s="11">
        <v>0.11899999999999999</v>
      </c>
      <c r="D15" s="10">
        <v>2195</v>
      </c>
      <c r="E15" s="11">
        <v>0.109</v>
      </c>
      <c r="F15" s="10">
        <v>268422</v>
      </c>
      <c r="G15" s="11">
        <v>8.5000000000000006E-2</v>
      </c>
      <c r="H15" s="11">
        <v>0.32300000000000001</v>
      </c>
      <c r="I15" s="10">
        <v>757243625</v>
      </c>
      <c r="J15" s="12" t="s">
        <v>1515</v>
      </c>
      <c r="K15" s="10">
        <v>86771</v>
      </c>
      <c r="L15" s="12" t="s">
        <v>1516</v>
      </c>
      <c r="M15" s="10">
        <v>13807722938</v>
      </c>
      <c r="N15" s="10">
        <v>1657018</v>
      </c>
      <c r="O15" s="12">
        <v>3</v>
      </c>
    </row>
    <row r="16" spans="1:15" ht="40.5" x14ac:dyDescent="0.3">
      <c r="A16" s="9">
        <v>43506</v>
      </c>
      <c r="B16" s="12">
        <v>698</v>
      </c>
      <c r="C16" s="11">
        <v>0.11799999999999999</v>
      </c>
      <c r="D16" s="10">
        <v>2093</v>
      </c>
      <c r="E16" s="11">
        <v>0.106</v>
      </c>
      <c r="F16" s="10">
        <v>255790</v>
      </c>
      <c r="G16" s="11">
        <v>8.3000000000000004E-2</v>
      </c>
      <c r="H16" s="11">
        <v>0.29399999999999998</v>
      </c>
      <c r="I16" s="10">
        <v>655731340</v>
      </c>
      <c r="J16" s="12" t="s">
        <v>1517</v>
      </c>
      <c r="K16" s="10">
        <v>75176</v>
      </c>
      <c r="L16" s="12" t="s">
        <v>1518</v>
      </c>
      <c r="M16" s="10">
        <v>14463454278</v>
      </c>
      <c r="N16" s="10">
        <v>1732194</v>
      </c>
      <c r="O16" s="12">
        <v>4</v>
      </c>
    </row>
    <row r="17" spans="1:15" ht="40.5" x14ac:dyDescent="0.3">
      <c r="A17" s="9">
        <v>43507</v>
      </c>
      <c r="B17" s="12">
        <v>698</v>
      </c>
      <c r="C17" s="11">
        <v>0.13100000000000001</v>
      </c>
      <c r="D17" s="10">
        <v>2148</v>
      </c>
      <c r="E17" s="11">
        <v>0.11600000000000001</v>
      </c>
      <c r="F17" s="10">
        <v>266442</v>
      </c>
      <c r="G17" s="11">
        <v>9.1999999999999998E-2</v>
      </c>
      <c r="H17" s="11">
        <v>0.111</v>
      </c>
      <c r="I17" s="10">
        <v>238657170</v>
      </c>
      <c r="J17" s="12" t="s">
        <v>1519</v>
      </c>
      <c r="K17" s="10">
        <v>29614</v>
      </c>
      <c r="L17" s="12" t="s">
        <v>1520</v>
      </c>
      <c r="M17" s="10">
        <v>14702111448</v>
      </c>
      <c r="N17" s="10">
        <v>1761808</v>
      </c>
      <c r="O17" s="12">
        <v>3</v>
      </c>
    </row>
    <row r="18" spans="1:15" ht="27" x14ac:dyDescent="0.3">
      <c r="A18" s="9">
        <v>43508</v>
      </c>
      <c r="B18" s="12">
        <v>714</v>
      </c>
      <c r="C18" s="11">
        <v>0.127</v>
      </c>
      <c r="D18" s="10">
        <v>2137</v>
      </c>
      <c r="E18" s="11">
        <v>0.115</v>
      </c>
      <c r="F18" s="10">
        <v>264384</v>
      </c>
      <c r="G18" s="11">
        <v>9.0999999999999998E-2</v>
      </c>
      <c r="H18" s="11">
        <v>0.11</v>
      </c>
      <c r="I18" s="10">
        <v>229262270</v>
      </c>
      <c r="J18" s="12" t="s">
        <v>1521</v>
      </c>
      <c r="K18" s="10">
        <v>28998</v>
      </c>
      <c r="L18" s="12" t="s">
        <v>1522</v>
      </c>
      <c r="M18" s="10">
        <v>14931373718</v>
      </c>
      <c r="N18" s="10">
        <v>1790806</v>
      </c>
      <c r="O18" s="12">
        <v>3</v>
      </c>
    </row>
    <row r="19" spans="1:15" ht="40.5" x14ac:dyDescent="0.3">
      <c r="A19" s="9">
        <v>43509</v>
      </c>
      <c r="B19" s="12">
        <v>369</v>
      </c>
      <c r="C19" s="11">
        <v>7.0999999999999994E-2</v>
      </c>
      <c r="D19" s="12">
        <v>879</v>
      </c>
      <c r="E19" s="11">
        <v>4.7E-2</v>
      </c>
      <c r="F19" s="10">
        <v>103313</v>
      </c>
      <c r="G19" s="11">
        <v>3.5000000000000003E-2</v>
      </c>
      <c r="H19" s="11">
        <v>0.114</v>
      </c>
      <c r="I19" s="10">
        <v>93681960</v>
      </c>
      <c r="J19" s="12" t="s">
        <v>1523</v>
      </c>
      <c r="K19" s="10">
        <v>11793</v>
      </c>
      <c r="L19" s="12" t="s">
        <v>1524</v>
      </c>
      <c r="M19" s="10">
        <v>15025055678</v>
      </c>
      <c r="N19" s="10">
        <v>1802599</v>
      </c>
      <c r="O19" s="12">
        <v>6</v>
      </c>
    </row>
    <row r="20" spans="1:15" ht="27" x14ac:dyDescent="0.3">
      <c r="A20" s="9">
        <v>43510</v>
      </c>
      <c r="B20" s="12">
        <v>207</v>
      </c>
      <c r="C20" s="11">
        <v>3.4000000000000002E-2</v>
      </c>
      <c r="D20" s="12">
        <v>347</v>
      </c>
      <c r="E20" s="11">
        <v>1.7999999999999999E-2</v>
      </c>
      <c r="F20" s="10">
        <v>37788</v>
      </c>
      <c r="G20" s="11">
        <v>1.2999999999999999E-2</v>
      </c>
      <c r="H20" s="11">
        <v>0.13500000000000001</v>
      </c>
      <c r="I20" s="10">
        <v>40672100</v>
      </c>
      <c r="J20" s="12" t="s">
        <v>1525</v>
      </c>
      <c r="K20" s="10">
        <v>5088</v>
      </c>
      <c r="L20" s="12" t="s">
        <v>1526</v>
      </c>
      <c r="M20" s="10">
        <v>15065727778</v>
      </c>
      <c r="N20" s="10">
        <v>1807687</v>
      </c>
      <c r="O20" s="12">
        <v>10</v>
      </c>
    </row>
    <row r="21" spans="1:15" ht="27" x14ac:dyDescent="0.3">
      <c r="A21" s="9">
        <v>43511</v>
      </c>
      <c r="B21" s="12">
        <v>194</v>
      </c>
      <c r="C21" s="11">
        <v>3.2000000000000001E-2</v>
      </c>
      <c r="D21" s="12">
        <v>315</v>
      </c>
      <c r="E21" s="11">
        <v>1.6E-2</v>
      </c>
      <c r="F21" s="10">
        <v>33815</v>
      </c>
      <c r="G21" s="11">
        <v>1.0999999999999999E-2</v>
      </c>
      <c r="H21" s="11">
        <v>0.127</v>
      </c>
      <c r="I21" s="10">
        <v>36913010</v>
      </c>
      <c r="J21" s="12" t="s">
        <v>1527</v>
      </c>
      <c r="K21" s="10">
        <v>4308</v>
      </c>
      <c r="L21" s="12" t="s">
        <v>1528</v>
      </c>
      <c r="M21" s="10">
        <v>15102640788</v>
      </c>
      <c r="N21" s="10">
        <v>1811995</v>
      </c>
      <c r="O21" s="12">
        <v>11</v>
      </c>
    </row>
    <row r="22" spans="1:15" ht="27" x14ac:dyDescent="0.3">
      <c r="A22" s="9">
        <v>43512</v>
      </c>
      <c r="B22" s="12">
        <v>160</v>
      </c>
      <c r="C22" s="11">
        <v>2.4E-2</v>
      </c>
      <c r="D22" s="12">
        <v>239</v>
      </c>
      <c r="E22" s="11">
        <v>1.2E-2</v>
      </c>
      <c r="F22" s="10">
        <v>25272</v>
      </c>
      <c r="G22" s="11">
        <v>8.0000000000000002E-3</v>
      </c>
      <c r="H22" s="11">
        <v>0.191</v>
      </c>
      <c r="I22" s="10">
        <v>39943520</v>
      </c>
      <c r="J22" s="12" t="s">
        <v>1529</v>
      </c>
      <c r="K22" s="10">
        <v>4815</v>
      </c>
      <c r="L22" s="12" t="s">
        <v>1530</v>
      </c>
      <c r="M22" s="10">
        <v>15142584308</v>
      </c>
      <c r="N22" s="10">
        <v>1816810</v>
      </c>
      <c r="O22" s="12">
        <v>12</v>
      </c>
    </row>
    <row r="23" spans="1:15" ht="27" x14ac:dyDescent="0.3">
      <c r="A23" s="9">
        <v>43513</v>
      </c>
      <c r="B23" s="12">
        <v>155</v>
      </c>
      <c r="C23" s="11">
        <v>2.3E-2</v>
      </c>
      <c r="D23" s="12">
        <v>232</v>
      </c>
      <c r="E23" s="11">
        <v>1.2E-2</v>
      </c>
      <c r="F23" s="10">
        <v>23709</v>
      </c>
      <c r="G23" s="11">
        <v>8.0000000000000002E-3</v>
      </c>
      <c r="H23" s="11">
        <v>0.183</v>
      </c>
      <c r="I23" s="10">
        <v>36588400</v>
      </c>
      <c r="J23" s="12" t="s">
        <v>1531</v>
      </c>
      <c r="K23" s="10">
        <v>4337</v>
      </c>
      <c r="L23" s="12" t="s">
        <v>1532</v>
      </c>
      <c r="M23" s="10">
        <v>15179172708</v>
      </c>
      <c r="N23" s="10">
        <v>1821147</v>
      </c>
      <c r="O23" s="12">
        <v>12</v>
      </c>
    </row>
    <row r="24" spans="1:15" ht="27" x14ac:dyDescent="0.3">
      <c r="A24" s="9">
        <v>43514</v>
      </c>
      <c r="B24" s="12">
        <v>158</v>
      </c>
      <c r="C24" s="11">
        <v>2.5999999999999999E-2</v>
      </c>
      <c r="D24" s="12">
        <v>238</v>
      </c>
      <c r="E24" s="11">
        <v>1.2999999999999999E-2</v>
      </c>
      <c r="F24" s="10">
        <v>25318</v>
      </c>
      <c r="G24" s="11">
        <v>8.9999999999999993E-3</v>
      </c>
      <c r="H24" s="11">
        <v>8.5999999999999993E-2</v>
      </c>
      <c r="I24" s="10">
        <v>16794880</v>
      </c>
      <c r="J24" s="12" t="s">
        <v>1533</v>
      </c>
      <c r="K24" s="10">
        <v>2168</v>
      </c>
      <c r="L24" s="12" t="s">
        <v>1534</v>
      </c>
      <c r="M24" s="10">
        <v>15195967588</v>
      </c>
      <c r="N24" s="10">
        <v>1823315</v>
      </c>
      <c r="O24" s="12">
        <v>11</v>
      </c>
    </row>
    <row r="25" spans="1:15" ht="27" x14ac:dyDescent="0.3">
      <c r="A25" s="9">
        <v>43515</v>
      </c>
      <c r="B25" s="12">
        <v>164</v>
      </c>
      <c r="C25" s="11">
        <v>2.5999999999999999E-2</v>
      </c>
      <c r="D25" s="12">
        <v>238</v>
      </c>
      <c r="E25" s="11">
        <v>1.2999999999999999E-2</v>
      </c>
      <c r="F25" s="10">
        <v>25222</v>
      </c>
      <c r="G25" s="11">
        <v>8.9999999999999993E-3</v>
      </c>
      <c r="H25" s="11">
        <v>9.1999999999999998E-2</v>
      </c>
      <c r="I25" s="10">
        <v>18314200</v>
      </c>
      <c r="J25" s="12" t="s">
        <v>1535</v>
      </c>
      <c r="K25" s="10">
        <v>2320</v>
      </c>
      <c r="L25" s="12" t="s">
        <v>1536</v>
      </c>
      <c r="M25" s="10">
        <v>15214281788</v>
      </c>
      <c r="N25" s="10">
        <v>1825635</v>
      </c>
      <c r="O25" s="12">
        <v>13</v>
      </c>
    </row>
    <row r="26" spans="1:15" ht="27" x14ac:dyDescent="0.3">
      <c r="A26" s="9">
        <v>43516</v>
      </c>
      <c r="B26" s="12">
        <v>10</v>
      </c>
      <c r="C26" s="11">
        <v>2E-3</v>
      </c>
      <c r="D26" s="12">
        <v>13</v>
      </c>
      <c r="E26" s="11">
        <v>1E-3</v>
      </c>
      <c r="F26" s="10">
        <v>1725</v>
      </c>
      <c r="G26" s="11">
        <v>1E-3</v>
      </c>
      <c r="H26" s="11">
        <v>6.6000000000000003E-2</v>
      </c>
      <c r="I26" s="10">
        <v>803900</v>
      </c>
      <c r="J26" s="12" t="s">
        <v>1537</v>
      </c>
      <c r="K26" s="12">
        <v>114</v>
      </c>
      <c r="L26" s="12" t="s">
        <v>1538</v>
      </c>
      <c r="M26" s="10">
        <v>15215085688</v>
      </c>
      <c r="N26" s="10">
        <v>1825749</v>
      </c>
      <c r="O26" s="12">
        <v>38</v>
      </c>
    </row>
    <row r="27" spans="1:15" ht="27" x14ac:dyDescent="0.3">
      <c r="A27" s="9">
        <v>43517</v>
      </c>
      <c r="B27" s="12">
        <v>9</v>
      </c>
      <c r="C27" s="11">
        <v>1E-3</v>
      </c>
      <c r="D27" s="12">
        <v>11</v>
      </c>
      <c r="E27" s="11">
        <v>1E-3</v>
      </c>
      <c r="F27" s="10">
        <v>1285</v>
      </c>
      <c r="G27" s="11">
        <v>0</v>
      </c>
      <c r="H27" s="11">
        <v>5.8000000000000003E-2</v>
      </c>
      <c r="I27" s="10">
        <v>554130</v>
      </c>
      <c r="J27" s="12" t="s">
        <v>1539</v>
      </c>
      <c r="K27" s="12">
        <v>75</v>
      </c>
      <c r="L27" s="12" t="s">
        <v>1540</v>
      </c>
      <c r="M27" s="10">
        <v>15215639818</v>
      </c>
      <c r="N27" s="10">
        <v>1825824</v>
      </c>
      <c r="O27" s="12">
        <v>51</v>
      </c>
    </row>
    <row r="28" spans="1:15" ht="27" x14ac:dyDescent="0.3">
      <c r="A28" s="9">
        <v>43518</v>
      </c>
      <c r="B28" s="12">
        <v>9</v>
      </c>
      <c r="C28" s="11">
        <v>1E-3</v>
      </c>
      <c r="D28" s="12">
        <v>11</v>
      </c>
      <c r="E28" s="11">
        <v>1E-3</v>
      </c>
      <c r="F28" s="10">
        <v>1334</v>
      </c>
      <c r="G28" s="11">
        <v>0</v>
      </c>
      <c r="H28" s="11">
        <v>4.1000000000000002E-2</v>
      </c>
      <c r="I28" s="10">
        <v>396600</v>
      </c>
      <c r="J28" s="12" t="s">
        <v>1541</v>
      </c>
      <c r="K28" s="12">
        <v>55</v>
      </c>
      <c r="L28" s="12" t="s">
        <v>1542</v>
      </c>
      <c r="M28" s="10">
        <v>15216036418</v>
      </c>
      <c r="N28" s="10">
        <v>1825879</v>
      </c>
      <c r="O28" s="12">
        <v>49</v>
      </c>
    </row>
    <row r="29" spans="1:15" ht="27" x14ac:dyDescent="0.3">
      <c r="A29" s="9">
        <v>43519</v>
      </c>
      <c r="B29" s="12">
        <v>8</v>
      </c>
      <c r="C29" s="11">
        <v>1E-3</v>
      </c>
      <c r="D29" s="12">
        <v>12</v>
      </c>
      <c r="E29" s="11">
        <v>1E-3</v>
      </c>
      <c r="F29" s="10">
        <v>1322</v>
      </c>
      <c r="G29" s="11">
        <v>0</v>
      </c>
      <c r="H29" s="11">
        <v>8.1000000000000003E-2</v>
      </c>
      <c r="I29" s="10">
        <v>749480</v>
      </c>
      <c r="J29" s="12" t="s">
        <v>1543</v>
      </c>
      <c r="K29" s="12">
        <v>107</v>
      </c>
      <c r="L29" s="12" t="s">
        <v>1544</v>
      </c>
      <c r="M29" s="10">
        <v>15216785898</v>
      </c>
      <c r="N29" s="10">
        <v>1825986</v>
      </c>
      <c r="O29" s="12">
        <v>47</v>
      </c>
    </row>
    <row r="30" spans="1:15" ht="27" x14ac:dyDescent="0.3">
      <c r="A30" s="9">
        <v>43520</v>
      </c>
      <c r="B30" s="12">
        <v>9</v>
      </c>
      <c r="C30" s="11">
        <v>1E-3</v>
      </c>
      <c r="D30" s="12">
        <v>12</v>
      </c>
      <c r="E30" s="11">
        <v>1E-3</v>
      </c>
      <c r="F30" s="10">
        <v>1307</v>
      </c>
      <c r="G30" s="11">
        <v>0</v>
      </c>
      <c r="H30" s="11">
        <v>0.129</v>
      </c>
      <c r="I30" s="10">
        <v>1200150</v>
      </c>
      <c r="J30" s="12" t="s">
        <v>1545</v>
      </c>
      <c r="K30" s="12">
        <v>168</v>
      </c>
      <c r="L30" s="12" t="s">
        <v>1546</v>
      </c>
      <c r="M30" s="10">
        <v>15217986048</v>
      </c>
      <c r="N30" s="10">
        <v>1826154</v>
      </c>
      <c r="O30" s="12">
        <v>42</v>
      </c>
    </row>
    <row r="31" spans="1:15" ht="27" x14ac:dyDescent="0.3">
      <c r="A31" s="9">
        <v>43521</v>
      </c>
      <c r="B31" s="12">
        <v>8</v>
      </c>
      <c r="C31" s="11">
        <v>1E-3</v>
      </c>
      <c r="D31" s="12">
        <v>10</v>
      </c>
      <c r="E31" s="11">
        <v>1E-3</v>
      </c>
      <c r="F31" s="10">
        <v>1086</v>
      </c>
      <c r="G31" s="11">
        <v>0</v>
      </c>
      <c r="H31" s="11">
        <v>3.6999999999999998E-2</v>
      </c>
      <c r="I31" s="10">
        <v>276800</v>
      </c>
      <c r="J31" s="12" t="s">
        <v>1547</v>
      </c>
      <c r="K31" s="12">
        <v>40</v>
      </c>
      <c r="L31" s="12" t="s">
        <v>1548</v>
      </c>
      <c r="M31" s="10">
        <v>15218262848</v>
      </c>
      <c r="N31" s="10">
        <v>1826194</v>
      </c>
      <c r="O31" s="12">
        <v>58</v>
      </c>
    </row>
    <row r="32" spans="1:15" ht="27" x14ac:dyDescent="0.3">
      <c r="A32" s="9">
        <v>43522</v>
      </c>
      <c r="B32" s="12">
        <v>8</v>
      </c>
      <c r="C32" s="11">
        <v>1E-3</v>
      </c>
      <c r="D32" s="12">
        <v>11</v>
      </c>
      <c r="E32" s="11">
        <v>1E-3</v>
      </c>
      <c r="F32" s="10">
        <v>1211</v>
      </c>
      <c r="G32" s="11">
        <v>0</v>
      </c>
      <c r="H32" s="11">
        <v>5.1999999999999998E-2</v>
      </c>
      <c r="I32" s="10">
        <v>472000</v>
      </c>
      <c r="J32" s="12" t="s">
        <v>1549</v>
      </c>
      <c r="K32" s="12">
        <v>63</v>
      </c>
      <c r="L32" s="12" t="s">
        <v>1550</v>
      </c>
      <c r="M32" s="10">
        <v>15218734848</v>
      </c>
      <c r="N32" s="10">
        <v>1826257</v>
      </c>
      <c r="O32" s="12">
        <v>65</v>
      </c>
    </row>
    <row r="33" spans="1:15" ht="27" x14ac:dyDescent="0.3">
      <c r="A33" s="9">
        <v>43523</v>
      </c>
      <c r="B33" s="12">
        <v>1</v>
      </c>
      <c r="C33" s="11">
        <v>0</v>
      </c>
      <c r="D33" s="12">
        <v>1</v>
      </c>
      <c r="E33" s="11">
        <v>0</v>
      </c>
      <c r="F33" s="12">
        <v>81</v>
      </c>
      <c r="G33" s="11">
        <v>0</v>
      </c>
      <c r="H33" s="11">
        <v>0.185</v>
      </c>
      <c r="I33" s="10">
        <v>90000</v>
      </c>
      <c r="J33" s="12" t="s">
        <v>1551</v>
      </c>
      <c r="K33" s="12">
        <v>15</v>
      </c>
      <c r="L33" s="12" t="s">
        <v>1552</v>
      </c>
      <c r="M33" s="10">
        <v>15218824848</v>
      </c>
      <c r="N33" s="10">
        <v>1826272</v>
      </c>
      <c r="O33" s="12">
        <v>81</v>
      </c>
    </row>
    <row r="34" spans="1:15" ht="27" x14ac:dyDescent="0.3">
      <c r="A34" s="9">
        <v>43524</v>
      </c>
      <c r="B34" s="12">
        <v>1</v>
      </c>
      <c r="C34" s="11">
        <v>0</v>
      </c>
      <c r="D34" s="12">
        <v>1</v>
      </c>
      <c r="E34" s="11">
        <v>0</v>
      </c>
      <c r="F34" s="12">
        <v>109</v>
      </c>
      <c r="G34" s="11">
        <v>0</v>
      </c>
      <c r="H34" s="11">
        <v>1.7999999999999999E-2</v>
      </c>
      <c r="I34" s="10">
        <v>18000</v>
      </c>
      <c r="J34" s="12" t="s">
        <v>1553</v>
      </c>
      <c r="K34" s="12">
        <v>2</v>
      </c>
      <c r="L34" s="12" t="s">
        <v>1554</v>
      </c>
      <c r="M34" s="10">
        <v>15218842848</v>
      </c>
      <c r="N34" s="10">
        <v>1826274</v>
      </c>
      <c r="O34" s="12">
        <v>90</v>
      </c>
    </row>
    <row r="35" spans="1:15" ht="27" x14ac:dyDescent="0.3">
      <c r="A35" s="9">
        <v>43527</v>
      </c>
      <c r="B35" s="12">
        <v>1</v>
      </c>
      <c r="C35" s="11">
        <v>0</v>
      </c>
      <c r="D35" s="12">
        <v>1</v>
      </c>
      <c r="E35" s="11">
        <v>0</v>
      </c>
      <c r="F35" s="12">
        <v>164</v>
      </c>
      <c r="G35" s="11">
        <v>0</v>
      </c>
      <c r="H35" s="11">
        <v>6.0000000000000001E-3</v>
      </c>
      <c r="I35" s="10">
        <v>6000</v>
      </c>
      <c r="J35" s="12" t="s">
        <v>1555</v>
      </c>
      <c r="K35" s="12">
        <v>1</v>
      </c>
      <c r="L35" s="12" t="s">
        <v>312</v>
      </c>
      <c r="M35" s="10">
        <v>15218848848</v>
      </c>
      <c r="N35" s="10">
        <v>1826275</v>
      </c>
      <c r="O35" s="12">
        <v>85</v>
      </c>
    </row>
    <row r="36" spans="1:15" ht="27" x14ac:dyDescent="0.3">
      <c r="A36" s="9">
        <v>43529</v>
      </c>
      <c r="B36" s="12">
        <v>1</v>
      </c>
      <c r="C36" s="11">
        <v>0</v>
      </c>
      <c r="D36" s="12">
        <v>1</v>
      </c>
      <c r="E36" s="11">
        <v>0</v>
      </c>
      <c r="F36" s="12">
        <v>97</v>
      </c>
      <c r="G36" s="11">
        <v>0</v>
      </c>
      <c r="H36" s="11">
        <v>0.01</v>
      </c>
      <c r="I36" s="10">
        <v>5000</v>
      </c>
      <c r="J36" s="12" t="s">
        <v>584</v>
      </c>
      <c r="K36" s="12">
        <v>1</v>
      </c>
      <c r="L36" s="12" t="s">
        <v>312</v>
      </c>
      <c r="M36" s="10">
        <v>15218853848</v>
      </c>
      <c r="N36" s="10">
        <v>1826276</v>
      </c>
      <c r="O36" s="12">
        <v>84</v>
      </c>
    </row>
    <row r="37" spans="1:15" ht="27" x14ac:dyDescent="0.3">
      <c r="A37" s="9">
        <v>43540</v>
      </c>
      <c r="B37" s="12">
        <v>1</v>
      </c>
      <c r="C37" s="11">
        <v>0</v>
      </c>
      <c r="D37" s="12">
        <v>1</v>
      </c>
      <c r="E37" s="11">
        <v>0</v>
      </c>
      <c r="F37" s="12">
        <v>8</v>
      </c>
      <c r="G37" s="11">
        <v>0</v>
      </c>
      <c r="H37" s="11">
        <v>1</v>
      </c>
      <c r="I37" s="10">
        <v>88000</v>
      </c>
      <c r="J37" s="12" t="s">
        <v>1556</v>
      </c>
      <c r="K37" s="12">
        <v>8</v>
      </c>
      <c r="L37" s="12" t="s">
        <v>1557</v>
      </c>
      <c r="M37" s="10">
        <v>15218941848</v>
      </c>
      <c r="N37" s="10">
        <v>1826284</v>
      </c>
      <c r="O37" s="12">
        <v>89</v>
      </c>
    </row>
    <row r="38" spans="1:15" ht="27" x14ac:dyDescent="0.3">
      <c r="A38" s="9">
        <v>43544</v>
      </c>
      <c r="B38" s="12">
        <v>2</v>
      </c>
      <c r="C38" s="11">
        <v>0</v>
      </c>
      <c r="D38" s="12">
        <v>2</v>
      </c>
      <c r="E38" s="11">
        <v>0</v>
      </c>
      <c r="F38" s="12">
        <v>451</v>
      </c>
      <c r="G38" s="11">
        <v>0</v>
      </c>
      <c r="H38" s="11">
        <v>0.95299999999999996</v>
      </c>
      <c r="I38" s="10">
        <v>3870000</v>
      </c>
      <c r="J38" s="12" t="s">
        <v>1558</v>
      </c>
      <c r="K38" s="12">
        <v>430</v>
      </c>
      <c r="L38" s="12" t="s">
        <v>1559</v>
      </c>
      <c r="M38" s="10">
        <v>15222811848</v>
      </c>
      <c r="N38" s="10">
        <v>1826714</v>
      </c>
      <c r="O38" s="12">
        <v>20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F10FD-3511-4E9F-9605-03E332C09961}">
  <dimension ref="A1:O20"/>
  <sheetViews>
    <sheetView workbookViewId="0">
      <selection sqref="A1:O20"/>
    </sheetView>
  </sheetViews>
  <sheetFormatPr defaultRowHeight="16.5" x14ac:dyDescent="0.3"/>
  <sheetData>
    <row r="1" spans="1:15" ht="19.5" x14ac:dyDescent="0.3">
      <c r="A1" s="197" t="s">
        <v>1560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43491</v>
      </c>
      <c r="B5" s="12">
        <v>224</v>
      </c>
      <c r="C5" s="11">
        <v>3.4000000000000002E-2</v>
      </c>
      <c r="D5" s="12">
        <v>825</v>
      </c>
      <c r="E5" s="11">
        <v>4.2000000000000003E-2</v>
      </c>
      <c r="F5" s="10">
        <v>154036</v>
      </c>
      <c r="G5" s="11">
        <v>0.05</v>
      </c>
      <c r="H5" s="11">
        <v>0.65</v>
      </c>
      <c r="I5" s="10">
        <v>947048800</v>
      </c>
      <c r="J5" s="12" t="s">
        <v>1561</v>
      </c>
      <c r="K5" s="10">
        <v>100191</v>
      </c>
      <c r="L5" s="12" t="s">
        <v>1562</v>
      </c>
      <c r="M5" s="10">
        <v>947048800</v>
      </c>
      <c r="N5" s="10">
        <v>100191</v>
      </c>
      <c r="O5" s="12">
        <v>2</v>
      </c>
    </row>
    <row r="6" spans="1:15" ht="40.5" x14ac:dyDescent="0.3">
      <c r="A6" s="9">
        <v>43492</v>
      </c>
      <c r="B6" s="12">
        <v>212</v>
      </c>
      <c r="C6" s="11">
        <v>3.3000000000000002E-2</v>
      </c>
      <c r="D6" s="12">
        <v>771</v>
      </c>
      <c r="E6" s="11">
        <v>0.04</v>
      </c>
      <c r="F6" s="10">
        <v>142619</v>
      </c>
      <c r="G6" s="11">
        <v>4.7E-2</v>
      </c>
      <c r="H6" s="11">
        <v>0.57399999999999995</v>
      </c>
      <c r="I6" s="10">
        <v>781981900</v>
      </c>
      <c r="J6" s="12" t="s">
        <v>1563</v>
      </c>
      <c r="K6" s="10">
        <v>81912</v>
      </c>
      <c r="L6" s="12" t="s">
        <v>1564</v>
      </c>
      <c r="M6" s="10">
        <v>1729030700</v>
      </c>
      <c r="N6" s="10">
        <v>182103</v>
      </c>
      <c r="O6" s="12">
        <v>2</v>
      </c>
    </row>
    <row r="7" spans="1:15" ht="40.5" x14ac:dyDescent="0.3">
      <c r="A7" s="9">
        <v>43493</v>
      </c>
      <c r="B7" s="12">
        <v>162</v>
      </c>
      <c r="C7" s="11">
        <v>2.7E-2</v>
      </c>
      <c r="D7" s="12">
        <v>514</v>
      </c>
      <c r="E7" s="11">
        <v>2.8000000000000001E-2</v>
      </c>
      <c r="F7" s="10">
        <v>86944</v>
      </c>
      <c r="G7" s="11">
        <v>0.03</v>
      </c>
      <c r="H7" s="11">
        <v>0.30499999999999999</v>
      </c>
      <c r="I7" s="10">
        <v>254800900</v>
      </c>
      <c r="J7" s="12" t="s">
        <v>1565</v>
      </c>
      <c r="K7" s="10">
        <v>26513</v>
      </c>
      <c r="L7" s="12" t="s">
        <v>1566</v>
      </c>
      <c r="M7" s="10">
        <v>1983831600</v>
      </c>
      <c r="N7" s="10">
        <v>208616</v>
      </c>
      <c r="O7" s="12">
        <v>2</v>
      </c>
    </row>
    <row r="8" spans="1:15" ht="27" x14ac:dyDescent="0.3">
      <c r="A8" s="9">
        <v>43494</v>
      </c>
      <c r="B8" s="12">
        <v>161</v>
      </c>
      <c r="C8" s="11">
        <v>2.5999999999999999E-2</v>
      </c>
      <c r="D8" s="12">
        <v>519</v>
      </c>
      <c r="E8" s="11">
        <v>2.8000000000000001E-2</v>
      </c>
      <c r="F8" s="10">
        <v>87688</v>
      </c>
      <c r="G8" s="11">
        <v>0.03</v>
      </c>
      <c r="H8" s="11">
        <v>0.28799999999999998</v>
      </c>
      <c r="I8" s="10">
        <v>241992800</v>
      </c>
      <c r="J8" s="12" t="s">
        <v>1567</v>
      </c>
      <c r="K8" s="10">
        <v>25240</v>
      </c>
      <c r="L8" s="12" t="s">
        <v>1568</v>
      </c>
      <c r="M8" s="10">
        <v>2225824400</v>
      </c>
      <c r="N8" s="10">
        <v>233856</v>
      </c>
      <c r="O8" s="12">
        <v>2</v>
      </c>
    </row>
    <row r="9" spans="1:15" ht="40.5" x14ac:dyDescent="0.3">
      <c r="A9" s="9">
        <v>43495</v>
      </c>
      <c r="B9" s="12">
        <v>132</v>
      </c>
      <c r="C9" s="11">
        <v>2.5000000000000001E-2</v>
      </c>
      <c r="D9" s="12">
        <v>282</v>
      </c>
      <c r="E9" s="11">
        <v>1.4999999999999999E-2</v>
      </c>
      <c r="F9" s="10">
        <v>45525</v>
      </c>
      <c r="G9" s="11">
        <v>1.4999999999999999E-2</v>
      </c>
      <c r="H9" s="11">
        <v>0.40600000000000003</v>
      </c>
      <c r="I9" s="10">
        <v>101900400</v>
      </c>
      <c r="J9" s="12" t="s">
        <v>1569</v>
      </c>
      <c r="K9" s="10">
        <v>18491</v>
      </c>
      <c r="L9" s="12" t="s">
        <v>1570</v>
      </c>
      <c r="M9" s="10">
        <v>2327724800</v>
      </c>
      <c r="N9" s="10">
        <v>252347</v>
      </c>
      <c r="O9" s="12">
        <v>5</v>
      </c>
    </row>
    <row r="10" spans="1:15" ht="27" x14ac:dyDescent="0.3">
      <c r="A10" s="9">
        <v>43496</v>
      </c>
      <c r="B10" s="12">
        <v>123</v>
      </c>
      <c r="C10" s="11">
        <v>2.1999999999999999E-2</v>
      </c>
      <c r="D10" s="12">
        <v>269</v>
      </c>
      <c r="E10" s="11">
        <v>1.4E-2</v>
      </c>
      <c r="F10" s="10">
        <v>43845</v>
      </c>
      <c r="G10" s="11">
        <v>1.4E-2</v>
      </c>
      <c r="H10" s="11">
        <v>0.23599999999999999</v>
      </c>
      <c r="I10" s="10">
        <v>98607800</v>
      </c>
      <c r="J10" s="12" t="s">
        <v>1571</v>
      </c>
      <c r="K10" s="10">
        <v>10332</v>
      </c>
      <c r="L10" s="12" t="s">
        <v>1572</v>
      </c>
      <c r="M10" s="10">
        <v>2426332600</v>
      </c>
      <c r="N10" s="10">
        <v>262679</v>
      </c>
      <c r="O10" s="12">
        <v>5</v>
      </c>
    </row>
    <row r="11" spans="1:15" ht="27" x14ac:dyDescent="0.3">
      <c r="A11" s="9">
        <v>43497</v>
      </c>
      <c r="B11" s="12">
        <v>118</v>
      </c>
      <c r="C11" s="11">
        <v>2.1999999999999999E-2</v>
      </c>
      <c r="D11" s="12">
        <v>262</v>
      </c>
      <c r="E11" s="11">
        <v>1.2999999999999999E-2</v>
      </c>
      <c r="F11" s="10">
        <v>42890</v>
      </c>
      <c r="G11" s="11">
        <v>1.4E-2</v>
      </c>
      <c r="H11" s="11">
        <v>0.249</v>
      </c>
      <c r="I11" s="10">
        <v>104365400</v>
      </c>
      <c r="J11" s="12" t="s">
        <v>1573</v>
      </c>
      <c r="K11" s="10">
        <v>10696</v>
      </c>
      <c r="L11" s="12" t="s">
        <v>1574</v>
      </c>
      <c r="M11" s="10">
        <v>2530698000</v>
      </c>
      <c r="N11" s="10">
        <v>273375</v>
      </c>
      <c r="O11" s="12">
        <v>5</v>
      </c>
    </row>
    <row r="12" spans="1:15" ht="27" x14ac:dyDescent="0.3">
      <c r="A12" s="9">
        <v>43498</v>
      </c>
      <c r="B12" s="12">
        <v>110</v>
      </c>
      <c r="C12" s="11">
        <v>1.9E-2</v>
      </c>
      <c r="D12" s="12">
        <v>226</v>
      </c>
      <c r="E12" s="11">
        <v>1.0999999999999999E-2</v>
      </c>
      <c r="F12" s="10">
        <v>36456</v>
      </c>
      <c r="G12" s="11">
        <v>1.0999999999999999E-2</v>
      </c>
      <c r="H12" s="11">
        <v>0.40699999999999997</v>
      </c>
      <c r="I12" s="10">
        <v>143667600</v>
      </c>
      <c r="J12" s="12" t="s">
        <v>1575</v>
      </c>
      <c r="K12" s="10">
        <v>14831</v>
      </c>
      <c r="L12" s="12" t="s">
        <v>1576</v>
      </c>
      <c r="M12" s="10">
        <v>2674365600</v>
      </c>
      <c r="N12" s="10">
        <v>288206</v>
      </c>
      <c r="O12" s="12">
        <v>6</v>
      </c>
    </row>
    <row r="13" spans="1:15" ht="27" x14ac:dyDescent="0.3">
      <c r="A13" s="9">
        <v>43499</v>
      </c>
      <c r="B13" s="12">
        <v>108</v>
      </c>
      <c r="C13" s="11">
        <v>1.9E-2</v>
      </c>
      <c r="D13" s="12">
        <v>214</v>
      </c>
      <c r="E13" s="11">
        <v>0.01</v>
      </c>
      <c r="F13" s="10">
        <v>34072</v>
      </c>
      <c r="G13" s="11">
        <v>0.01</v>
      </c>
      <c r="H13" s="11">
        <v>0.32300000000000001</v>
      </c>
      <c r="I13" s="10">
        <v>106881700</v>
      </c>
      <c r="J13" s="12" t="s">
        <v>1577</v>
      </c>
      <c r="K13" s="10">
        <v>11001</v>
      </c>
      <c r="L13" s="12" t="s">
        <v>1578</v>
      </c>
      <c r="M13" s="10">
        <v>2781247300</v>
      </c>
      <c r="N13" s="10">
        <v>299207</v>
      </c>
      <c r="O13" s="12">
        <v>6</v>
      </c>
    </row>
    <row r="14" spans="1:15" ht="27" x14ac:dyDescent="0.3">
      <c r="A14" s="9">
        <v>43500</v>
      </c>
      <c r="B14" s="12">
        <v>100</v>
      </c>
      <c r="C14" s="11">
        <v>1.7999999999999999E-2</v>
      </c>
      <c r="D14" s="12">
        <v>169</v>
      </c>
      <c r="E14" s="11">
        <v>8.0000000000000002E-3</v>
      </c>
      <c r="F14" s="10">
        <v>26676</v>
      </c>
      <c r="G14" s="11">
        <v>8.0000000000000002E-3</v>
      </c>
      <c r="H14" s="11">
        <v>0.23</v>
      </c>
      <c r="I14" s="10">
        <v>59308800</v>
      </c>
      <c r="J14" s="12" t="s">
        <v>1579</v>
      </c>
      <c r="K14" s="10">
        <v>6127</v>
      </c>
      <c r="L14" s="12" t="s">
        <v>1580</v>
      </c>
      <c r="M14" s="10">
        <v>2840556100</v>
      </c>
      <c r="N14" s="10">
        <v>305334</v>
      </c>
      <c r="O14" s="12">
        <v>7</v>
      </c>
    </row>
    <row r="15" spans="1:15" ht="27" x14ac:dyDescent="0.3">
      <c r="A15" s="9">
        <v>43501</v>
      </c>
      <c r="B15" s="12">
        <v>68</v>
      </c>
      <c r="C15" s="11">
        <v>1.2E-2</v>
      </c>
      <c r="D15" s="12">
        <v>105</v>
      </c>
      <c r="E15" s="11">
        <v>5.0000000000000001E-3</v>
      </c>
      <c r="F15" s="10">
        <v>17458</v>
      </c>
      <c r="G15" s="11">
        <v>5.0000000000000001E-3</v>
      </c>
      <c r="H15" s="11">
        <v>0.22800000000000001</v>
      </c>
      <c r="I15" s="10">
        <v>39385300</v>
      </c>
      <c r="J15" s="12" t="s">
        <v>1581</v>
      </c>
      <c r="K15" s="10">
        <v>3982</v>
      </c>
      <c r="L15" s="12" t="s">
        <v>1582</v>
      </c>
      <c r="M15" s="10">
        <v>2879941400</v>
      </c>
      <c r="N15" s="10">
        <v>309316</v>
      </c>
      <c r="O15" s="12">
        <v>9</v>
      </c>
    </row>
    <row r="16" spans="1:15" ht="27" x14ac:dyDescent="0.3">
      <c r="A16" s="9">
        <v>43502</v>
      </c>
      <c r="B16" s="12">
        <v>62</v>
      </c>
      <c r="C16" s="11">
        <v>0.01</v>
      </c>
      <c r="D16" s="12">
        <v>95</v>
      </c>
      <c r="E16" s="11">
        <v>5.0000000000000001E-3</v>
      </c>
      <c r="F16" s="10">
        <v>15722</v>
      </c>
      <c r="G16" s="11">
        <v>5.0000000000000001E-3</v>
      </c>
      <c r="H16" s="11">
        <v>0.41099999999999998</v>
      </c>
      <c r="I16" s="10">
        <v>63722000</v>
      </c>
      <c r="J16" s="12" t="s">
        <v>1583</v>
      </c>
      <c r="K16" s="10">
        <v>6455</v>
      </c>
      <c r="L16" s="12" t="s">
        <v>1584</v>
      </c>
      <c r="M16" s="10">
        <v>2943663400</v>
      </c>
      <c r="N16" s="10">
        <v>315771</v>
      </c>
      <c r="O16" s="12">
        <v>9</v>
      </c>
    </row>
    <row r="17" spans="1:15" ht="27" x14ac:dyDescent="0.3">
      <c r="A17" s="9">
        <v>43503</v>
      </c>
      <c r="B17" s="12">
        <v>48</v>
      </c>
      <c r="C17" s="11">
        <v>8.0000000000000002E-3</v>
      </c>
      <c r="D17" s="12">
        <v>71</v>
      </c>
      <c r="E17" s="11">
        <v>4.0000000000000001E-3</v>
      </c>
      <c r="F17" s="10">
        <v>12507</v>
      </c>
      <c r="G17" s="11">
        <v>4.0000000000000001E-3</v>
      </c>
      <c r="H17" s="11">
        <v>0.28100000000000003</v>
      </c>
      <c r="I17" s="10">
        <v>34720000</v>
      </c>
      <c r="J17" s="12" t="s">
        <v>1585</v>
      </c>
      <c r="K17" s="10">
        <v>3520</v>
      </c>
      <c r="L17" s="12" t="s">
        <v>1586</v>
      </c>
      <c r="M17" s="10">
        <v>2978383400</v>
      </c>
      <c r="N17" s="10">
        <v>319291</v>
      </c>
      <c r="O17" s="12">
        <v>7</v>
      </c>
    </row>
    <row r="18" spans="1:15" ht="27" x14ac:dyDescent="0.3">
      <c r="A18" s="9">
        <v>43504</v>
      </c>
      <c r="B18" s="12">
        <v>48</v>
      </c>
      <c r="C18" s="11">
        <v>8.0000000000000002E-3</v>
      </c>
      <c r="D18" s="12">
        <v>70</v>
      </c>
      <c r="E18" s="11">
        <v>4.0000000000000001E-3</v>
      </c>
      <c r="F18" s="10">
        <v>12021</v>
      </c>
      <c r="G18" s="11">
        <v>4.0000000000000001E-3</v>
      </c>
      <c r="H18" s="11">
        <v>0.30299999999999999</v>
      </c>
      <c r="I18" s="10">
        <v>36151000</v>
      </c>
      <c r="J18" s="12" t="s">
        <v>1587</v>
      </c>
      <c r="K18" s="10">
        <v>3641</v>
      </c>
      <c r="L18" s="12" t="s">
        <v>1588</v>
      </c>
      <c r="M18" s="10">
        <v>3014534400</v>
      </c>
      <c r="N18" s="10">
        <v>322932</v>
      </c>
      <c r="O18" s="12">
        <v>9</v>
      </c>
    </row>
    <row r="19" spans="1:15" ht="27" x14ac:dyDescent="0.3">
      <c r="A19" s="9">
        <v>43505</v>
      </c>
      <c r="B19" s="12">
        <v>44</v>
      </c>
      <c r="C19" s="11">
        <v>7.0000000000000001E-3</v>
      </c>
      <c r="D19" s="12">
        <v>72</v>
      </c>
      <c r="E19" s="11">
        <v>4.0000000000000001E-3</v>
      </c>
      <c r="F19" s="10">
        <v>16107</v>
      </c>
      <c r="G19" s="11">
        <v>5.0000000000000001E-3</v>
      </c>
      <c r="H19" s="11">
        <v>0.58699999999999997</v>
      </c>
      <c r="I19" s="10">
        <v>95093000</v>
      </c>
      <c r="J19" s="12" t="s">
        <v>1589</v>
      </c>
      <c r="K19" s="10">
        <v>9454</v>
      </c>
      <c r="L19" s="12" t="s">
        <v>1590</v>
      </c>
      <c r="M19" s="10">
        <v>3109627400</v>
      </c>
      <c r="N19" s="10">
        <v>332386</v>
      </c>
      <c r="O19" s="12">
        <v>7</v>
      </c>
    </row>
    <row r="20" spans="1:15" ht="27" x14ac:dyDescent="0.3">
      <c r="A20" s="9">
        <v>43506</v>
      </c>
      <c r="B20" s="12">
        <v>41</v>
      </c>
      <c r="C20" s="11">
        <v>7.0000000000000001E-3</v>
      </c>
      <c r="D20" s="12">
        <v>71</v>
      </c>
      <c r="E20" s="11">
        <v>4.0000000000000001E-3</v>
      </c>
      <c r="F20" s="10">
        <v>15825</v>
      </c>
      <c r="G20" s="11">
        <v>5.0000000000000001E-3</v>
      </c>
      <c r="H20" s="11">
        <v>0.63100000000000001</v>
      </c>
      <c r="I20" s="10">
        <v>100055500</v>
      </c>
      <c r="J20" s="12" t="s">
        <v>1591</v>
      </c>
      <c r="K20" s="10">
        <v>9980</v>
      </c>
      <c r="L20" s="12" t="s">
        <v>1592</v>
      </c>
      <c r="M20" s="10">
        <v>3209682900</v>
      </c>
      <c r="N20" s="10">
        <v>342366</v>
      </c>
      <c r="O20" s="12">
        <v>7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95F6-F7C8-4A1F-8F26-D13C56C002CE}">
  <dimension ref="A1:O149"/>
  <sheetViews>
    <sheetView workbookViewId="0">
      <selection activeCell="A5" sqref="A5:O24"/>
    </sheetView>
  </sheetViews>
  <sheetFormatPr defaultRowHeight="16.5" x14ac:dyDescent="0.3"/>
  <sheetData>
    <row r="1" spans="1:15" ht="19.5" x14ac:dyDescent="0.3">
      <c r="A1" s="197" t="s">
        <v>1593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43474</v>
      </c>
      <c r="B5" s="12">
        <v>349</v>
      </c>
      <c r="C5" s="11">
        <v>5.7000000000000002E-2</v>
      </c>
      <c r="D5" s="12">
        <v>943</v>
      </c>
      <c r="E5" s="11">
        <v>5.2999999999999999E-2</v>
      </c>
      <c r="F5" s="10">
        <v>120324</v>
      </c>
      <c r="G5" s="11">
        <v>4.2999999999999997E-2</v>
      </c>
      <c r="H5" s="11">
        <v>0.10299999999999999</v>
      </c>
      <c r="I5" s="10">
        <v>104664150</v>
      </c>
      <c r="J5" s="12" t="s">
        <v>1594</v>
      </c>
      <c r="K5" s="10">
        <v>12416</v>
      </c>
      <c r="L5" s="12" t="s">
        <v>1595</v>
      </c>
      <c r="M5" s="10">
        <v>201029950</v>
      </c>
      <c r="N5" s="10">
        <v>22467</v>
      </c>
      <c r="O5" s="12">
        <v>6</v>
      </c>
    </row>
    <row r="6" spans="1:15" ht="27" x14ac:dyDescent="0.3">
      <c r="A6" s="9">
        <v>43475</v>
      </c>
      <c r="B6" s="12">
        <v>398</v>
      </c>
      <c r="C6" s="11">
        <v>5.8999999999999997E-2</v>
      </c>
      <c r="D6" s="12">
        <v>931</v>
      </c>
      <c r="E6" s="11">
        <v>5.0999999999999997E-2</v>
      </c>
      <c r="F6" s="10">
        <v>119352</v>
      </c>
      <c r="G6" s="11">
        <v>4.2000000000000003E-2</v>
      </c>
      <c r="H6" s="11">
        <v>9.6000000000000002E-2</v>
      </c>
      <c r="I6" s="10">
        <v>94180450</v>
      </c>
      <c r="J6" s="12" t="s">
        <v>1596</v>
      </c>
      <c r="K6" s="10">
        <v>11461</v>
      </c>
      <c r="L6" s="12" t="s">
        <v>1597</v>
      </c>
      <c r="M6" s="10">
        <v>295210400</v>
      </c>
      <c r="N6" s="10">
        <v>33928</v>
      </c>
      <c r="O6" s="12">
        <v>7</v>
      </c>
    </row>
    <row r="7" spans="1:15" ht="27" x14ac:dyDescent="0.3">
      <c r="A7" s="9">
        <v>43476</v>
      </c>
      <c r="B7" s="12">
        <v>372</v>
      </c>
      <c r="C7" s="11">
        <v>5.3999999999999999E-2</v>
      </c>
      <c r="D7" s="12">
        <v>921</v>
      </c>
      <c r="E7" s="11">
        <v>4.9000000000000002E-2</v>
      </c>
      <c r="F7" s="10">
        <v>116439</v>
      </c>
      <c r="G7" s="11">
        <v>0.04</v>
      </c>
      <c r="H7" s="11">
        <v>0.114</v>
      </c>
      <c r="I7" s="10">
        <v>118596032</v>
      </c>
      <c r="J7" s="12" t="s">
        <v>1598</v>
      </c>
      <c r="K7" s="10">
        <v>13264</v>
      </c>
      <c r="L7" s="12" t="s">
        <v>1599</v>
      </c>
      <c r="M7" s="10">
        <v>413806432</v>
      </c>
      <c r="N7" s="10">
        <v>47192</v>
      </c>
      <c r="O7" s="12">
        <v>7</v>
      </c>
    </row>
    <row r="8" spans="1:15" ht="27" x14ac:dyDescent="0.3">
      <c r="A8" s="9">
        <v>43477</v>
      </c>
      <c r="B8" s="12">
        <v>373</v>
      </c>
      <c r="C8" s="11">
        <v>5.2999999999999999E-2</v>
      </c>
      <c r="D8" s="12">
        <v>873</v>
      </c>
      <c r="E8" s="11">
        <v>4.3999999999999997E-2</v>
      </c>
      <c r="F8" s="10">
        <v>108912</v>
      </c>
      <c r="G8" s="11">
        <v>3.5000000000000003E-2</v>
      </c>
      <c r="H8" s="11">
        <v>0.247</v>
      </c>
      <c r="I8" s="10">
        <v>245207142</v>
      </c>
      <c r="J8" s="12" t="s">
        <v>1600</v>
      </c>
      <c r="K8" s="10">
        <v>26917</v>
      </c>
      <c r="L8" s="12" t="s">
        <v>1601</v>
      </c>
      <c r="M8" s="10">
        <v>659013574</v>
      </c>
      <c r="N8" s="10">
        <v>74109</v>
      </c>
      <c r="O8" s="12">
        <v>7</v>
      </c>
    </row>
    <row r="9" spans="1:15" ht="27" x14ac:dyDescent="0.3">
      <c r="A9" s="9">
        <v>43478</v>
      </c>
      <c r="B9" s="12">
        <v>369</v>
      </c>
      <c r="C9" s="11">
        <v>5.2999999999999999E-2</v>
      </c>
      <c r="D9" s="12">
        <v>840</v>
      </c>
      <c r="E9" s="11">
        <v>4.3999999999999997E-2</v>
      </c>
      <c r="F9" s="10">
        <v>105074</v>
      </c>
      <c r="G9" s="11">
        <v>3.5000000000000003E-2</v>
      </c>
      <c r="H9" s="11">
        <v>0.24199999999999999</v>
      </c>
      <c r="I9" s="10">
        <v>230360650</v>
      </c>
      <c r="J9" s="12" t="s">
        <v>1602</v>
      </c>
      <c r="K9" s="10">
        <v>25460</v>
      </c>
      <c r="L9" s="12" t="s">
        <v>1603</v>
      </c>
      <c r="M9" s="10">
        <v>889374224</v>
      </c>
      <c r="N9" s="10">
        <v>99569</v>
      </c>
      <c r="O9" s="12">
        <v>7</v>
      </c>
    </row>
    <row r="10" spans="1:15" ht="40.5" x14ac:dyDescent="0.3">
      <c r="A10" s="9">
        <v>43479</v>
      </c>
      <c r="B10" s="12">
        <v>366</v>
      </c>
      <c r="C10" s="11">
        <v>5.7000000000000002E-2</v>
      </c>
      <c r="D10" s="12">
        <v>878</v>
      </c>
      <c r="E10" s="11">
        <v>4.9000000000000002E-2</v>
      </c>
      <c r="F10" s="10">
        <v>111337</v>
      </c>
      <c r="G10" s="11">
        <v>0.04</v>
      </c>
      <c r="H10" s="11">
        <v>0.10199999999999999</v>
      </c>
      <c r="I10" s="10">
        <v>94362260</v>
      </c>
      <c r="J10" s="12" t="s">
        <v>1604</v>
      </c>
      <c r="K10" s="10">
        <v>11366</v>
      </c>
      <c r="L10" s="12" t="s">
        <v>1605</v>
      </c>
      <c r="M10" s="10">
        <v>983736484</v>
      </c>
      <c r="N10" s="10">
        <v>110935</v>
      </c>
      <c r="O10" s="12">
        <v>6</v>
      </c>
    </row>
    <row r="11" spans="1:15" ht="27" x14ac:dyDescent="0.3">
      <c r="A11" s="9">
        <v>43480</v>
      </c>
      <c r="B11" s="12">
        <v>383</v>
      </c>
      <c r="C11" s="11">
        <v>5.8000000000000003E-2</v>
      </c>
      <c r="D11" s="12">
        <v>904</v>
      </c>
      <c r="E11" s="11">
        <v>5.0999999999999997E-2</v>
      </c>
      <c r="F11" s="10">
        <v>113365</v>
      </c>
      <c r="G11" s="11">
        <v>4.1000000000000002E-2</v>
      </c>
      <c r="H11" s="11">
        <v>0.109</v>
      </c>
      <c r="I11" s="10">
        <v>101284820</v>
      </c>
      <c r="J11" s="12" t="s">
        <v>1606</v>
      </c>
      <c r="K11" s="10">
        <v>12316</v>
      </c>
      <c r="L11" s="12" t="s">
        <v>1607</v>
      </c>
      <c r="M11" s="10">
        <v>1085021304</v>
      </c>
      <c r="N11" s="10">
        <v>123251</v>
      </c>
      <c r="O11" s="12">
        <v>6</v>
      </c>
    </row>
    <row r="12" spans="1:15" ht="27" x14ac:dyDescent="0.3">
      <c r="A12" s="9">
        <v>43481</v>
      </c>
      <c r="B12" s="12">
        <v>190</v>
      </c>
      <c r="C12" s="11">
        <v>2.7E-2</v>
      </c>
      <c r="D12" s="12">
        <v>428</v>
      </c>
      <c r="E12" s="11">
        <v>2.4E-2</v>
      </c>
      <c r="F12" s="10">
        <v>58682</v>
      </c>
      <c r="G12" s="11">
        <v>2.1000000000000001E-2</v>
      </c>
      <c r="H12" s="11">
        <v>0.13600000000000001</v>
      </c>
      <c r="I12" s="10">
        <v>65332380</v>
      </c>
      <c r="J12" s="12" t="s">
        <v>1608</v>
      </c>
      <c r="K12" s="10">
        <v>7989</v>
      </c>
      <c r="L12" s="12" t="s">
        <v>1609</v>
      </c>
      <c r="M12" s="10">
        <v>1150353684</v>
      </c>
      <c r="N12" s="10">
        <v>131240</v>
      </c>
      <c r="O12" s="12">
        <v>10</v>
      </c>
    </row>
    <row r="13" spans="1:15" ht="27" x14ac:dyDescent="0.3">
      <c r="A13" s="9">
        <v>43482</v>
      </c>
      <c r="B13" s="12">
        <v>197</v>
      </c>
      <c r="C13" s="11">
        <v>2.7E-2</v>
      </c>
      <c r="D13" s="12">
        <v>338</v>
      </c>
      <c r="E13" s="11">
        <v>1.9E-2</v>
      </c>
      <c r="F13" s="10">
        <v>44982</v>
      </c>
      <c r="G13" s="11">
        <v>1.6E-2</v>
      </c>
      <c r="H13" s="11">
        <v>0.14099999999999999</v>
      </c>
      <c r="I13" s="10">
        <v>52321730</v>
      </c>
      <c r="J13" s="12" t="s">
        <v>1610</v>
      </c>
      <c r="K13" s="10">
        <v>6324</v>
      </c>
      <c r="L13" s="12" t="s">
        <v>1611</v>
      </c>
      <c r="M13" s="10">
        <v>1202675414</v>
      </c>
      <c r="N13" s="10">
        <v>137564</v>
      </c>
      <c r="O13" s="12">
        <v>12</v>
      </c>
    </row>
    <row r="14" spans="1:15" ht="27" x14ac:dyDescent="0.3">
      <c r="A14" s="9">
        <v>43483</v>
      </c>
      <c r="B14" s="12">
        <v>219</v>
      </c>
      <c r="C14" s="11">
        <v>0.03</v>
      </c>
      <c r="D14" s="12">
        <v>372</v>
      </c>
      <c r="E14" s="11">
        <v>0.02</v>
      </c>
      <c r="F14" s="10">
        <v>49514</v>
      </c>
      <c r="G14" s="11">
        <v>1.7000000000000001E-2</v>
      </c>
      <c r="H14" s="11">
        <v>0.14899999999999999</v>
      </c>
      <c r="I14" s="10">
        <v>67116230</v>
      </c>
      <c r="J14" s="12" t="s">
        <v>1612</v>
      </c>
      <c r="K14" s="10">
        <v>7373</v>
      </c>
      <c r="L14" s="12" t="s">
        <v>1613</v>
      </c>
      <c r="M14" s="10">
        <v>1269791644</v>
      </c>
      <c r="N14" s="10">
        <v>144937</v>
      </c>
      <c r="O14" s="12">
        <v>11</v>
      </c>
    </row>
    <row r="15" spans="1:15" ht="27" x14ac:dyDescent="0.3">
      <c r="A15" s="9">
        <v>43484</v>
      </c>
      <c r="B15" s="12">
        <v>218</v>
      </c>
      <c r="C15" s="11">
        <v>2.8000000000000001E-2</v>
      </c>
      <c r="D15" s="12">
        <v>382</v>
      </c>
      <c r="E15" s="11">
        <v>0.02</v>
      </c>
      <c r="F15" s="10">
        <v>50026</v>
      </c>
      <c r="G15" s="11">
        <v>1.7000000000000001E-2</v>
      </c>
      <c r="H15" s="11">
        <v>0.29499999999999998</v>
      </c>
      <c r="I15" s="10">
        <v>136052590</v>
      </c>
      <c r="J15" s="12" t="s">
        <v>1614</v>
      </c>
      <c r="K15" s="10">
        <v>14763</v>
      </c>
      <c r="L15" s="12" t="s">
        <v>1615</v>
      </c>
      <c r="M15" s="10">
        <v>1405844234</v>
      </c>
      <c r="N15" s="10">
        <v>159700</v>
      </c>
      <c r="O15" s="12">
        <v>11</v>
      </c>
    </row>
    <row r="16" spans="1:15" ht="27" x14ac:dyDescent="0.3">
      <c r="A16" s="9">
        <v>43485</v>
      </c>
      <c r="B16" s="12">
        <v>213</v>
      </c>
      <c r="C16" s="11">
        <v>2.8000000000000001E-2</v>
      </c>
      <c r="D16" s="12">
        <v>374</v>
      </c>
      <c r="E16" s="11">
        <v>0.02</v>
      </c>
      <c r="F16" s="10">
        <v>49151</v>
      </c>
      <c r="G16" s="11">
        <v>1.7000000000000001E-2</v>
      </c>
      <c r="H16" s="11">
        <v>0.27600000000000002</v>
      </c>
      <c r="I16" s="10">
        <v>124406940</v>
      </c>
      <c r="J16" s="12" t="s">
        <v>1616</v>
      </c>
      <c r="K16" s="10">
        <v>13548</v>
      </c>
      <c r="L16" s="12" t="s">
        <v>1617</v>
      </c>
      <c r="M16" s="10">
        <v>1530251174</v>
      </c>
      <c r="N16" s="10">
        <v>173248</v>
      </c>
      <c r="O16" s="12">
        <v>10</v>
      </c>
    </row>
    <row r="17" spans="1:15" ht="27" x14ac:dyDescent="0.3">
      <c r="A17" s="9">
        <v>43486</v>
      </c>
      <c r="B17" s="12">
        <v>210</v>
      </c>
      <c r="C17" s="11">
        <v>0.03</v>
      </c>
      <c r="D17" s="12">
        <v>405</v>
      </c>
      <c r="E17" s="11">
        <v>2.3E-2</v>
      </c>
      <c r="F17" s="10">
        <v>52550</v>
      </c>
      <c r="G17" s="11">
        <v>1.9E-2</v>
      </c>
      <c r="H17" s="11">
        <v>0.112</v>
      </c>
      <c r="I17" s="10">
        <v>48279310</v>
      </c>
      <c r="J17" s="12" t="s">
        <v>1618</v>
      </c>
      <c r="K17" s="10">
        <v>5876</v>
      </c>
      <c r="L17" s="12" t="s">
        <v>1619</v>
      </c>
      <c r="M17" s="10">
        <v>1578530484</v>
      </c>
      <c r="N17" s="10">
        <v>179124</v>
      </c>
      <c r="O17" s="12">
        <v>8</v>
      </c>
    </row>
    <row r="18" spans="1:15" ht="27" x14ac:dyDescent="0.3">
      <c r="A18" s="9">
        <v>43487</v>
      </c>
      <c r="B18" s="12">
        <v>220</v>
      </c>
      <c r="C18" s="11">
        <v>3.1E-2</v>
      </c>
      <c r="D18" s="12">
        <v>410</v>
      </c>
      <c r="E18" s="11">
        <v>2.4E-2</v>
      </c>
      <c r="F18" s="10">
        <v>53040</v>
      </c>
      <c r="G18" s="11">
        <v>1.9E-2</v>
      </c>
      <c r="H18" s="11">
        <v>0.106</v>
      </c>
      <c r="I18" s="10">
        <v>46051560</v>
      </c>
      <c r="J18" s="12" t="s">
        <v>1620</v>
      </c>
      <c r="K18" s="10">
        <v>5632</v>
      </c>
      <c r="L18" s="12" t="s">
        <v>1621</v>
      </c>
      <c r="M18" s="10">
        <v>1624582044</v>
      </c>
      <c r="N18" s="10">
        <v>184756</v>
      </c>
      <c r="O18" s="12">
        <v>8</v>
      </c>
    </row>
    <row r="19" spans="1:15" ht="27" x14ac:dyDescent="0.3">
      <c r="A19" s="9">
        <v>43488</v>
      </c>
      <c r="B19" s="12">
        <v>142</v>
      </c>
      <c r="C19" s="11">
        <v>2.3E-2</v>
      </c>
      <c r="D19" s="12">
        <v>254</v>
      </c>
      <c r="E19" s="11">
        <v>1.4E-2</v>
      </c>
      <c r="F19" s="10">
        <v>31420</v>
      </c>
      <c r="G19" s="11">
        <v>1.0999999999999999E-2</v>
      </c>
      <c r="H19" s="11">
        <v>0.14299999999999999</v>
      </c>
      <c r="I19" s="10">
        <v>35982230</v>
      </c>
      <c r="J19" s="12" t="s">
        <v>1622</v>
      </c>
      <c r="K19" s="10">
        <v>4499</v>
      </c>
      <c r="L19" s="12" t="s">
        <v>1623</v>
      </c>
      <c r="M19" s="10">
        <v>1660564274</v>
      </c>
      <c r="N19" s="10">
        <v>189255</v>
      </c>
      <c r="O19" s="12">
        <v>8</v>
      </c>
    </row>
    <row r="20" spans="1:15" ht="27" x14ac:dyDescent="0.3">
      <c r="A20" s="9">
        <v>43489</v>
      </c>
      <c r="B20" s="12">
        <v>137</v>
      </c>
      <c r="C20" s="11">
        <v>2.1999999999999999E-2</v>
      </c>
      <c r="D20" s="12">
        <v>244</v>
      </c>
      <c r="E20" s="11">
        <v>1.2999999999999999E-2</v>
      </c>
      <c r="F20" s="10">
        <v>30034</v>
      </c>
      <c r="G20" s="11">
        <v>0.01</v>
      </c>
      <c r="H20" s="11">
        <v>0.126</v>
      </c>
      <c r="I20" s="10">
        <v>30354730</v>
      </c>
      <c r="J20" s="12" t="s">
        <v>1624</v>
      </c>
      <c r="K20" s="10">
        <v>3780</v>
      </c>
      <c r="L20" s="12" t="s">
        <v>1625</v>
      </c>
      <c r="M20" s="10">
        <v>1690919004</v>
      </c>
      <c r="N20" s="10">
        <v>193035</v>
      </c>
      <c r="O20" s="12">
        <v>11</v>
      </c>
    </row>
    <row r="21" spans="1:15" ht="27" x14ac:dyDescent="0.3">
      <c r="A21" s="9">
        <v>43490</v>
      </c>
      <c r="B21" s="12">
        <v>137</v>
      </c>
      <c r="C21" s="11">
        <v>2.1999999999999999E-2</v>
      </c>
      <c r="D21" s="12">
        <v>230</v>
      </c>
      <c r="E21" s="11">
        <v>1.2E-2</v>
      </c>
      <c r="F21" s="10">
        <v>28312</v>
      </c>
      <c r="G21" s="11">
        <v>0.01</v>
      </c>
      <c r="H21" s="11">
        <v>0.13700000000000001</v>
      </c>
      <c r="I21" s="10">
        <v>34142660</v>
      </c>
      <c r="J21" s="12" t="s">
        <v>1626</v>
      </c>
      <c r="K21" s="10">
        <v>3866</v>
      </c>
      <c r="L21" s="12" t="s">
        <v>1627</v>
      </c>
      <c r="M21" s="10">
        <v>1725061664</v>
      </c>
      <c r="N21" s="10">
        <v>196901</v>
      </c>
      <c r="O21" s="12">
        <v>10</v>
      </c>
    </row>
    <row r="22" spans="1:15" ht="27" x14ac:dyDescent="0.3">
      <c r="A22" s="9">
        <v>43491</v>
      </c>
      <c r="B22" s="12">
        <v>129</v>
      </c>
      <c r="C22" s="11">
        <v>0.02</v>
      </c>
      <c r="D22" s="12">
        <v>206</v>
      </c>
      <c r="E22" s="11">
        <v>0.01</v>
      </c>
      <c r="F22" s="10">
        <v>24912</v>
      </c>
      <c r="G22" s="11">
        <v>8.0000000000000002E-3</v>
      </c>
      <c r="H22" s="11">
        <v>0.29199999999999998</v>
      </c>
      <c r="I22" s="10">
        <v>64984000</v>
      </c>
      <c r="J22" s="12" t="s">
        <v>1628</v>
      </c>
      <c r="K22" s="10">
        <v>7285</v>
      </c>
      <c r="L22" s="12" t="s">
        <v>1629</v>
      </c>
      <c r="M22" s="10">
        <v>1790045664</v>
      </c>
      <c r="N22" s="10">
        <v>204186</v>
      </c>
      <c r="O22" s="12">
        <v>10</v>
      </c>
    </row>
    <row r="23" spans="1:15" ht="27" x14ac:dyDescent="0.3">
      <c r="A23" s="9">
        <v>43492</v>
      </c>
      <c r="B23" s="12">
        <v>124</v>
      </c>
      <c r="C23" s="11">
        <v>1.9E-2</v>
      </c>
      <c r="D23" s="12">
        <v>198</v>
      </c>
      <c r="E23" s="11">
        <v>0.01</v>
      </c>
      <c r="F23" s="10">
        <v>24110</v>
      </c>
      <c r="G23" s="11">
        <v>8.0000000000000002E-3</v>
      </c>
      <c r="H23" s="11">
        <v>0.26800000000000002</v>
      </c>
      <c r="I23" s="10">
        <v>58079210</v>
      </c>
      <c r="J23" s="12" t="s">
        <v>1630</v>
      </c>
      <c r="K23" s="10">
        <v>6466</v>
      </c>
      <c r="L23" s="12" t="s">
        <v>1631</v>
      </c>
      <c r="M23" s="10">
        <v>1848124874</v>
      </c>
      <c r="N23" s="10">
        <v>210652</v>
      </c>
      <c r="O23" s="12">
        <v>10</v>
      </c>
    </row>
    <row r="24" spans="1:15" ht="27" x14ac:dyDescent="0.3">
      <c r="A24" s="9">
        <v>43493</v>
      </c>
      <c r="B24" s="12">
        <v>134</v>
      </c>
      <c r="C24" s="11">
        <v>2.3E-2</v>
      </c>
      <c r="D24" s="12">
        <v>216</v>
      </c>
      <c r="E24" s="11">
        <v>1.2E-2</v>
      </c>
      <c r="F24" s="10">
        <v>27410</v>
      </c>
      <c r="G24" s="11">
        <v>0.01</v>
      </c>
      <c r="H24" s="11">
        <v>0.13100000000000001</v>
      </c>
      <c r="I24" s="10">
        <v>28345640</v>
      </c>
      <c r="J24" s="12" t="s">
        <v>1632</v>
      </c>
      <c r="K24" s="10">
        <v>3598</v>
      </c>
      <c r="L24" s="12" t="s">
        <v>1633</v>
      </c>
      <c r="M24" s="10">
        <v>1876470514</v>
      </c>
      <c r="N24" s="10">
        <v>214250</v>
      </c>
      <c r="O24" s="12">
        <v>10</v>
      </c>
    </row>
    <row r="25" spans="1:15" ht="27" x14ac:dyDescent="0.3">
      <c r="A25" s="9">
        <v>43494</v>
      </c>
      <c r="B25" s="12">
        <v>137</v>
      </c>
      <c r="C25" s="11">
        <v>2.1999999999999999E-2</v>
      </c>
      <c r="D25" s="12">
        <v>214</v>
      </c>
      <c r="E25" s="11">
        <v>1.2E-2</v>
      </c>
      <c r="F25" s="10">
        <v>27032</v>
      </c>
      <c r="G25" s="11">
        <v>8.9999999999999993E-3</v>
      </c>
      <c r="H25" s="11">
        <v>0.153</v>
      </c>
      <c r="I25" s="10">
        <v>31653390</v>
      </c>
      <c r="J25" s="12" t="s">
        <v>1634</v>
      </c>
      <c r="K25" s="10">
        <v>4134</v>
      </c>
      <c r="L25" s="12" t="s">
        <v>1635</v>
      </c>
      <c r="M25" s="10">
        <v>1908123904</v>
      </c>
      <c r="N25" s="10">
        <v>218384</v>
      </c>
      <c r="O25" s="12">
        <v>9</v>
      </c>
    </row>
    <row r="26" spans="1:15" ht="27" x14ac:dyDescent="0.3">
      <c r="A26" s="9">
        <v>43495</v>
      </c>
      <c r="B26" s="12">
        <v>58</v>
      </c>
      <c r="C26" s="11">
        <v>1.0999999999999999E-2</v>
      </c>
      <c r="D26" s="12">
        <v>92</v>
      </c>
      <c r="E26" s="11">
        <v>5.0000000000000001E-3</v>
      </c>
      <c r="F26" s="10">
        <v>10995</v>
      </c>
      <c r="G26" s="11">
        <v>4.0000000000000001E-3</v>
      </c>
      <c r="H26" s="11">
        <v>0.29299999999999998</v>
      </c>
      <c r="I26" s="10">
        <v>19370600</v>
      </c>
      <c r="J26" s="12" t="s">
        <v>1636</v>
      </c>
      <c r="K26" s="10">
        <v>3227</v>
      </c>
      <c r="L26" s="12" t="s">
        <v>1637</v>
      </c>
      <c r="M26" s="10">
        <v>1927494504</v>
      </c>
      <c r="N26" s="10">
        <v>221611</v>
      </c>
      <c r="O26" s="12">
        <v>7</v>
      </c>
    </row>
    <row r="27" spans="1:15" ht="27" x14ac:dyDescent="0.3">
      <c r="A27" s="9">
        <v>43496</v>
      </c>
      <c r="B27" s="12">
        <v>60</v>
      </c>
      <c r="C27" s="11">
        <v>1.0999999999999999E-2</v>
      </c>
      <c r="D27" s="12">
        <v>105</v>
      </c>
      <c r="E27" s="11">
        <v>5.0000000000000001E-3</v>
      </c>
      <c r="F27" s="10">
        <v>11932</v>
      </c>
      <c r="G27" s="11">
        <v>4.0000000000000001E-3</v>
      </c>
      <c r="H27" s="11">
        <v>0.18099999999999999</v>
      </c>
      <c r="I27" s="10">
        <v>17177230</v>
      </c>
      <c r="J27" s="12" t="s">
        <v>1638</v>
      </c>
      <c r="K27" s="10">
        <v>2164</v>
      </c>
      <c r="L27" s="12" t="s">
        <v>1639</v>
      </c>
      <c r="M27" s="10">
        <v>1944671734</v>
      </c>
      <c r="N27" s="10">
        <v>223775</v>
      </c>
      <c r="O27" s="12">
        <v>11</v>
      </c>
    </row>
    <row r="28" spans="1:15" ht="27" x14ac:dyDescent="0.3">
      <c r="A28" s="9">
        <v>43497</v>
      </c>
      <c r="B28" s="12">
        <v>89</v>
      </c>
      <c r="C28" s="11">
        <v>1.6E-2</v>
      </c>
      <c r="D28" s="12">
        <v>138</v>
      </c>
      <c r="E28" s="11">
        <v>7.0000000000000001E-3</v>
      </c>
      <c r="F28" s="10">
        <v>16540</v>
      </c>
      <c r="G28" s="11">
        <v>5.0000000000000001E-3</v>
      </c>
      <c r="H28" s="11">
        <v>0.22700000000000001</v>
      </c>
      <c r="I28" s="10">
        <v>33248750</v>
      </c>
      <c r="J28" s="12" t="s">
        <v>1640</v>
      </c>
      <c r="K28" s="10">
        <v>3750</v>
      </c>
      <c r="L28" s="12" t="s">
        <v>1641</v>
      </c>
      <c r="M28" s="10">
        <v>1977920484</v>
      </c>
      <c r="N28" s="10">
        <v>227525</v>
      </c>
      <c r="O28" s="12">
        <v>8</v>
      </c>
    </row>
    <row r="29" spans="1:15" ht="27" x14ac:dyDescent="0.3">
      <c r="A29" s="9">
        <v>43498</v>
      </c>
      <c r="B29" s="12">
        <v>82</v>
      </c>
      <c r="C29" s="11">
        <v>1.4E-2</v>
      </c>
      <c r="D29" s="12">
        <v>134</v>
      </c>
      <c r="E29" s="11">
        <v>6.0000000000000001E-3</v>
      </c>
      <c r="F29" s="10">
        <v>15573</v>
      </c>
      <c r="G29" s="11">
        <v>5.0000000000000001E-3</v>
      </c>
      <c r="H29" s="11">
        <v>0.40400000000000003</v>
      </c>
      <c r="I29" s="10">
        <v>58901900</v>
      </c>
      <c r="J29" s="12" t="s">
        <v>1642</v>
      </c>
      <c r="K29" s="10">
        <v>6293</v>
      </c>
      <c r="L29" s="12" t="s">
        <v>1643</v>
      </c>
      <c r="M29" s="10">
        <v>2036822384</v>
      </c>
      <c r="N29" s="10">
        <v>233818</v>
      </c>
      <c r="O29" s="12">
        <v>7</v>
      </c>
    </row>
    <row r="30" spans="1:15" ht="27" x14ac:dyDescent="0.3">
      <c r="A30" s="9">
        <v>43499</v>
      </c>
      <c r="B30" s="12">
        <v>83</v>
      </c>
      <c r="C30" s="11">
        <v>1.4E-2</v>
      </c>
      <c r="D30" s="12">
        <v>128</v>
      </c>
      <c r="E30" s="11">
        <v>6.0000000000000001E-3</v>
      </c>
      <c r="F30" s="10">
        <v>15418</v>
      </c>
      <c r="G30" s="11">
        <v>5.0000000000000001E-3</v>
      </c>
      <c r="H30" s="11">
        <v>0.42499999999999999</v>
      </c>
      <c r="I30" s="10">
        <v>60429100</v>
      </c>
      <c r="J30" s="12" t="s">
        <v>1644</v>
      </c>
      <c r="K30" s="10">
        <v>6550</v>
      </c>
      <c r="L30" s="12" t="s">
        <v>1645</v>
      </c>
      <c r="M30" s="10">
        <v>2097251484</v>
      </c>
      <c r="N30" s="10">
        <v>240368</v>
      </c>
      <c r="O30" s="12">
        <v>7</v>
      </c>
    </row>
    <row r="31" spans="1:15" ht="27" x14ac:dyDescent="0.3">
      <c r="A31" s="9">
        <v>43500</v>
      </c>
      <c r="B31" s="12">
        <v>86</v>
      </c>
      <c r="C31" s="11">
        <v>1.4999999999999999E-2</v>
      </c>
      <c r="D31" s="12">
        <v>136</v>
      </c>
      <c r="E31" s="11">
        <v>7.0000000000000001E-3</v>
      </c>
      <c r="F31" s="10">
        <v>15884</v>
      </c>
      <c r="G31" s="11">
        <v>5.0000000000000001E-3</v>
      </c>
      <c r="H31" s="11">
        <v>0.43099999999999999</v>
      </c>
      <c r="I31" s="10">
        <v>64105370</v>
      </c>
      <c r="J31" s="12" t="s">
        <v>1646</v>
      </c>
      <c r="K31" s="10">
        <v>6841</v>
      </c>
      <c r="L31" s="12" t="s">
        <v>1647</v>
      </c>
      <c r="M31" s="10">
        <v>2161356854</v>
      </c>
      <c r="N31" s="10">
        <v>247209</v>
      </c>
      <c r="O31" s="12">
        <v>6</v>
      </c>
    </row>
    <row r="32" spans="1:15" ht="27" x14ac:dyDescent="0.3">
      <c r="A32" s="9">
        <v>43501</v>
      </c>
      <c r="B32" s="12">
        <v>80</v>
      </c>
      <c r="C32" s="11">
        <v>1.4E-2</v>
      </c>
      <c r="D32" s="12">
        <v>128</v>
      </c>
      <c r="E32" s="11">
        <v>6.0000000000000001E-3</v>
      </c>
      <c r="F32" s="10">
        <v>15205</v>
      </c>
      <c r="G32" s="11">
        <v>5.0000000000000001E-3</v>
      </c>
      <c r="H32" s="11">
        <v>0.41299999999999998</v>
      </c>
      <c r="I32" s="10">
        <v>58627940</v>
      </c>
      <c r="J32" s="12" t="s">
        <v>1648</v>
      </c>
      <c r="K32" s="10">
        <v>6278</v>
      </c>
      <c r="L32" s="12" t="s">
        <v>1649</v>
      </c>
      <c r="M32" s="10">
        <v>2219984794</v>
      </c>
      <c r="N32" s="10">
        <v>253487</v>
      </c>
      <c r="O32" s="12">
        <v>7</v>
      </c>
    </row>
    <row r="33" spans="1:15" ht="27" x14ac:dyDescent="0.3">
      <c r="A33" s="9">
        <v>43502</v>
      </c>
      <c r="B33" s="12">
        <v>81</v>
      </c>
      <c r="C33" s="11">
        <v>1.2999999999999999E-2</v>
      </c>
      <c r="D33" s="12">
        <v>124</v>
      </c>
      <c r="E33" s="11">
        <v>6.0000000000000001E-3</v>
      </c>
      <c r="F33" s="10">
        <v>14636</v>
      </c>
      <c r="G33" s="11">
        <v>5.0000000000000001E-3</v>
      </c>
      <c r="H33" s="11">
        <v>0.45400000000000001</v>
      </c>
      <c r="I33" s="10">
        <v>60444430</v>
      </c>
      <c r="J33" s="12" t="s">
        <v>1650</v>
      </c>
      <c r="K33" s="10">
        <v>6652</v>
      </c>
      <c r="L33" s="12" t="s">
        <v>1651</v>
      </c>
      <c r="M33" s="10">
        <v>2280429224</v>
      </c>
      <c r="N33" s="10">
        <v>260139</v>
      </c>
      <c r="O33" s="12">
        <v>8</v>
      </c>
    </row>
    <row r="34" spans="1:15" ht="27" x14ac:dyDescent="0.3">
      <c r="A34" s="9">
        <v>43503</v>
      </c>
      <c r="B34" s="12">
        <v>73</v>
      </c>
      <c r="C34" s="11">
        <v>1.2999999999999999E-2</v>
      </c>
      <c r="D34" s="12">
        <v>119</v>
      </c>
      <c r="E34" s="11">
        <v>6.0000000000000001E-3</v>
      </c>
      <c r="F34" s="10">
        <v>14075</v>
      </c>
      <c r="G34" s="11">
        <v>5.0000000000000001E-3</v>
      </c>
      <c r="H34" s="11">
        <v>0.19600000000000001</v>
      </c>
      <c r="I34" s="10">
        <v>22249530</v>
      </c>
      <c r="J34" s="12" t="s">
        <v>1652</v>
      </c>
      <c r="K34" s="10">
        <v>2755</v>
      </c>
      <c r="L34" s="12" t="s">
        <v>1653</v>
      </c>
      <c r="M34" s="10">
        <v>2302678754</v>
      </c>
      <c r="N34" s="10">
        <v>262894</v>
      </c>
      <c r="O34" s="12">
        <v>10</v>
      </c>
    </row>
    <row r="35" spans="1:15" ht="27" x14ac:dyDescent="0.3">
      <c r="A35" s="9">
        <v>43504</v>
      </c>
      <c r="B35" s="12">
        <v>68</v>
      </c>
      <c r="C35" s="11">
        <v>1.2E-2</v>
      </c>
      <c r="D35" s="12">
        <v>120</v>
      </c>
      <c r="E35" s="11">
        <v>6.0000000000000001E-3</v>
      </c>
      <c r="F35" s="10">
        <v>14205</v>
      </c>
      <c r="G35" s="11">
        <v>5.0000000000000001E-3</v>
      </c>
      <c r="H35" s="11">
        <v>0.21099999999999999</v>
      </c>
      <c r="I35" s="10">
        <v>25953270</v>
      </c>
      <c r="J35" s="12" t="s">
        <v>1654</v>
      </c>
      <c r="K35" s="10">
        <v>2995</v>
      </c>
      <c r="L35" s="12" t="s">
        <v>1655</v>
      </c>
      <c r="M35" s="10">
        <v>2328632024</v>
      </c>
      <c r="N35" s="10">
        <v>265889</v>
      </c>
      <c r="O35" s="12">
        <v>11</v>
      </c>
    </row>
    <row r="36" spans="1:15" ht="27" x14ac:dyDescent="0.3">
      <c r="A36" s="9">
        <v>43505</v>
      </c>
      <c r="B36" s="12">
        <v>66</v>
      </c>
      <c r="C36" s="11">
        <v>1.0999999999999999E-2</v>
      </c>
      <c r="D36" s="12">
        <v>120</v>
      </c>
      <c r="E36" s="11">
        <v>6.0000000000000001E-3</v>
      </c>
      <c r="F36" s="10">
        <v>13537</v>
      </c>
      <c r="G36" s="11">
        <v>4.0000000000000001E-3</v>
      </c>
      <c r="H36" s="11">
        <v>0.41299999999999998</v>
      </c>
      <c r="I36" s="10">
        <v>50092860</v>
      </c>
      <c r="J36" s="12" t="s">
        <v>1656</v>
      </c>
      <c r="K36" s="10">
        <v>5592</v>
      </c>
      <c r="L36" s="12" t="s">
        <v>1657</v>
      </c>
      <c r="M36" s="10">
        <v>2378724884</v>
      </c>
      <c r="N36" s="10">
        <v>271481</v>
      </c>
      <c r="O36" s="12">
        <v>9</v>
      </c>
    </row>
    <row r="37" spans="1:15" ht="27" x14ac:dyDescent="0.3">
      <c r="A37" s="9">
        <v>43506</v>
      </c>
      <c r="B37" s="12">
        <v>72</v>
      </c>
      <c r="C37" s="11">
        <v>1.2E-2</v>
      </c>
      <c r="D37" s="12">
        <v>127</v>
      </c>
      <c r="E37" s="11">
        <v>6.0000000000000001E-3</v>
      </c>
      <c r="F37" s="10">
        <v>15128</v>
      </c>
      <c r="G37" s="11">
        <v>5.0000000000000001E-3</v>
      </c>
      <c r="H37" s="11">
        <v>0.39200000000000002</v>
      </c>
      <c r="I37" s="10">
        <v>52451790</v>
      </c>
      <c r="J37" s="12" t="s">
        <v>1658</v>
      </c>
      <c r="K37" s="10">
        <v>5926</v>
      </c>
      <c r="L37" s="12" t="s">
        <v>1659</v>
      </c>
      <c r="M37" s="10">
        <v>2431176674</v>
      </c>
      <c r="N37" s="10">
        <v>277407</v>
      </c>
      <c r="O37" s="12">
        <v>8</v>
      </c>
    </row>
    <row r="38" spans="1:15" ht="27" x14ac:dyDescent="0.3">
      <c r="A38" s="9">
        <v>43507</v>
      </c>
      <c r="B38" s="12">
        <v>63</v>
      </c>
      <c r="C38" s="11">
        <v>1.2E-2</v>
      </c>
      <c r="D38" s="12">
        <v>114</v>
      </c>
      <c r="E38" s="11">
        <v>6.0000000000000001E-3</v>
      </c>
      <c r="F38" s="10">
        <v>13473</v>
      </c>
      <c r="G38" s="11">
        <v>5.0000000000000001E-3</v>
      </c>
      <c r="H38" s="11">
        <v>0.14299999999999999</v>
      </c>
      <c r="I38" s="10">
        <v>15634960</v>
      </c>
      <c r="J38" s="12" t="s">
        <v>1660</v>
      </c>
      <c r="K38" s="10">
        <v>1929</v>
      </c>
      <c r="L38" s="12" t="s">
        <v>1661</v>
      </c>
      <c r="M38" s="10">
        <v>2446811634</v>
      </c>
      <c r="N38" s="10">
        <v>279336</v>
      </c>
      <c r="O38" s="12">
        <v>9</v>
      </c>
    </row>
    <row r="39" spans="1:15" ht="27" x14ac:dyDescent="0.3">
      <c r="A39" s="9">
        <v>43508</v>
      </c>
      <c r="B39" s="12">
        <v>74</v>
      </c>
      <c r="C39" s="11">
        <v>1.2999999999999999E-2</v>
      </c>
      <c r="D39" s="12">
        <v>125</v>
      </c>
      <c r="E39" s="11">
        <v>7.0000000000000001E-3</v>
      </c>
      <c r="F39" s="10">
        <v>15385</v>
      </c>
      <c r="G39" s="11">
        <v>5.0000000000000001E-3</v>
      </c>
      <c r="H39" s="11">
        <v>0.16800000000000001</v>
      </c>
      <c r="I39" s="10">
        <v>20216460</v>
      </c>
      <c r="J39" s="12" t="s">
        <v>1662</v>
      </c>
      <c r="K39" s="10">
        <v>2592</v>
      </c>
      <c r="L39" s="12" t="s">
        <v>1663</v>
      </c>
      <c r="M39" s="10">
        <v>2467028094</v>
      </c>
      <c r="N39" s="10">
        <v>281928</v>
      </c>
      <c r="O39" s="12">
        <v>8</v>
      </c>
    </row>
    <row r="40" spans="1:15" ht="27" x14ac:dyDescent="0.3">
      <c r="A40" s="9">
        <v>43509</v>
      </c>
      <c r="B40" s="12">
        <v>53</v>
      </c>
      <c r="C40" s="11">
        <v>0.01</v>
      </c>
      <c r="D40" s="12">
        <v>90</v>
      </c>
      <c r="E40" s="11">
        <v>5.0000000000000001E-3</v>
      </c>
      <c r="F40" s="10">
        <v>10466</v>
      </c>
      <c r="G40" s="11">
        <v>4.0000000000000001E-3</v>
      </c>
      <c r="H40" s="11">
        <v>0.16900000000000001</v>
      </c>
      <c r="I40" s="10">
        <v>14167050</v>
      </c>
      <c r="J40" s="12" t="s">
        <v>1664</v>
      </c>
      <c r="K40" s="10">
        <v>1767</v>
      </c>
      <c r="L40" s="12" t="s">
        <v>1665</v>
      </c>
      <c r="M40" s="10">
        <v>2481195144</v>
      </c>
      <c r="N40" s="10">
        <v>283695</v>
      </c>
      <c r="O40" s="12">
        <v>10</v>
      </c>
    </row>
    <row r="41" spans="1:15" ht="27" x14ac:dyDescent="0.3">
      <c r="A41" s="9">
        <v>43510</v>
      </c>
      <c r="B41" s="12">
        <v>41</v>
      </c>
      <c r="C41" s="11">
        <v>7.0000000000000001E-3</v>
      </c>
      <c r="D41" s="12">
        <v>76</v>
      </c>
      <c r="E41" s="11">
        <v>4.0000000000000001E-3</v>
      </c>
      <c r="F41" s="10">
        <v>8437</v>
      </c>
      <c r="G41" s="11">
        <v>3.0000000000000001E-3</v>
      </c>
      <c r="H41" s="11">
        <v>0.17499999999999999</v>
      </c>
      <c r="I41" s="10">
        <v>11810150</v>
      </c>
      <c r="J41" s="12" t="s">
        <v>1666</v>
      </c>
      <c r="K41" s="10">
        <v>1479</v>
      </c>
      <c r="L41" s="12" t="s">
        <v>1667</v>
      </c>
      <c r="M41" s="10">
        <v>2493005294</v>
      </c>
      <c r="N41" s="10">
        <v>285174</v>
      </c>
      <c r="O41" s="12">
        <v>15</v>
      </c>
    </row>
    <row r="42" spans="1:15" ht="27" x14ac:dyDescent="0.3">
      <c r="A42" s="9">
        <v>43511</v>
      </c>
      <c r="B42" s="12">
        <v>56</v>
      </c>
      <c r="C42" s="11">
        <v>8.9999999999999993E-3</v>
      </c>
      <c r="D42" s="12">
        <v>90</v>
      </c>
      <c r="E42" s="11">
        <v>5.0000000000000001E-3</v>
      </c>
      <c r="F42" s="10">
        <v>9904</v>
      </c>
      <c r="G42" s="11">
        <v>3.0000000000000001E-3</v>
      </c>
      <c r="H42" s="11">
        <v>0.218</v>
      </c>
      <c r="I42" s="10">
        <v>18764550</v>
      </c>
      <c r="J42" s="12" t="s">
        <v>1668</v>
      </c>
      <c r="K42" s="10">
        <v>2155</v>
      </c>
      <c r="L42" s="12" t="s">
        <v>1669</v>
      </c>
      <c r="M42" s="10">
        <v>2511769844</v>
      </c>
      <c r="N42" s="10">
        <v>287329</v>
      </c>
      <c r="O42" s="12">
        <v>14</v>
      </c>
    </row>
    <row r="43" spans="1:15" ht="27" x14ac:dyDescent="0.3">
      <c r="A43" s="9">
        <v>43512</v>
      </c>
      <c r="B43" s="12">
        <v>46</v>
      </c>
      <c r="C43" s="11">
        <v>7.0000000000000001E-3</v>
      </c>
      <c r="D43" s="12">
        <v>88</v>
      </c>
      <c r="E43" s="11">
        <v>4.0000000000000001E-3</v>
      </c>
      <c r="F43" s="10">
        <v>9878</v>
      </c>
      <c r="G43" s="11">
        <v>3.0000000000000001E-3</v>
      </c>
      <c r="H43" s="11">
        <v>0.35299999999999998</v>
      </c>
      <c r="I43" s="10">
        <v>32631410</v>
      </c>
      <c r="J43" s="12" t="s">
        <v>1670</v>
      </c>
      <c r="K43" s="10">
        <v>3490</v>
      </c>
      <c r="L43" s="12" t="s">
        <v>1671</v>
      </c>
      <c r="M43" s="10">
        <v>2544401254</v>
      </c>
      <c r="N43" s="10">
        <v>290819</v>
      </c>
      <c r="O43" s="12">
        <v>14</v>
      </c>
    </row>
    <row r="44" spans="1:15" ht="27" x14ac:dyDescent="0.3">
      <c r="A44" s="9">
        <v>43513</v>
      </c>
      <c r="B44" s="12">
        <v>57</v>
      </c>
      <c r="C44" s="11">
        <v>8.9999999999999993E-3</v>
      </c>
      <c r="D44" s="12">
        <v>98</v>
      </c>
      <c r="E44" s="11">
        <v>5.0000000000000001E-3</v>
      </c>
      <c r="F44" s="10">
        <v>11541</v>
      </c>
      <c r="G44" s="11">
        <v>4.0000000000000001E-3</v>
      </c>
      <c r="H44" s="11">
        <v>0.34899999999999998</v>
      </c>
      <c r="I44" s="10">
        <v>34814600</v>
      </c>
      <c r="J44" s="12" t="s">
        <v>1672</v>
      </c>
      <c r="K44" s="10">
        <v>4025</v>
      </c>
      <c r="L44" s="12" t="s">
        <v>1673</v>
      </c>
      <c r="M44" s="10">
        <v>2579215854</v>
      </c>
      <c r="N44" s="10">
        <v>294844</v>
      </c>
      <c r="O44" s="12">
        <v>14</v>
      </c>
    </row>
    <row r="45" spans="1:15" ht="27" x14ac:dyDescent="0.3">
      <c r="A45" s="9">
        <v>43514</v>
      </c>
      <c r="B45" s="12">
        <v>44</v>
      </c>
      <c r="C45" s="11">
        <v>7.0000000000000001E-3</v>
      </c>
      <c r="D45" s="12">
        <v>87</v>
      </c>
      <c r="E45" s="11">
        <v>5.0000000000000001E-3</v>
      </c>
      <c r="F45" s="10">
        <v>10183</v>
      </c>
      <c r="G45" s="11">
        <v>4.0000000000000001E-3</v>
      </c>
      <c r="H45" s="11">
        <v>0.13500000000000001</v>
      </c>
      <c r="I45" s="10">
        <v>11002500</v>
      </c>
      <c r="J45" s="12" t="s">
        <v>1674</v>
      </c>
      <c r="K45" s="10">
        <v>1372</v>
      </c>
      <c r="L45" s="12" t="s">
        <v>1675</v>
      </c>
      <c r="M45" s="10">
        <v>2590218354</v>
      </c>
      <c r="N45" s="10">
        <v>296216</v>
      </c>
      <c r="O45" s="12">
        <v>16</v>
      </c>
    </row>
    <row r="46" spans="1:15" ht="27" x14ac:dyDescent="0.3">
      <c r="A46" s="9">
        <v>43515</v>
      </c>
      <c r="B46" s="12">
        <v>52</v>
      </c>
      <c r="C46" s="11">
        <v>8.0000000000000002E-3</v>
      </c>
      <c r="D46" s="12">
        <v>101</v>
      </c>
      <c r="E46" s="11">
        <v>5.0000000000000001E-3</v>
      </c>
      <c r="F46" s="10">
        <v>12106</v>
      </c>
      <c r="G46" s="11">
        <v>4.0000000000000001E-3</v>
      </c>
      <c r="H46" s="11">
        <v>0.14899999999999999</v>
      </c>
      <c r="I46" s="10">
        <v>14492800</v>
      </c>
      <c r="J46" s="12" t="s">
        <v>1676</v>
      </c>
      <c r="K46" s="10">
        <v>1806</v>
      </c>
      <c r="L46" s="12" t="s">
        <v>1677</v>
      </c>
      <c r="M46" s="10">
        <v>2604711154</v>
      </c>
      <c r="N46" s="10">
        <v>298022</v>
      </c>
      <c r="O46" s="12">
        <v>15</v>
      </c>
    </row>
    <row r="47" spans="1:15" ht="27" x14ac:dyDescent="0.3">
      <c r="A47" s="9">
        <v>43516</v>
      </c>
      <c r="B47" s="12">
        <v>44</v>
      </c>
      <c r="C47" s="11">
        <v>7.0000000000000001E-3</v>
      </c>
      <c r="D47" s="12">
        <v>84</v>
      </c>
      <c r="E47" s="11">
        <v>5.0000000000000001E-3</v>
      </c>
      <c r="F47" s="10">
        <v>9707</v>
      </c>
      <c r="G47" s="11">
        <v>3.0000000000000001E-3</v>
      </c>
      <c r="H47" s="11">
        <v>0.14799999999999999</v>
      </c>
      <c r="I47" s="10">
        <v>11330380</v>
      </c>
      <c r="J47" s="12" t="s">
        <v>1678</v>
      </c>
      <c r="K47" s="10">
        <v>1435</v>
      </c>
      <c r="L47" s="12" t="s">
        <v>1679</v>
      </c>
      <c r="M47" s="10">
        <v>2616041534</v>
      </c>
      <c r="N47" s="10">
        <v>299457</v>
      </c>
      <c r="O47" s="12">
        <v>16</v>
      </c>
    </row>
    <row r="48" spans="1:15" ht="27" x14ac:dyDescent="0.3">
      <c r="A48" s="9">
        <v>43517</v>
      </c>
      <c r="B48" s="12">
        <v>35</v>
      </c>
      <c r="C48" s="11">
        <v>5.0000000000000001E-3</v>
      </c>
      <c r="D48" s="12">
        <v>43</v>
      </c>
      <c r="E48" s="11">
        <v>2E-3</v>
      </c>
      <c r="F48" s="10">
        <v>4558</v>
      </c>
      <c r="G48" s="11">
        <v>2E-3</v>
      </c>
      <c r="H48" s="11">
        <v>0.19</v>
      </c>
      <c r="I48" s="10">
        <v>6791850</v>
      </c>
      <c r="J48" s="12" t="s">
        <v>1680</v>
      </c>
      <c r="K48" s="12">
        <v>867</v>
      </c>
      <c r="L48" s="12" t="s">
        <v>1681</v>
      </c>
      <c r="M48" s="10">
        <v>2622833384</v>
      </c>
      <c r="N48" s="10">
        <v>300324</v>
      </c>
      <c r="O48" s="12">
        <v>22</v>
      </c>
    </row>
    <row r="49" spans="1:15" ht="27" x14ac:dyDescent="0.3">
      <c r="A49" s="9">
        <v>43518</v>
      </c>
      <c r="B49" s="12">
        <v>38</v>
      </c>
      <c r="C49" s="11">
        <v>6.0000000000000001E-3</v>
      </c>
      <c r="D49" s="12">
        <v>46</v>
      </c>
      <c r="E49" s="11">
        <v>2E-3</v>
      </c>
      <c r="F49" s="10">
        <v>5180</v>
      </c>
      <c r="G49" s="11">
        <v>2E-3</v>
      </c>
      <c r="H49" s="11">
        <v>0.20100000000000001</v>
      </c>
      <c r="I49" s="10">
        <v>8679700</v>
      </c>
      <c r="J49" s="12" t="s">
        <v>1682</v>
      </c>
      <c r="K49" s="10">
        <v>1041</v>
      </c>
      <c r="L49" s="12" t="s">
        <v>1683</v>
      </c>
      <c r="M49" s="10">
        <v>2631513084</v>
      </c>
      <c r="N49" s="10">
        <v>301365</v>
      </c>
      <c r="O49" s="12">
        <v>20</v>
      </c>
    </row>
    <row r="50" spans="1:15" ht="27" x14ac:dyDescent="0.3">
      <c r="A50" s="9">
        <v>43519</v>
      </c>
      <c r="B50" s="12">
        <v>40</v>
      </c>
      <c r="C50" s="11">
        <v>6.0000000000000001E-3</v>
      </c>
      <c r="D50" s="12">
        <v>50</v>
      </c>
      <c r="E50" s="11">
        <v>3.0000000000000001E-3</v>
      </c>
      <c r="F50" s="10">
        <v>4894</v>
      </c>
      <c r="G50" s="11">
        <v>2E-3</v>
      </c>
      <c r="H50" s="11">
        <v>0.442</v>
      </c>
      <c r="I50" s="10">
        <v>19372280</v>
      </c>
      <c r="J50" s="12" t="s">
        <v>1684</v>
      </c>
      <c r="K50" s="10">
        <v>2164</v>
      </c>
      <c r="L50" s="12" t="s">
        <v>1685</v>
      </c>
      <c r="M50" s="10">
        <v>2650885364</v>
      </c>
      <c r="N50" s="10">
        <v>303529</v>
      </c>
      <c r="O50" s="12">
        <v>18</v>
      </c>
    </row>
    <row r="51" spans="1:15" ht="27" x14ac:dyDescent="0.3">
      <c r="A51" s="9">
        <v>43520</v>
      </c>
      <c r="B51" s="12">
        <v>43</v>
      </c>
      <c r="C51" s="11">
        <v>6.0000000000000001E-3</v>
      </c>
      <c r="D51" s="12">
        <v>53</v>
      </c>
      <c r="E51" s="11">
        <v>3.0000000000000001E-3</v>
      </c>
      <c r="F51" s="10">
        <v>5153</v>
      </c>
      <c r="G51" s="11">
        <v>2E-3</v>
      </c>
      <c r="H51" s="11">
        <v>0.38200000000000001</v>
      </c>
      <c r="I51" s="10">
        <v>17118030</v>
      </c>
      <c r="J51" s="12" t="s">
        <v>1686</v>
      </c>
      <c r="K51" s="10">
        <v>1970</v>
      </c>
      <c r="L51" s="12" t="s">
        <v>1687</v>
      </c>
      <c r="M51" s="10">
        <v>2668003394</v>
      </c>
      <c r="N51" s="10">
        <v>305499</v>
      </c>
      <c r="O51" s="12">
        <v>18</v>
      </c>
    </row>
    <row r="52" spans="1:15" ht="27" x14ac:dyDescent="0.3">
      <c r="A52" s="9">
        <v>43521</v>
      </c>
      <c r="B52" s="12">
        <v>28</v>
      </c>
      <c r="C52" s="11">
        <v>4.0000000000000001E-3</v>
      </c>
      <c r="D52" s="12">
        <v>38</v>
      </c>
      <c r="E52" s="11">
        <v>2E-3</v>
      </c>
      <c r="F52" s="10">
        <v>4168</v>
      </c>
      <c r="G52" s="11">
        <v>1E-3</v>
      </c>
      <c r="H52" s="11">
        <v>0.23699999999999999</v>
      </c>
      <c r="I52" s="10">
        <v>7932390</v>
      </c>
      <c r="J52" s="12" t="s">
        <v>1688</v>
      </c>
      <c r="K52" s="12">
        <v>987</v>
      </c>
      <c r="L52" s="12" t="s">
        <v>1689</v>
      </c>
      <c r="M52" s="10">
        <v>2675935784</v>
      </c>
      <c r="N52" s="10">
        <v>306486</v>
      </c>
      <c r="O52" s="12">
        <v>20</v>
      </c>
    </row>
    <row r="53" spans="1:15" ht="27" x14ac:dyDescent="0.3">
      <c r="A53" s="9">
        <v>43522</v>
      </c>
      <c r="B53" s="12">
        <v>36</v>
      </c>
      <c r="C53" s="11">
        <v>6.0000000000000001E-3</v>
      </c>
      <c r="D53" s="12">
        <v>51</v>
      </c>
      <c r="E53" s="11">
        <v>3.0000000000000001E-3</v>
      </c>
      <c r="F53" s="10">
        <v>6331</v>
      </c>
      <c r="G53" s="11">
        <v>2E-3</v>
      </c>
      <c r="H53" s="11">
        <v>0.35299999999999998</v>
      </c>
      <c r="I53" s="10">
        <v>16256490</v>
      </c>
      <c r="J53" s="12" t="s">
        <v>1690</v>
      </c>
      <c r="K53" s="10">
        <v>2233</v>
      </c>
      <c r="L53" s="12" t="s">
        <v>1691</v>
      </c>
      <c r="M53" s="10">
        <v>2692192274</v>
      </c>
      <c r="N53" s="10">
        <v>308719</v>
      </c>
      <c r="O53" s="12">
        <v>15</v>
      </c>
    </row>
    <row r="54" spans="1:15" ht="27" x14ac:dyDescent="0.3">
      <c r="A54" s="9">
        <v>43523</v>
      </c>
      <c r="B54" s="12">
        <v>45</v>
      </c>
      <c r="C54" s="11">
        <v>7.0000000000000001E-3</v>
      </c>
      <c r="D54" s="12">
        <v>54</v>
      </c>
      <c r="E54" s="11">
        <v>3.0000000000000001E-3</v>
      </c>
      <c r="F54" s="10">
        <v>5930</v>
      </c>
      <c r="G54" s="11">
        <v>2E-3</v>
      </c>
      <c r="H54" s="11">
        <v>0.41799999999999998</v>
      </c>
      <c r="I54" s="10">
        <v>15406800</v>
      </c>
      <c r="J54" s="12" t="s">
        <v>1692</v>
      </c>
      <c r="K54" s="10">
        <v>2478</v>
      </c>
      <c r="L54" s="12" t="s">
        <v>1693</v>
      </c>
      <c r="M54" s="10">
        <v>2707599074</v>
      </c>
      <c r="N54" s="10">
        <v>311197</v>
      </c>
      <c r="O54" s="12">
        <v>15</v>
      </c>
    </row>
    <row r="55" spans="1:15" ht="27" x14ac:dyDescent="0.3">
      <c r="A55" s="9">
        <v>43524</v>
      </c>
      <c r="B55" s="12">
        <v>54</v>
      </c>
      <c r="C55" s="11">
        <v>8.0000000000000002E-3</v>
      </c>
      <c r="D55" s="12">
        <v>77</v>
      </c>
      <c r="E55" s="11">
        <v>4.0000000000000001E-3</v>
      </c>
      <c r="F55" s="10">
        <v>8758</v>
      </c>
      <c r="G55" s="11">
        <v>3.0000000000000001E-3</v>
      </c>
      <c r="H55" s="11">
        <v>0.40200000000000002</v>
      </c>
      <c r="I55" s="10">
        <v>27485350</v>
      </c>
      <c r="J55" s="12" t="s">
        <v>1694</v>
      </c>
      <c r="K55" s="10">
        <v>3522</v>
      </c>
      <c r="L55" s="12" t="s">
        <v>1695</v>
      </c>
      <c r="M55" s="10">
        <v>2735084424</v>
      </c>
      <c r="N55" s="10">
        <v>314719</v>
      </c>
      <c r="O55" s="12">
        <v>15</v>
      </c>
    </row>
    <row r="56" spans="1:15" ht="27" x14ac:dyDescent="0.3">
      <c r="A56" s="9">
        <v>43525</v>
      </c>
      <c r="B56" s="12">
        <v>131</v>
      </c>
      <c r="C56" s="11">
        <v>1.7999999999999999E-2</v>
      </c>
      <c r="D56" s="12">
        <v>185</v>
      </c>
      <c r="E56" s="11">
        <v>8.9999999999999993E-3</v>
      </c>
      <c r="F56" s="10">
        <v>23289</v>
      </c>
      <c r="G56" s="11">
        <v>7.0000000000000001E-3</v>
      </c>
      <c r="H56" s="11">
        <v>0.442</v>
      </c>
      <c r="I56" s="10">
        <v>90883113</v>
      </c>
      <c r="J56" s="12" t="s">
        <v>1696</v>
      </c>
      <c r="K56" s="10">
        <v>10302</v>
      </c>
      <c r="L56" s="12" t="s">
        <v>1697</v>
      </c>
      <c r="M56" s="10">
        <v>2825967537</v>
      </c>
      <c r="N56" s="10">
        <v>325021</v>
      </c>
      <c r="O56" s="12">
        <v>11</v>
      </c>
    </row>
    <row r="57" spans="1:15" ht="27" x14ac:dyDescent="0.3">
      <c r="A57" s="9">
        <v>43526</v>
      </c>
      <c r="B57" s="12">
        <v>147</v>
      </c>
      <c r="C57" s="11">
        <v>0.02</v>
      </c>
      <c r="D57" s="12">
        <v>204</v>
      </c>
      <c r="E57" s="11">
        <v>0.01</v>
      </c>
      <c r="F57" s="10">
        <v>26926</v>
      </c>
      <c r="G57" s="11">
        <v>8.9999999999999993E-3</v>
      </c>
      <c r="H57" s="11">
        <v>0.38900000000000001</v>
      </c>
      <c r="I57" s="10">
        <v>93878724</v>
      </c>
      <c r="J57" s="12" t="s">
        <v>1698</v>
      </c>
      <c r="K57" s="10">
        <v>10469</v>
      </c>
      <c r="L57" s="12" t="s">
        <v>1699</v>
      </c>
      <c r="M57" s="10">
        <v>2919846261</v>
      </c>
      <c r="N57" s="10">
        <v>335490</v>
      </c>
      <c r="O57" s="12">
        <v>9</v>
      </c>
    </row>
    <row r="58" spans="1:15" ht="27" x14ac:dyDescent="0.3">
      <c r="A58" s="9">
        <v>43527</v>
      </c>
      <c r="B58" s="12">
        <v>148</v>
      </c>
      <c r="C58" s="11">
        <v>0.02</v>
      </c>
      <c r="D58" s="12">
        <v>207</v>
      </c>
      <c r="E58" s="11">
        <v>1.0999999999999999E-2</v>
      </c>
      <c r="F58" s="10">
        <v>27958</v>
      </c>
      <c r="G58" s="11">
        <v>8.9999999999999993E-3</v>
      </c>
      <c r="H58" s="11">
        <v>0.29099999999999998</v>
      </c>
      <c r="I58" s="10">
        <v>71960810</v>
      </c>
      <c r="J58" s="12" t="s">
        <v>1700</v>
      </c>
      <c r="K58" s="10">
        <v>8146</v>
      </c>
      <c r="L58" s="12" t="s">
        <v>1701</v>
      </c>
      <c r="M58" s="10">
        <v>2991807071</v>
      </c>
      <c r="N58" s="10">
        <v>343636</v>
      </c>
      <c r="O58" s="12">
        <v>9</v>
      </c>
    </row>
    <row r="59" spans="1:15" ht="27" x14ac:dyDescent="0.3">
      <c r="A59" s="9">
        <v>43528</v>
      </c>
      <c r="B59" s="12">
        <v>129</v>
      </c>
      <c r="C59" s="11">
        <v>2.1999999999999999E-2</v>
      </c>
      <c r="D59" s="12">
        <v>203</v>
      </c>
      <c r="E59" s="11">
        <v>1.2E-2</v>
      </c>
      <c r="F59" s="10">
        <v>27968</v>
      </c>
      <c r="G59" s="11">
        <v>0.01</v>
      </c>
      <c r="H59" s="11">
        <v>0.11600000000000001</v>
      </c>
      <c r="I59" s="10">
        <v>25886200</v>
      </c>
      <c r="J59" s="12" t="s">
        <v>1702</v>
      </c>
      <c r="K59" s="10">
        <v>3254</v>
      </c>
      <c r="L59" s="12" t="s">
        <v>1703</v>
      </c>
      <c r="M59" s="10">
        <v>3017693271</v>
      </c>
      <c r="N59" s="10">
        <v>346890</v>
      </c>
      <c r="O59" s="12">
        <v>7</v>
      </c>
    </row>
    <row r="60" spans="1:15" ht="27" x14ac:dyDescent="0.3">
      <c r="A60" s="9">
        <v>43529</v>
      </c>
      <c r="B60" s="12">
        <v>145</v>
      </c>
      <c r="C60" s="11">
        <v>2.5000000000000001E-2</v>
      </c>
      <c r="D60" s="12">
        <v>225</v>
      </c>
      <c r="E60" s="11">
        <v>1.2999999999999999E-2</v>
      </c>
      <c r="F60" s="10">
        <v>31084</v>
      </c>
      <c r="G60" s="11">
        <v>1.2E-2</v>
      </c>
      <c r="H60" s="11">
        <v>0.128</v>
      </c>
      <c r="I60" s="10">
        <v>30496440</v>
      </c>
      <c r="J60" s="12" t="s">
        <v>1704</v>
      </c>
      <c r="K60" s="10">
        <v>3965</v>
      </c>
      <c r="L60" s="12" t="s">
        <v>1705</v>
      </c>
      <c r="M60" s="10">
        <v>3048189711</v>
      </c>
      <c r="N60" s="10">
        <v>350855</v>
      </c>
      <c r="O60" s="12">
        <v>7</v>
      </c>
    </row>
    <row r="61" spans="1:15" ht="27" x14ac:dyDescent="0.3">
      <c r="A61" s="9">
        <v>43530</v>
      </c>
      <c r="B61" s="12">
        <v>87</v>
      </c>
      <c r="C61" s="11">
        <v>1.7000000000000001E-2</v>
      </c>
      <c r="D61" s="12">
        <v>123</v>
      </c>
      <c r="E61" s="11">
        <v>7.0000000000000001E-3</v>
      </c>
      <c r="F61" s="10">
        <v>15555</v>
      </c>
      <c r="G61" s="11">
        <v>5.0000000000000001E-3</v>
      </c>
      <c r="H61" s="11">
        <v>0.13700000000000001</v>
      </c>
      <c r="I61" s="10">
        <v>16792350</v>
      </c>
      <c r="J61" s="12" t="s">
        <v>1706</v>
      </c>
      <c r="K61" s="10">
        <v>2138</v>
      </c>
      <c r="L61" s="12" t="s">
        <v>1707</v>
      </c>
      <c r="M61" s="10">
        <v>3064982061</v>
      </c>
      <c r="N61" s="10">
        <v>352993</v>
      </c>
      <c r="O61" s="12">
        <v>8</v>
      </c>
    </row>
    <row r="62" spans="1:15" ht="27" x14ac:dyDescent="0.3">
      <c r="A62" s="9">
        <v>43531</v>
      </c>
      <c r="B62" s="12">
        <v>85</v>
      </c>
      <c r="C62" s="11">
        <v>1.6E-2</v>
      </c>
      <c r="D62" s="12">
        <v>131</v>
      </c>
      <c r="E62" s="11">
        <v>7.0000000000000001E-3</v>
      </c>
      <c r="F62" s="10">
        <v>16886</v>
      </c>
      <c r="G62" s="11">
        <v>6.0000000000000001E-3</v>
      </c>
      <c r="H62" s="11">
        <v>0.157</v>
      </c>
      <c r="I62" s="10">
        <v>18520030</v>
      </c>
      <c r="J62" s="12" t="s">
        <v>1708</v>
      </c>
      <c r="K62" s="10">
        <v>2643</v>
      </c>
      <c r="L62" s="12" t="s">
        <v>1709</v>
      </c>
      <c r="M62" s="10">
        <v>3083502091</v>
      </c>
      <c r="N62" s="10">
        <v>355636</v>
      </c>
      <c r="O62" s="12">
        <v>7</v>
      </c>
    </row>
    <row r="63" spans="1:15" ht="27" x14ac:dyDescent="0.3">
      <c r="A63" s="9">
        <v>43532</v>
      </c>
      <c r="B63" s="12">
        <v>91</v>
      </c>
      <c r="C63" s="11">
        <v>1.7000000000000001E-2</v>
      </c>
      <c r="D63" s="12">
        <v>136</v>
      </c>
      <c r="E63" s="11">
        <v>7.0000000000000001E-3</v>
      </c>
      <c r="F63" s="10">
        <v>16929</v>
      </c>
      <c r="G63" s="11">
        <v>6.0000000000000001E-3</v>
      </c>
      <c r="H63" s="11">
        <v>0.183</v>
      </c>
      <c r="I63" s="10">
        <v>23133960</v>
      </c>
      <c r="J63" s="12" t="s">
        <v>1710</v>
      </c>
      <c r="K63" s="10">
        <v>3098</v>
      </c>
      <c r="L63" s="12" t="s">
        <v>1711</v>
      </c>
      <c r="M63" s="10">
        <v>3106636051</v>
      </c>
      <c r="N63" s="10">
        <v>358734</v>
      </c>
      <c r="O63" s="12">
        <v>7</v>
      </c>
    </row>
    <row r="64" spans="1:15" ht="27" x14ac:dyDescent="0.3">
      <c r="A64" s="9">
        <v>43533</v>
      </c>
      <c r="B64" s="12">
        <v>121</v>
      </c>
      <c r="C64" s="11">
        <v>2.1000000000000001E-2</v>
      </c>
      <c r="D64" s="12">
        <v>177</v>
      </c>
      <c r="E64" s="11">
        <v>8.9999999999999993E-3</v>
      </c>
      <c r="F64" s="10">
        <v>22394</v>
      </c>
      <c r="G64" s="11">
        <v>7.0000000000000001E-3</v>
      </c>
      <c r="H64" s="11">
        <v>0.32600000000000001</v>
      </c>
      <c r="I64" s="10">
        <v>53903360</v>
      </c>
      <c r="J64" s="12" t="s">
        <v>1712</v>
      </c>
      <c r="K64" s="10">
        <v>7293</v>
      </c>
      <c r="L64" s="12" t="s">
        <v>1713</v>
      </c>
      <c r="M64" s="10">
        <v>3160539411</v>
      </c>
      <c r="N64" s="10">
        <v>366027</v>
      </c>
      <c r="O64" s="12">
        <v>6</v>
      </c>
    </row>
    <row r="65" spans="1:15" ht="27" x14ac:dyDescent="0.3">
      <c r="A65" s="9">
        <v>43534</v>
      </c>
      <c r="B65" s="12">
        <v>114</v>
      </c>
      <c r="C65" s="11">
        <v>0.02</v>
      </c>
      <c r="D65" s="12">
        <v>162</v>
      </c>
      <c r="E65" s="11">
        <v>8.9999999999999993E-3</v>
      </c>
      <c r="F65" s="10">
        <v>20549</v>
      </c>
      <c r="G65" s="11">
        <v>7.0000000000000001E-3</v>
      </c>
      <c r="H65" s="11">
        <v>0.30499999999999999</v>
      </c>
      <c r="I65" s="10">
        <v>45877870</v>
      </c>
      <c r="J65" s="12" t="s">
        <v>1714</v>
      </c>
      <c r="K65" s="10">
        <v>6266</v>
      </c>
      <c r="L65" s="12" t="s">
        <v>1715</v>
      </c>
      <c r="M65" s="10">
        <v>3206417281</v>
      </c>
      <c r="N65" s="10">
        <v>372293</v>
      </c>
      <c r="O65" s="12">
        <v>7</v>
      </c>
    </row>
    <row r="66" spans="1:15" ht="27" x14ac:dyDescent="0.3">
      <c r="A66" s="9">
        <v>43535</v>
      </c>
      <c r="B66" s="12">
        <v>114</v>
      </c>
      <c r="C66" s="11">
        <v>2.3E-2</v>
      </c>
      <c r="D66" s="12">
        <v>183</v>
      </c>
      <c r="E66" s="11">
        <v>1.0999999999999999E-2</v>
      </c>
      <c r="F66" s="10">
        <v>24097</v>
      </c>
      <c r="G66" s="11">
        <v>8.9999999999999993E-3</v>
      </c>
      <c r="H66" s="11">
        <v>0.115</v>
      </c>
      <c r="I66" s="10">
        <v>18772740</v>
      </c>
      <c r="J66" s="12" t="s">
        <v>1716</v>
      </c>
      <c r="K66" s="10">
        <v>2761</v>
      </c>
      <c r="L66" s="12" t="s">
        <v>1717</v>
      </c>
      <c r="M66" s="10">
        <v>3225190021</v>
      </c>
      <c r="N66" s="10">
        <v>375054</v>
      </c>
      <c r="O66" s="12">
        <v>6</v>
      </c>
    </row>
    <row r="67" spans="1:15" ht="27" x14ac:dyDescent="0.3">
      <c r="A67" s="9">
        <v>43536</v>
      </c>
      <c r="B67" s="12">
        <v>119</v>
      </c>
      <c r="C67" s="11">
        <v>2.3E-2</v>
      </c>
      <c r="D67" s="12">
        <v>177</v>
      </c>
      <c r="E67" s="11">
        <v>0.01</v>
      </c>
      <c r="F67" s="10">
        <v>23755</v>
      </c>
      <c r="G67" s="11">
        <v>8.9999999999999993E-3</v>
      </c>
      <c r="H67" s="11">
        <v>0.115</v>
      </c>
      <c r="I67" s="10">
        <v>18380860</v>
      </c>
      <c r="J67" s="12" t="s">
        <v>1718</v>
      </c>
      <c r="K67" s="10">
        <v>2725</v>
      </c>
      <c r="L67" s="12" t="s">
        <v>1719</v>
      </c>
      <c r="M67" s="10">
        <v>3243570881</v>
      </c>
      <c r="N67" s="10">
        <v>377779</v>
      </c>
      <c r="O67" s="12">
        <v>8</v>
      </c>
    </row>
    <row r="68" spans="1:15" ht="27" x14ac:dyDescent="0.3">
      <c r="A68" s="9">
        <v>43537</v>
      </c>
      <c r="B68" s="12">
        <v>130</v>
      </c>
      <c r="C68" s="11">
        <v>2.3E-2</v>
      </c>
      <c r="D68" s="12">
        <v>193</v>
      </c>
      <c r="E68" s="11">
        <v>1.0999999999999999E-2</v>
      </c>
      <c r="F68" s="10">
        <v>26038</v>
      </c>
      <c r="G68" s="11">
        <v>0.01</v>
      </c>
      <c r="H68" s="11">
        <v>0.124</v>
      </c>
      <c r="I68" s="10">
        <v>21904330</v>
      </c>
      <c r="J68" s="12" t="s">
        <v>1720</v>
      </c>
      <c r="K68" s="10">
        <v>3232</v>
      </c>
      <c r="L68" s="12" t="s">
        <v>1721</v>
      </c>
      <c r="M68" s="10">
        <v>3265475211</v>
      </c>
      <c r="N68" s="10">
        <v>381011</v>
      </c>
      <c r="O68" s="12">
        <v>7</v>
      </c>
    </row>
    <row r="69" spans="1:15" ht="27" x14ac:dyDescent="0.3">
      <c r="A69" s="9">
        <v>43538</v>
      </c>
      <c r="B69" s="12">
        <v>78</v>
      </c>
      <c r="C69" s="11">
        <v>1.4E-2</v>
      </c>
      <c r="D69" s="12">
        <v>120</v>
      </c>
      <c r="E69" s="11">
        <v>7.0000000000000001E-3</v>
      </c>
      <c r="F69" s="10">
        <v>15604</v>
      </c>
      <c r="G69" s="11">
        <v>6.0000000000000001E-3</v>
      </c>
      <c r="H69" s="11">
        <v>0.107</v>
      </c>
      <c r="I69" s="10">
        <v>11927760</v>
      </c>
      <c r="J69" s="12" t="s">
        <v>1722</v>
      </c>
      <c r="K69" s="10">
        <v>1673</v>
      </c>
      <c r="L69" s="12" t="s">
        <v>1723</v>
      </c>
      <c r="M69" s="10">
        <v>3277402971</v>
      </c>
      <c r="N69" s="10">
        <v>382684</v>
      </c>
      <c r="O69" s="12">
        <v>11</v>
      </c>
    </row>
    <row r="70" spans="1:15" ht="27" x14ac:dyDescent="0.3">
      <c r="A70" s="9">
        <v>43539</v>
      </c>
      <c r="B70" s="12">
        <v>82</v>
      </c>
      <c r="C70" s="11">
        <v>1.4999999999999999E-2</v>
      </c>
      <c r="D70" s="12">
        <v>135</v>
      </c>
      <c r="E70" s="11">
        <v>7.0000000000000001E-3</v>
      </c>
      <c r="F70" s="10">
        <v>17206</v>
      </c>
      <c r="G70" s="11">
        <v>6.0000000000000001E-3</v>
      </c>
      <c r="H70" s="11">
        <v>0.13600000000000001</v>
      </c>
      <c r="I70" s="10">
        <v>17130850</v>
      </c>
      <c r="J70" s="12" t="s">
        <v>1724</v>
      </c>
      <c r="K70" s="10">
        <v>2344</v>
      </c>
      <c r="L70" s="12" t="s">
        <v>1725</v>
      </c>
      <c r="M70" s="10">
        <v>3294533821</v>
      </c>
      <c r="N70" s="10">
        <v>385028</v>
      </c>
      <c r="O70" s="12">
        <v>10</v>
      </c>
    </row>
    <row r="71" spans="1:15" ht="27" x14ac:dyDescent="0.3">
      <c r="A71" s="9">
        <v>43540</v>
      </c>
      <c r="B71" s="12">
        <v>84</v>
      </c>
      <c r="C71" s="11">
        <v>1.2999999999999999E-2</v>
      </c>
      <c r="D71" s="12">
        <v>133</v>
      </c>
      <c r="E71" s="11">
        <v>7.0000000000000001E-3</v>
      </c>
      <c r="F71" s="10">
        <v>16543</v>
      </c>
      <c r="G71" s="11">
        <v>5.0000000000000001E-3</v>
      </c>
      <c r="H71" s="11">
        <v>0.311</v>
      </c>
      <c r="I71" s="10">
        <v>38804470</v>
      </c>
      <c r="J71" s="12" t="s">
        <v>1726</v>
      </c>
      <c r="K71" s="10">
        <v>5137</v>
      </c>
      <c r="L71" s="12" t="s">
        <v>1727</v>
      </c>
      <c r="M71" s="10">
        <v>3333338291</v>
      </c>
      <c r="N71" s="10">
        <v>390165</v>
      </c>
      <c r="O71" s="12">
        <v>10</v>
      </c>
    </row>
    <row r="72" spans="1:15" ht="27" x14ac:dyDescent="0.3">
      <c r="A72" s="9">
        <v>43541</v>
      </c>
      <c r="B72" s="12">
        <v>81</v>
      </c>
      <c r="C72" s="11">
        <v>1.2E-2</v>
      </c>
      <c r="D72" s="12">
        <v>130</v>
      </c>
      <c r="E72" s="11">
        <v>7.0000000000000001E-3</v>
      </c>
      <c r="F72" s="10">
        <v>16322</v>
      </c>
      <c r="G72" s="11">
        <v>6.0000000000000001E-3</v>
      </c>
      <c r="H72" s="11">
        <v>0.25800000000000001</v>
      </c>
      <c r="I72" s="10">
        <v>31341330</v>
      </c>
      <c r="J72" s="12" t="s">
        <v>1728</v>
      </c>
      <c r="K72" s="10">
        <v>4215</v>
      </c>
      <c r="L72" s="12" t="s">
        <v>1729</v>
      </c>
      <c r="M72" s="10">
        <v>3364679621</v>
      </c>
      <c r="N72" s="10">
        <v>394380</v>
      </c>
      <c r="O72" s="12">
        <v>10</v>
      </c>
    </row>
    <row r="73" spans="1:15" ht="27" x14ac:dyDescent="0.3">
      <c r="A73" s="9">
        <v>43542</v>
      </c>
      <c r="B73" s="12">
        <v>73</v>
      </c>
      <c r="C73" s="11">
        <v>1.4E-2</v>
      </c>
      <c r="D73" s="12">
        <v>146</v>
      </c>
      <c r="E73" s="11">
        <v>8.9999999999999993E-3</v>
      </c>
      <c r="F73" s="10">
        <v>18730</v>
      </c>
      <c r="G73" s="11">
        <v>7.0000000000000001E-3</v>
      </c>
      <c r="H73" s="11">
        <v>0.111</v>
      </c>
      <c r="I73" s="10">
        <v>14574860</v>
      </c>
      <c r="J73" s="12" t="s">
        <v>1730</v>
      </c>
      <c r="K73" s="10">
        <v>2074</v>
      </c>
      <c r="L73" s="12" t="s">
        <v>1731</v>
      </c>
      <c r="M73" s="10">
        <v>3379254481</v>
      </c>
      <c r="N73" s="10">
        <v>396454</v>
      </c>
      <c r="O73" s="12">
        <v>10</v>
      </c>
    </row>
    <row r="74" spans="1:15" ht="27" x14ac:dyDescent="0.3">
      <c r="A74" s="9">
        <v>43543</v>
      </c>
      <c r="B74" s="12">
        <v>81</v>
      </c>
      <c r="C74" s="11">
        <v>1.4999999999999999E-2</v>
      </c>
      <c r="D74" s="12">
        <v>148</v>
      </c>
      <c r="E74" s="11">
        <v>8.9999999999999993E-3</v>
      </c>
      <c r="F74" s="10">
        <v>18138</v>
      </c>
      <c r="G74" s="11">
        <v>7.0000000000000001E-3</v>
      </c>
      <c r="H74" s="11">
        <v>0.115</v>
      </c>
      <c r="I74" s="10">
        <v>14866650</v>
      </c>
      <c r="J74" s="12" t="s">
        <v>1732</v>
      </c>
      <c r="K74" s="10">
        <v>2088</v>
      </c>
      <c r="L74" s="12" t="s">
        <v>1733</v>
      </c>
      <c r="M74" s="10">
        <v>3394121131</v>
      </c>
      <c r="N74" s="10">
        <v>398542</v>
      </c>
      <c r="O74" s="12">
        <v>11</v>
      </c>
    </row>
    <row r="75" spans="1:15" ht="27" x14ac:dyDescent="0.3">
      <c r="A75" s="9">
        <v>43544</v>
      </c>
      <c r="B75" s="12">
        <v>48</v>
      </c>
      <c r="C75" s="11">
        <v>8.9999999999999993E-3</v>
      </c>
      <c r="D75" s="12">
        <v>86</v>
      </c>
      <c r="E75" s="11">
        <v>5.0000000000000001E-3</v>
      </c>
      <c r="F75" s="10">
        <v>10326</v>
      </c>
      <c r="G75" s="11">
        <v>4.0000000000000001E-3</v>
      </c>
      <c r="H75" s="11">
        <v>0.13300000000000001</v>
      </c>
      <c r="I75" s="10">
        <v>9440050</v>
      </c>
      <c r="J75" s="12" t="s">
        <v>1734</v>
      </c>
      <c r="K75" s="10">
        <v>1378</v>
      </c>
      <c r="L75" s="12" t="s">
        <v>1735</v>
      </c>
      <c r="M75" s="10">
        <v>3403561181</v>
      </c>
      <c r="N75" s="10">
        <v>399920</v>
      </c>
      <c r="O75" s="12">
        <v>8</v>
      </c>
    </row>
    <row r="76" spans="1:15" ht="27" x14ac:dyDescent="0.3">
      <c r="A76" s="9">
        <v>43545</v>
      </c>
      <c r="B76" s="12">
        <v>51</v>
      </c>
      <c r="C76" s="11">
        <v>0.01</v>
      </c>
      <c r="D76" s="12">
        <v>78</v>
      </c>
      <c r="E76" s="11">
        <v>4.0000000000000001E-3</v>
      </c>
      <c r="F76" s="10">
        <v>8844</v>
      </c>
      <c r="G76" s="11">
        <v>3.0000000000000001E-3</v>
      </c>
      <c r="H76" s="11">
        <v>0.13600000000000001</v>
      </c>
      <c r="I76" s="10">
        <v>8196600</v>
      </c>
      <c r="J76" s="12" t="s">
        <v>1736</v>
      </c>
      <c r="K76" s="10">
        <v>1203</v>
      </c>
      <c r="L76" s="12" t="s">
        <v>1737</v>
      </c>
      <c r="M76" s="10">
        <v>3411757781</v>
      </c>
      <c r="N76" s="10">
        <v>401123</v>
      </c>
      <c r="O76" s="12">
        <v>13</v>
      </c>
    </row>
    <row r="77" spans="1:15" ht="27" x14ac:dyDescent="0.3">
      <c r="A77" s="9">
        <v>43546</v>
      </c>
      <c r="B77" s="12">
        <v>56</v>
      </c>
      <c r="C77" s="11">
        <v>1.0999999999999999E-2</v>
      </c>
      <c r="D77" s="12">
        <v>86</v>
      </c>
      <c r="E77" s="11">
        <v>5.0000000000000001E-3</v>
      </c>
      <c r="F77" s="10">
        <v>9721</v>
      </c>
      <c r="G77" s="11">
        <v>3.0000000000000001E-3</v>
      </c>
      <c r="H77" s="11">
        <v>0.16900000000000001</v>
      </c>
      <c r="I77" s="10">
        <v>12020230</v>
      </c>
      <c r="J77" s="12" t="s">
        <v>1738</v>
      </c>
      <c r="K77" s="10">
        <v>1644</v>
      </c>
      <c r="L77" s="12" t="s">
        <v>1739</v>
      </c>
      <c r="M77" s="10">
        <v>3423778011</v>
      </c>
      <c r="N77" s="10">
        <v>402767</v>
      </c>
      <c r="O77" s="12">
        <v>10</v>
      </c>
    </row>
    <row r="78" spans="1:15" ht="27" x14ac:dyDescent="0.3">
      <c r="A78" s="9">
        <v>43547</v>
      </c>
      <c r="B78" s="12">
        <v>57</v>
      </c>
      <c r="C78" s="11">
        <v>0.01</v>
      </c>
      <c r="D78" s="12">
        <v>89</v>
      </c>
      <c r="E78" s="11">
        <v>5.0000000000000001E-3</v>
      </c>
      <c r="F78" s="10">
        <v>10769</v>
      </c>
      <c r="G78" s="11">
        <v>4.0000000000000001E-3</v>
      </c>
      <c r="H78" s="11">
        <v>0.35299999999999998</v>
      </c>
      <c r="I78" s="10">
        <v>27736410</v>
      </c>
      <c r="J78" s="12" t="s">
        <v>1740</v>
      </c>
      <c r="K78" s="10">
        <v>3802</v>
      </c>
      <c r="L78" s="12" t="s">
        <v>1741</v>
      </c>
      <c r="M78" s="10">
        <v>3451514421</v>
      </c>
      <c r="N78" s="10">
        <v>406569</v>
      </c>
      <c r="O78" s="12">
        <v>8</v>
      </c>
    </row>
    <row r="79" spans="1:15" ht="27" x14ac:dyDescent="0.3">
      <c r="A79" s="9">
        <v>43548</v>
      </c>
      <c r="B79" s="12">
        <v>62</v>
      </c>
      <c r="C79" s="11">
        <v>1.0999999999999999E-2</v>
      </c>
      <c r="D79" s="12">
        <v>99</v>
      </c>
      <c r="E79" s="11">
        <v>5.0000000000000001E-3</v>
      </c>
      <c r="F79" s="10">
        <v>12398</v>
      </c>
      <c r="G79" s="11">
        <v>4.0000000000000001E-3</v>
      </c>
      <c r="H79" s="11">
        <v>0.26600000000000001</v>
      </c>
      <c r="I79" s="10">
        <v>23715060</v>
      </c>
      <c r="J79" s="12" t="s">
        <v>1742</v>
      </c>
      <c r="K79" s="10">
        <v>3302</v>
      </c>
      <c r="L79" s="12" t="s">
        <v>1743</v>
      </c>
      <c r="M79" s="10">
        <v>3475229481</v>
      </c>
      <c r="N79" s="10">
        <v>409871</v>
      </c>
      <c r="O79" s="12">
        <v>9</v>
      </c>
    </row>
    <row r="80" spans="1:15" ht="27" x14ac:dyDescent="0.3">
      <c r="A80" s="9">
        <v>43549</v>
      </c>
      <c r="B80" s="12">
        <v>58</v>
      </c>
      <c r="C80" s="11">
        <v>1.2E-2</v>
      </c>
      <c r="D80" s="12">
        <v>101</v>
      </c>
      <c r="E80" s="11">
        <v>6.0000000000000001E-3</v>
      </c>
      <c r="F80" s="10">
        <v>12243</v>
      </c>
      <c r="G80" s="11">
        <v>5.0000000000000001E-3</v>
      </c>
      <c r="H80" s="11">
        <v>0.124</v>
      </c>
      <c r="I80" s="10">
        <v>10208700</v>
      </c>
      <c r="J80" s="12" t="s">
        <v>1744</v>
      </c>
      <c r="K80" s="10">
        <v>1513</v>
      </c>
      <c r="L80" s="12" t="s">
        <v>1745</v>
      </c>
      <c r="M80" s="10">
        <v>3485438181</v>
      </c>
      <c r="N80" s="10">
        <v>411384</v>
      </c>
      <c r="O80" s="12">
        <v>8</v>
      </c>
    </row>
    <row r="81" spans="1:15" ht="27" x14ac:dyDescent="0.3">
      <c r="A81" s="9">
        <v>43550</v>
      </c>
      <c r="B81" s="12">
        <v>61</v>
      </c>
      <c r="C81" s="11">
        <v>1.2E-2</v>
      </c>
      <c r="D81" s="12">
        <v>104</v>
      </c>
      <c r="E81" s="11">
        <v>6.0000000000000001E-3</v>
      </c>
      <c r="F81" s="10">
        <v>12932</v>
      </c>
      <c r="G81" s="11">
        <v>5.0000000000000001E-3</v>
      </c>
      <c r="H81" s="11">
        <v>0.123</v>
      </c>
      <c r="I81" s="10">
        <v>10502010</v>
      </c>
      <c r="J81" s="12" t="s">
        <v>1746</v>
      </c>
      <c r="K81" s="10">
        <v>1593</v>
      </c>
      <c r="L81" s="12" t="s">
        <v>1747</v>
      </c>
      <c r="M81" s="10">
        <v>3495940191</v>
      </c>
      <c r="N81" s="10">
        <v>412977</v>
      </c>
      <c r="O81" s="12">
        <v>8</v>
      </c>
    </row>
    <row r="82" spans="1:15" ht="27" x14ac:dyDescent="0.3">
      <c r="A82" s="9">
        <v>43551</v>
      </c>
      <c r="B82" s="12">
        <v>43</v>
      </c>
      <c r="C82" s="11">
        <v>7.0000000000000001E-3</v>
      </c>
      <c r="D82" s="12">
        <v>53</v>
      </c>
      <c r="E82" s="11">
        <v>3.0000000000000001E-3</v>
      </c>
      <c r="F82" s="10">
        <v>6679</v>
      </c>
      <c r="G82" s="11">
        <v>2E-3</v>
      </c>
      <c r="H82" s="11">
        <v>0.155</v>
      </c>
      <c r="I82" s="10">
        <v>6736900</v>
      </c>
      <c r="J82" s="12" t="s">
        <v>1748</v>
      </c>
      <c r="K82" s="10">
        <v>1038</v>
      </c>
      <c r="L82" s="12" t="s">
        <v>1749</v>
      </c>
      <c r="M82" s="10">
        <v>3502677091</v>
      </c>
      <c r="N82" s="10">
        <v>414015</v>
      </c>
      <c r="O82" s="12">
        <v>15</v>
      </c>
    </row>
    <row r="83" spans="1:15" ht="27" x14ac:dyDescent="0.3">
      <c r="A83" s="9">
        <v>43552</v>
      </c>
      <c r="B83" s="12">
        <v>29</v>
      </c>
      <c r="C83" s="11">
        <v>5.0000000000000001E-3</v>
      </c>
      <c r="D83" s="12">
        <v>44</v>
      </c>
      <c r="E83" s="11">
        <v>2E-3</v>
      </c>
      <c r="F83" s="10">
        <v>4814</v>
      </c>
      <c r="G83" s="11">
        <v>2E-3</v>
      </c>
      <c r="H83" s="11">
        <v>0.17299999999999999</v>
      </c>
      <c r="I83" s="10">
        <v>5881350</v>
      </c>
      <c r="J83" s="12" t="s">
        <v>1750</v>
      </c>
      <c r="K83" s="12">
        <v>834</v>
      </c>
      <c r="L83" s="12" t="s">
        <v>1751</v>
      </c>
      <c r="M83" s="10">
        <v>3508558441</v>
      </c>
      <c r="N83" s="10">
        <v>414849</v>
      </c>
      <c r="O83" s="12">
        <v>19</v>
      </c>
    </row>
    <row r="84" spans="1:15" ht="27" x14ac:dyDescent="0.3">
      <c r="A84" s="9">
        <v>43553</v>
      </c>
      <c r="B84" s="12">
        <v>30</v>
      </c>
      <c r="C84" s="11">
        <v>5.0000000000000001E-3</v>
      </c>
      <c r="D84" s="12">
        <v>47</v>
      </c>
      <c r="E84" s="11">
        <v>3.0000000000000001E-3</v>
      </c>
      <c r="F84" s="10">
        <v>6060</v>
      </c>
      <c r="G84" s="11">
        <v>2E-3</v>
      </c>
      <c r="H84" s="11">
        <v>0.153</v>
      </c>
      <c r="I84" s="10">
        <v>6477969</v>
      </c>
      <c r="J84" s="12" t="s">
        <v>1752</v>
      </c>
      <c r="K84" s="12">
        <v>925</v>
      </c>
      <c r="L84" s="12" t="s">
        <v>1753</v>
      </c>
      <c r="M84" s="10">
        <v>3515036410</v>
      </c>
      <c r="N84" s="10">
        <v>415774</v>
      </c>
      <c r="O84" s="12">
        <v>15</v>
      </c>
    </row>
    <row r="85" spans="1:15" ht="27" x14ac:dyDescent="0.3">
      <c r="A85" s="9">
        <v>43554</v>
      </c>
      <c r="B85" s="12">
        <v>31</v>
      </c>
      <c r="C85" s="11">
        <v>5.0000000000000001E-3</v>
      </c>
      <c r="D85" s="12">
        <v>51</v>
      </c>
      <c r="E85" s="11">
        <v>3.0000000000000001E-3</v>
      </c>
      <c r="F85" s="10">
        <v>6545</v>
      </c>
      <c r="G85" s="11">
        <v>2E-3</v>
      </c>
      <c r="H85" s="11">
        <v>0.317</v>
      </c>
      <c r="I85" s="10">
        <v>15406100</v>
      </c>
      <c r="J85" s="12" t="s">
        <v>1754</v>
      </c>
      <c r="K85" s="10">
        <v>2072</v>
      </c>
      <c r="L85" s="12" t="s">
        <v>1755</v>
      </c>
      <c r="M85" s="10">
        <v>3530442510</v>
      </c>
      <c r="N85" s="10">
        <v>417846</v>
      </c>
      <c r="O85" s="12">
        <v>12</v>
      </c>
    </row>
    <row r="86" spans="1:15" ht="27" x14ac:dyDescent="0.3">
      <c r="A86" s="9">
        <v>43555</v>
      </c>
      <c r="B86" s="12">
        <v>33</v>
      </c>
      <c r="C86" s="11">
        <v>5.0000000000000001E-3</v>
      </c>
      <c r="D86" s="12">
        <v>49</v>
      </c>
      <c r="E86" s="11">
        <v>3.0000000000000001E-3</v>
      </c>
      <c r="F86" s="10">
        <v>6250</v>
      </c>
      <c r="G86" s="11">
        <v>2E-3</v>
      </c>
      <c r="H86" s="11">
        <v>0.28199999999999997</v>
      </c>
      <c r="I86" s="10">
        <v>12614100</v>
      </c>
      <c r="J86" s="12" t="s">
        <v>1756</v>
      </c>
      <c r="K86" s="10">
        <v>1763</v>
      </c>
      <c r="L86" s="12" t="s">
        <v>1757</v>
      </c>
      <c r="M86" s="10">
        <v>3543056610</v>
      </c>
      <c r="N86" s="10">
        <v>419609</v>
      </c>
      <c r="O86" s="12">
        <v>13</v>
      </c>
    </row>
    <row r="87" spans="1:15" ht="27" x14ac:dyDescent="0.3">
      <c r="A87" s="9">
        <v>43556</v>
      </c>
      <c r="B87" s="12">
        <v>27</v>
      </c>
      <c r="C87" s="11">
        <v>5.0000000000000001E-3</v>
      </c>
      <c r="D87" s="12">
        <v>46</v>
      </c>
      <c r="E87" s="11">
        <v>3.0000000000000001E-3</v>
      </c>
      <c r="F87" s="10">
        <v>5500</v>
      </c>
      <c r="G87" s="11">
        <v>2E-3</v>
      </c>
      <c r="H87" s="11">
        <v>0.125</v>
      </c>
      <c r="I87" s="10">
        <v>4649050</v>
      </c>
      <c r="J87" s="12" t="s">
        <v>1758</v>
      </c>
      <c r="K87" s="12">
        <v>690</v>
      </c>
      <c r="L87" s="12" t="s">
        <v>1759</v>
      </c>
      <c r="M87" s="10">
        <v>3547705660</v>
      </c>
      <c r="N87" s="10">
        <v>420299</v>
      </c>
      <c r="O87" s="12">
        <v>13</v>
      </c>
    </row>
    <row r="88" spans="1:15" ht="27" x14ac:dyDescent="0.3">
      <c r="A88" s="9">
        <v>43557</v>
      </c>
      <c r="B88" s="12">
        <v>30</v>
      </c>
      <c r="C88" s="11">
        <v>5.0000000000000001E-3</v>
      </c>
      <c r="D88" s="12">
        <v>47</v>
      </c>
      <c r="E88" s="11">
        <v>3.0000000000000001E-3</v>
      </c>
      <c r="F88" s="10">
        <v>6157</v>
      </c>
      <c r="G88" s="11">
        <v>2E-3</v>
      </c>
      <c r="H88" s="11">
        <v>0.10199999999999999</v>
      </c>
      <c r="I88" s="10">
        <v>4297250</v>
      </c>
      <c r="J88" s="12" t="s">
        <v>1760</v>
      </c>
      <c r="K88" s="12">
        <v>628</v>
      </c>
      <c r="L88" s="12" t="s">
        <v>1761</v>
      </c>
      <c r="M88" s="10">
        <v>3552002910</v>
      </c>
      <c r="N88" s="10">
        <v>420927</v>
      </c>
      <c r="O88" s="12">
        <v>16</v>
      </c>
    </row>
    <row r="89" spans="1:15" ht="27" x14ac:dyDescent="0.3">
      <c r="A89" s="9">
        <v>43558</v>
      </c>
      <c r="B89" s="12">
        <v>23</v>
      </c>
      <c r="C89" s="11">
        <v>4.0000000000000001E-3</v>
      </c>
      <c r="D89" s="12">
        <v>39</v>
      </c>
      <c r="E89" s="11">
        <v>2E-3</v>
      </c>
      <c r="F89" s="10">
        <v>4331</v>
      </c>
      <c r="G89" s="11">
        <v>2E-3</v>
      </c>
      <c r="H89" s="11">
        <v>0.111</v>
      </c>
      <c r="I89" s="10">
        <v>3230400</v>
      </c>
      <c r="J89" s="12" t="s">
        <v>1762</v>
      </c>
      <c r="K89" s="12">
        <v>482</v>
      </c>
      <c r="L89" s="12" t="s">
        <v>1763</v>
      </c>
      <c r="M89" s="10">
        <v>3555233310</v>
      </c>
      <c r="N89" s="10">
        <v>421409</v>
      </c>
      <c r="O89" s="12">
        <v>16</v>
      </c>
    </row>
    <row r="90" spans="1:15" ht="27" x14ac:dyDescent="0.3">
      <c r="A90" s="9">
        <v>43559</v>
      </c>
      <c r="B90" s="12">
        <v>15</v>
      </c>
      <c r="C90" s="11">
        <v>3.0000000000000001E-3</v>
      </c>
      <c r="D90" s="12">
        <v>25</v>
      </c>
      <c r="E90" s="11">
        <v>1E-3</v>
      </c>
      <c r="F90" s="10">
        <v>3396</v>
      </c>
      <c r="G90" s="11">
        <v>1E-3</v>
      </c>
      <c r="H90" s="11">
        <v>0.10299999999999999</v>
      </c>
      <c r="I90" s="10">
        <v>2402100</v>
      </c>
      <c r="J90" s="12" t="s">
        <v>1764</v>
      </c>
      <c r="K90" s="12">
        <v>351</v>
      </c>
      <c r="L90" s="12" t="s">
        <v>1765</v>
      </c>
      <c r="M90" s="10">
        <v>3557635410</v>
      </c>
      <c r="N90" s="10">
        <v>421760</v>
      </c>
      <c r="O90" s="12">
        <v>24</v>
      </c>
    </row>
    <row r="91" spans="1:15" ht="27" x14ac:dyDescent="0.3">
      <c r="A91" s="9">
        <v>43560</v>
      </c>
      <c r="B91" s="12">
        <v>17</v>
      </c>
      <c r="C91" s="11">
        <v>3.0000000000000001E-3</v>
      </c>
      <c r="D91" s="12">
        <v>27</v>
      </c>
      <c r="E91" s="11">
        <v>2E-3</v>
      </c>
      <c r="F91" s="10">
        <v>3613</v>
      </c>
      <c r="G91" s="11">
        <v>1E-3</v>
      </c>
      <c r="H91" s="11">
        <v>0.14299999999999999</v>
      </c>
      <c r="I91" s="10">
        <v>3623300</v>
      </c>
      <c r="J91" s="12" t="s">
        <v>1766</v>
      </c>
      <c r="K91" s="12">
        <v>518</v>
      </c>
      <c r="L91" s="12" t="s">
        <v>1767</v>
      </c>
      <c r="M91" s="10">
        <v>3561258710</v>
      </c>
      <c r="N91" s="10">
        <v>422278</v>
      </c>
      <c r="O91" s="12">
        <v>17</v>
      </c>
    </row>
    <row r="92" spans="1:15" ht="27" x14ac:dyDescent="0.3">
      <c r="A92" s="9">
        <v>43561</v>
      </c>
      <c r="B92" s="12">
        <v>14</v>
      </c>
      <c r="C92" s="11">
        <v>2E-3</v>
      </c>
      <c r="D92" s="12">
        <v>24</v>
      </c>
      <c r="E92" s="11">
        <v>1E-3</v>
      </c>
      <c r="F92" s="10">
        <v>3199</v>
      </c>
      <c r="G92" s="11">
        <v>1E-3</v>
      </c>
      <c r="H92" s="11">
        <v>0.28100000000000003</v>
      </c>
      <c r="I92" s="10">
        <v>6562400</v>
      </c>
      <c r="J92" s="12" t="s">
        <v>1768</v>
      </c>
      <c r="K92" s="12">
        <v>900</v>
      </c>
      <c r="L92" s="12" t="s">
        <v>1769</v>
      </c>
      <c r="M92" s="10">
        <v>3567821110</v>
      </c>
      <c r="N92" s="10">
        <v>423178</v>
      </c>
      <c r="O92" s="12">
        <v>17</v>
      </c>
    </row>
    <row r="93" spans="1:15" ht="27" x14ac:dyDescent="0.3">
      <c r="A93" s="9">
        <v>43562</v>
      </c>
      <c r="B93" s="12">
        <v>18</v>
      </c>
      <c r="C93" s="11">
        <v>3.0000000000000001E-3</v>
      </c>
      <c r="D93" s="12">
        <v>29</v>
      </c>
      <c r="E93" s="11">
        <v>2E-3</v>
      </c>
      <c r="F93" s="10">
        <v>3868</v>
      </c>
      <c r="G93" s="11">
        <v>1E-3</v>
      </c>
      <c r="H93" s="11">
        <v>0.223</v>
      </c>
      <c r="I93" s="10">
        <v>6300900</v>
      </c>
      <c r="J93" s="12" t="s">
        <v>1770</v>
      </c>
      <c r="K93" s="12">
        <v>864</v>
      </c>
      <c r="L93" s="12" t="s">
        <v>1771</v>
      </c>
      <c r="M93" s="10">
        <v>3574122010</v>
      </c>
      <c r="N93" s="10">
        <v>424042</v>
      </c>
      <c r="O93" s="12">
        <v>15</v>
      </c>
    </row>
    <row r="94" spans="1:15" ht="27" x14ac:dyDescent="0.3">
      <c r="A94" s="9">
        <v>43563</v>
      </c>
      <c r="B94" s="12">
        <v>19</v>
      </c>
      <c r="C94" s="11">
        <v>4.0000000000000001E-3</v>
      </c>
      <c r="D94" s="12">
        <v>31</v>
      </c>
      <c r="E94" s="11">
        <v>2E-3</v>
      </c>
      <c r="F94" s="10">
        <v>4049</v>
      </c>
      <c r="G94" s="11">
        <v>2E-3</v>
      </c>
      <c r="H94" s="11">
        <v>9.4E-2</v>
      </c>
      <c r="I94" s="10">
        <v>3463100</v>
      </c>
      <c r="J94" s="12" t="s">
        <v>1772</v>
      </c>
      <c r="K94" s="12">
        <v>379</v>
      </c>
      <c r="L94" s="12" t="s">
        <v>1773</v>
      </c>
      <c r="M94" s="10">
        <v>3577585110</v>
      </c>
      <c r="N94" s="10">
        <v>424421</v>
      </c>
      <c r="O94" s="12">
        <v>15</v>
      </c>
    </row>
    <row r="95" spans="1:15" ht="27" x14ac:dyDescent="0.3">
      <c r="A95" s="9">
        <v>43564</v>
      </c>
      <c r="B95" s="12">
        <v>17</v>
      </c>
      <c r="C95" s="11">
        <v>3.0000000000000001E-3</v>
      </c>
      <c r="D95" s="12">
        <v>29</v>
      </c>
      <c r="E95" s="11">
        <v>2E-3</v>
      </c>
      <c r="F95" s="10">
        <v>3929</v>
      </c>
      <c r="G95" s="11">
        <v>2E-3</v>
      </c>
      <c r="H95" s="11">
        <v>0.14799999999999999</v>
      </c>
      <c r="I95" s="10">
        <v>4003400</v>
      </c>
      <c r="J95" s="12" t="s">
        <v>1774</v>
      </c>
      <c r="K95" s="12">
        <v>581</v>
      </c>
      <c r="L95" s="12" t="s">
        <v>1775</v>
      </c>
      <c r="M95" s="10">
        <v>3581588510</v>
      </c>
      <c r="N95" s="10">
        <v>425002</v>
      </c>
      <c r="O95" s="12">
        <v>15</v>
      </c>
    </row>
    <row r="96" spans="1:15" ht="27" x14ac:dyDescent="0.3">
      <c r="A96" s="9">
        <v>43565</v>
      </c>
      <c r="B96" s="12">
        <v>21</v>
      </c>
      <c r="C96" s="11">
        <v>4.0000000000000001E-3</v>
      </c>
      <c r="D96" s="12">
        <v>31</v>
      </c>
      <c r="E96" s="11">
        <v>2E-3</v>
      </c>
      <c r="F96" s="10">
        <v>3688</v>
      </c>
      <c r="G96" s="11">
        <v>1E-3</v>
      </c>
      <c r="H96" s="11">
        <v>0.161</v>
      </c>
      <c r="I96" s="10">
        <v>3848900</v>
      </c>
      <c r="J96" s="12" t="s">
        <v>1776</v>
      </c>
      <c r="K96" s="12">
        <v>595</v>
      </c>
      <c r="L96" s="12" t="s">
        <v>1777</v>
      </c>
      <c r="M96" s="10">
        <v>3585437410</v>
      </c>
      <c r="N96" s="10">
        <v>425597</v>
      </c>
      <c r="O96" s="12">
        <v>16</v>
      </c>
    </row>
    <row r="97" spans="1:15" ht="27" x14ac:dyDescent="0.3">
      <c r="A97" s="9">
        <v>43566</v>
      </c>
      <c r="B97" s="12">
        <v>13</v>
      </c>
      <c r="C97" s="11">
        <v>2E-3</v>
      </c>
      <c r="D97" s="12">
        <v>19</v>
      </c>
      <c r="E97" s="11">
        <v>1E-3</v>
      </c>
      <c r="F97" s="10">
        <v>2279</v>
      </c>
      <c r="G97" s="11">
        <v>1E-3</v>
      </c>
      <c r="H97" s="11">
        <v>0.112</v>
      </c>
      <c r="I97" s="10">
        <v>1735900</v>
      </c>
      <c r="J97" s="12" t="s">
        <v>1778</v>
      </c>
      <c r="K97" s="12">
        <v>255</v>
      </c>
      <c r="L97" s="12" t="s">
        <v>1779</v>
      </c>
      <c r="M97" s="10">
        <v>3587173310</v>
      </c>
      <c r="N97" s="10">
        <v>425852</v>
      </c>
      <c r="O97" s="12">
        <v>34</v>
      </c>
    </row>
    <row r="98" spans="1:15" ht="27" x14ac:dyDescent="0.3">
      <c r="A98" s="9">
        <v>43567</v>
      </c>
      <c r="B98" s="12">
        <v>18</v>
      </c>
      <c r="C98" s="11">
        <v>3.0000000000000001E-3</v>
      </c>
      <c r="D98" s="12">
        <v>26</v>
      </c>
      <c r="E98" s="11">
        <v>1E-3</v>
      </c>
      <c r="F98" s="10">
        <v>3364</v>
      </c>
      <c r="G98" s="11">
        <v>1E-3</v>
      </c>
      <c r="H98" s="11">
        <v>0.219</v>
      </c>
      <c r="I98" s="10">
        <v>4780300</v>
      </c>
      <c r="J98" s="12" t="s">
        <v>1780</v>
      </c>
      <c r="K98" s="12">
        <v>737</v>
      </c>
      <c r="L98" s="12" t="s">
        <v>1781</v>
      </c>
      <c r="M98" s="10">
        <v>3591953610</v>
      </c>
      <c r="N98" s="10">
        <v>426589</v>
      </c>
      <c r="O98" s="12">
        <v>18</v>
      </c>
    </row>
    <row r="99" spans="1:15" ht="27" x14ac:dyDescent="0.3">
      <c r="A99" s="9">
        <v>43568</v>
      </c>
      <c r="B99" s="12">
        <v>17</v>
      </c>
      <c r="C99" s="11">
        <v>2E-3</v>
      </c>
      <c r="D99" s="12">
        <v>25</v>
      </c>
      <c r="E99" s="11">
        <v>1E-3</v>
      </c>
      <c r="F99" s="10">
        <v>3161</v>
      </c>
      <c r="G99" s="11">
        <v>1E-3</v>
      </c>
      <c r="H99" s="11">
        <v>0.16400000000000001</v>
      </c>
      <c r="I99" s="10">
        <v>3736700</v>
      </c>
      <c r="J99" s="12" t="s">
        <v>1782</v>
      </c>
      <c r="K99" s="12">
        <v>517</v>
      </c>
      <c r="L99" s="12" t="s">
        <v>1783</v>
      </c>
      <c r="M99" s="10">
        <v>3595690310</v>
      </c>
      <c r="N99" s="10">
        <v>427106</v>
      </c>
      <c r="O99" s="12">
        <v>20</v>
      </c>
    </row>
    <row r="100" spans="1:15" ht="27" x14ac:dyDescent="0.3">
      <c r="A100" s="9">
        <v>43569</v>
      </c>
      <c r="B100" s="12">
        <v>17</v>
      </c>
      <c r="C100" s="11">
        <v>2E-3</v>
      </c>
      <c r="D100" s="12">
        <v>23</v>
      </c>
      <c r="E100" s="11">
        <v>1E-3</v>
      </c>
      <c r="F100" s="10">
        <v>2927</v>
      </c>
      <c r="G100" s="11">
        <v>1E-3</v>
      </c>
      <c r="H100" s="11">
        <v>0.21</v>
      </c>
      <c r="I100" s="10">
        <v>4369200</v>
      </c>
      <c r="J100" s="12" t="s">
        <v>1784</v>
      </c>
      <c r="K100" s="12">
        <v>614</v>
      </c>
      <c r="L100" s="12" t="s">
        <v>1785</v>
      </c>
      <c r="M100" s="10">
        <v>3600059510</v>
      </c>
      <c r="N100" s="10">
        <v>427720</v>
      </c>
      <c r="O100" s="12">
        <v>19</v>
      </c>
    </row>
    <row r="101" spans="1:15" ht="27" x14ac:dyDescent="0.3">
      <c r="A101" s="9">
        <v>43570</v>
      </c>
      <c r="B101" s="12">
        <v>16</v>
      </c>
      <c r="C101" s="11">
        <v>3.0000000000000001E-3</v>
      </c>
      <c r="D101" s="12">
        <v>21</v>
      </c>
      <c r="E101" s="11">
        <v>1E-3</v>
      </c>
      <c r="F101" s="10">
        <v>2827</v>
      </c>
      <c r="G101" s="11">
        <v>1E-3</v>
      </c>
      <c r="H101" s="11">
        <v>0.06</v>
      </c>
      <c r="I101" s="10">
        <v>1109800</v>
      </c>
      <c r="J101" s="12" t="s">
        <v>1786</v>
      </c>
      <c r="K101" s="12">
        <v>170</v>
      </c>
      <c r="L101" s="12" t="s">
        <v>1787</v>
      </c>
      <c r="M101" s="10">
        <v>3601169310</v>
      </c>
      <c r="N101" s="10">
        <v>427890</v>
      </c>
      <c r="O101" s="12">
        <v>34</v>
      </c>
    </row>
    <row r="102" spans="1:15" ht="27" x14ac:dyDescent="0.3">
      <c r="A102" s="9">
        <v>43571</v>
      </c>
      <c r="B102" s="12">
        <v>16</v>
      </c>
      <c r="C102" s="11">
        <v>3.0000000000000001E-3</v>
      </c>
      <c r="D102" s="12">
        <v>22</v>
      </c>
      <c r="E102" s="11">
        <v>1E-3</v>
      </c>
      <c r="F102" s="10">
        <v>3008</v>
      </c>
      <c r="G102" s="11">
        <v>1E-3</v>
      </c>
      <c r="H102" s="11">
        <v>6.4000000000000001E-2</v>
      </c>
      <c r="I102" s="10">
        <v>1316900</v>
      </c>
      <c r="J102" s="12" t="s">
        <v>1788</v>
      </c>
      <c r="K102" s="12">
        <v>193</v>
      </c>
      <c r="L102" s="12" t="s">
        <v>1789</v>
      </c>
      <c r="M102" s="10">
        <v>3602486210</v>
      </c>
      <c r="N102" s="10">
        <v>428083</v>
      </c>
      <c r="O102" s="12">
        <v>33</v>
      </c>
    </row>
    <row r="103" spans="1:15" ht="27" x14ac:dyDescent="0.3">
      <c r="A103" s="9">
        <v>43572</v>
      </c>
      <c r="B103" s="12">
        <v>16</v>
      </c>
      <c r="C103" s="11">
        <v>3.0000000000000001E-3</v>
      </c>
      <c r="D103" s="12">
        <v>22</v>
      </c>
      <c r="E103" s="11">
        <v>1E-3</v>
      </c>
      <c r="F103" s="10">
        <v>2214</v>
      </c>
      <c r="G103" s="11">
        <v>1E-3</v>
      </c>
      <c r="H103" s="11">
        <v>0.14199999999999999</v>
      </c>
      <c r="I103" s="10">
        <v>2071350</v>
      </c>
      <c r="J103" s="12" t="s">
        <v>1790</v>
      </c>
      <c r="K103" s="12">
        <v>314</v>
      </c>
      <c r="L103" s="12" t="s">
        <v>1791</v>
      </c>
      <c r="M103" s="10">
        <v>3604557560</v>
      </c>
      <c r="N103" s="10">
        <v>428397</v>
      </c>
      <c r="O103" s="12">
        <v>29</v>
      </c>
    </row>
    <row r="104" spans="1:15" ht="27" x14ac:dyDescent="0.3">
      <c r="A104" s="9">
        <v>43573</v>
      </c>
      <c r="B104" s="12">
        <v>12</v>
      </c>
      <c r="C104" s="11">
        <v>2E-3</v>
      </c>
      <c r="D104" s="12">
        <v>15</v>
      </c>
      <c r="E104" s="11">
        <v>1E-3</v>
      </c>
      <c r="F104" s="10">
        <v>1684</v>
      </c>
      <c r="G104" s="11">
        <v>1E-3</v>
      </c>
      <c r="H104" s="11">
        <v>0.17899999999999999</v>
      </c>
      <c r="I104" s="10">
        <v>2472100</v>
      </c>
      <c r="J104" s="12" t="s">
        <v>1792</v>
      </c>
      <c r="K104" s="12">
        <v>302</v>
      </c>
      <c r="L104" s="12" t="s">
        <v>1793</v>
      </c>
      <c r="M104" s="10">
        <v>3607029660</v>
      </c>
      <c r="N104" s="10">
        <v>428699</v>
      </c>
      <c r="O104" s="12">
        <v>39</v>
      </c>
    </row>
    <row r="105" spans="1:15" ht="27" x14ac:dyDescent="0.3">
      <c r="A105" s="9">
        <v>43574</v>
      </c>
      <c r="B105" s="12">
        <v>14</v>
      </c>
      <c r="C105" s="11">
        <v>2E-3</v>
      </c>
      <c r="D105" s="12">
        <v>20</v>
      </c>
      <c r="E105" s="11">
        <v>1E-3</v>
      </c>
      <c r="F105" s="10">
        <v>2077</v>
      </c>
      <c r="G105" s="11">
        <v>1E-3</v>
      </c>
      <c r="H105" s="11">
        <v>0.123</v>
      </c>
      <c r="I105" s="10">
        <v>1633800</v>
      </c>
      <c r="J105" s="12" t="s">
        <v>1794</v>
      </c>
      <c r="K105" s="12">
        <v>256</v>
      </c>
      <c r="L105" s="12" t="s">
        <v>1795</v>
      </c>
      <c r="M105" s="10">
        <v>3608663460</v>
      </c>
      <c r="N105" s="10">
        <v>428955</v>
      </c>
      <c r="O105" s="12">
        <v>40</v>
      </c>
    </row>
    <row r="106" spans="1:15" ht="27" x14ac:dyDescent="0.3">
      <c r="A106" s="9">
        <v>43575</v>
      </c>
      <c r="B106" s="12">
        <v>14</v>
      </c>
      <c r="C106" s="11">
        <v>2E-3</v>
      </c>
      <c r="D106" s="12">
        <v>19</v>
      </c>
      <c r="E106" s="11">
        <v>1E-3</v>
      </c>
      <c r="F106" s="10">
        <v>2096</v>
      </c>
      <c r="G106" s="11">
        <v>1E-3</v>
      </c>
      <c r="H106" s="11">
        <v>0.17499999999999999</v>
      </c>
      <c r="I106" s="10">
        <v>2537000</v>
      </c>
      <c r="J106" s="12" t="s">
        <v>1796</v>
      </c>
      <c r="K106" s="12">
        <v>367</v>
      </c>
      <c r="L106" s="12" t="s">
        <v>1797</v>
      </c>
      <c r="M106" s="10">
        <v>3611200460</v>
      </c>
      <c r="N106" s="10">
        <v>429322</v>
      </c>
      <c r="O106" s="12">
        <v>36</v>
      </c>
    </row>
    <row r="107" spans="1:15" ht="27" x14ac:dyDescent="0.3">
      <c r="A107" s="9">
        <v>43576</v>
      </c>
      <c r="B107" s="12">
        <v>13</v>
      </c>
      <c r="C107" s="11">
        <v>2E-3</v>
      </c>
      <c r="D107" s="12">
        <v>18</v>
      </c>
      <c r="E107" s="11">
        <v>1E-3</v>
      </c>
      <c r="F107" s="10">
        <v>1999</v>
      </c>
      <c r="G107" s="11">
        <v>1E-3</v>
      </c>
      <c r="H107" s="11">
        <v>0.153</v>
      </c>
      <c r="I107" s="10">
        <v>2141800</v>
      </c>
      <c r="J107" s="12" t="s">
        <v>1798</v>
      </c>
      <c r="K107" s="12">
        <v>305</v>
      </c>
      <c r="L107" s="12" t="s">
        <v>1799</v>
      </c>
      <c r="M107" s="10">
        <v>3613342260</v>
      </c>
      <c r="N107" s="10">
        <v>429627</v>
      </c>
      <c r="O107" s="12">
        <v>40</v>
      </c>
    </row>
    <row r="108" spans="1:15" ht="27" x14ac:dyDescent="0.3">
      <c r="A108" s="9">
        <v>43577</v>
      </c>
      <c r="B108" s="12">
        <v>12</v>
      </c>
      <c r="C108" s="11">
        <v>2E-3</v>
      </c>
      <c r="D108" s="12">
        <v>19</v>
      </c>
      <c r="E108" s="11">
        <v>1E-3</v>
      </c>
      <c r="F108" s="10">
        <v>1938</v>
      </c>
      <c r="G108" s="11">
        <v>1E-3</v>
      </c>
      <c r="H108" s="11">
        <v>8.5999999999999993E-2</v>
      </c>
      <c r="I108" s="10">
        <v>1106900</v>
      </c>
      <c r="J108" s="12" t="s">
        <v>1800</v>
      </c>
      <c r="K108" s="12">
        <v>166</v>
      </c>
      <c r="L108" s="12" t="s">
        <v>1801</v>
      </c>
      <c r="M108" s="10">
        <v>3614449160</v>
      </c>
      <c r="N108" s="10">
        <v>429793</v>
      </c>
      <c r="O108" s="12">
        <v>36</v>
      </c>
    </row>
    <row r="109" spans="1:15" ht="27" x14ac:dyDescent="0.3">
      <c r="A109" s="9">
        <v>43578</v>
      </c>
      <c r="B109" s="12">
        <v>15</v>
      </c>
      <c r="C109" s="11">
        <v>2E-3</v>
      </c>
      <c r="D109" s="12">
        <v>20</v>
      </c>
      <c r="E109" s="11">
        <v>1E-3</v>
      </c>
      <c r="F109" s="10">
        <v>2252</v>
      </c>
      <c r="G109" s="11">
        <v>1E-3</v>
      </c>
      <c r="H109" s="11">
        <v>0.25800000000000001</v>
      </c>
      <c r="I109" s="10">
        <v>3427000</v>
      </c>
      <c r="J109" s="12" t="s">
        <v>1802</v>
      </c>
      <c r="K109" s="12">
        <v>581</v>
      </c>
      <c r="L109" s="12" t="s">
        <v>1803</v>
      </c>
      <c r="M109" s="10">
        <v>3617876160</v>
      </c>
      <c r="N109" s="10">
        <v>430374</v>
      </c>
      <c r="O109" s="12">
        <v>25</v>
      </c>
    </row>
    <row r="110" spans="1:15" ht="27" x14ac:dyDescent="0.3">
      <c r="A110" s="9">
        <v>43579</v>
      </c>
      <c r="B110" s="12">
        <v>7</v>
      </c>
      <c r="C110" s="11">
        <v>1E-3</v>
      </c>
      <c r="D110" s="12">
        <v>8</v>
      </c>
      <c r="E110" s="11">
        <v>1E-3</v>
      </c>
      <c r="F110" s="12">
        <v>609</v>
      </c>
      <c r="G110" s="11">
        <v>0</v>
      </c>
      <c r="H110" s="11">
        <v>0.20899999999999999</v>
      </c>
      <c r="I110" s="10">
        <v>850000</v>
      </c>
      <c r="J110" s="12" t="s">
        <v>1804</v>
      </c>
      <c r="K110" s="12">
        <v>127</v>
      </c>
      <c r="L110" s="12" t="s">
        <v>1805</v>
      </c>
      <c r="M110" s="10">
        <v>3618726160</v>
      </c>
      <c r="N110" s="10">
        <v>430501</v>
      </c>
      <c r="O110" s="12">
        <v>41</v>
      </c>
    </row>
    <row r="111" spans="1:15" ht="27" x14ac:dyDescent="0.3">
      <c r="A111" s="9">
        <v>43580</v>
      </c>
      <c r="B111" s="12">
        <v>5</v>
      </c>
      <c r="C111" s="11">
        <v>1E-3</v>
      </c>
      <c r="D111" s="12">
        <v>6</v>
      </c>
      <c r="E111" s="11">
        <v>0</v>
      </c>
      <c r="F111" s="12">
        <v>411</v>
      </c>
      <c r="G111" s="11">
        <v>0</v>
      </c>
      <c r="H111" s="11">
        <v>0.11700000000000001</v>
      </c>
      <c r="I111" s="10">
        <v>340500</v>
      </c>
      <c r="J111" s="12" t="s">
        <v>1806</v>
      </c>
      <c r="K111" s="12">
        <v>48</v>
      </c>
      <c r="L111" s="12" t="s">
        <v>1807</v>
      </c>
      <c r="M111" s="10">
        <v>3619066660</v>
      </c>
      <c r="N111" s="10">
        <v>430549</v>
      </c>
      <c r="O111" s="12">
        <v>70</v>
      </c>
    </row>
    <row r="112" spans="1:15" ht="27" x14ac:dyDescent="0.3">
      <c r="A112" s="9">
        <v>43581</v>
      </c>
      <c r="B112" s="12">
        <v>7</v>
      </c>
      <c r="C112" s="11">
        <v>1E-3</v>
      </c>
      <c r="D112" s="12">
        <v>8</v>
      </c>
      <c r="E112" s="11">
        <v>0</v>
      </c>
      <c r="F112" s="12">
        <v>765</v>
      </c>
      <c r="G112" s="11">
        <v>0</v>
      </c>
      <c r="H112" s="11">
        <v>0.23899999999999999</v>
      </c>
      <c r="I112" s="10">
        <v>1383000</v>
      </c>
      <c r="J112" s="12" t="s">
        <v>1808</v>
      </c>
      <c r="K112" s="12">
        <v>183</v>
      </c>
      <c r="L112" s="12" t="s">
        <v>1809</v>
      </c>
      <c r="M112" s="10">
        <v>3620449660</v>
      </c>
      <c r="N112" s="10">
        <v>430732</v>
      </c>
      <c r="O112" s="12">
        <v>32</v>
      </c>
    </row>
    <row r="113" spans="1:15" ht="27" x14ac:dyDescent="0.3">
      <c r="A113" s="9">
        <v>43582</v>
      </c>
      <c r="B113" s="12">
        <v>3</v>
      </c>
      <c r="C113" s="11">
        <v>1E-3</v>
      </c>
      <c r="D113" s="12">
        <v>4</v>
      </c>
      <c r="E113" s="11">
        <v>0</v>
      </c>
      <c r="F113" s="12">
        <v>389</v>
      </c>
      <c r="G113" s="11">
        <v>0</v>
      </c>
      <c r="H113" s="11">
        <v>0.219</v>
      </c>
      <c r="I113" s="10">
        <v>632900</v>
      </c>
      <c r="J113" s="12" t="s">
        <v>1810</v>
      </c>
      <c r="K113" s="12">
        <v>85</v>
      </c>
      <c r="L113" s="12" t="s">
        <v>1811</v>
      </c>
      <c r="M113" s="10">
        <v>3621082560</v>
      </c>
      <c r="N113" s="10">
        <v>430817</v>
      </c>
      <c r="O113" s="12">
        <v>58</v>
      </c>
    </row>
    <row r="114" spans="1:15" ht="27" x14ac:dyDescent="0.3">
      <c r="A114" s="9">
        <v>43583</v>
      </c>
      <c r="B114" s="12">
        <v>4</v>
      </c>
      <c r="C114" s="11">
        <v>1E-3</v>
      </c>
      <c r="D114" s="12">
        <v>5</v>
      </c>
      <c r="E114" s="11">
        <v>0</v>
      </c>
      <c r="F114" s="12">
        <v>515</v>
      </c>
      <c r="G114" s="11">
        <v>0</v>
      </c>
      <c r="H114" s="11">
        <v>0.22900000000000001</v>
      </c>
      <c r="I114" s="10">
        <v>954000</v>
      </c>
      <c r="J114" s="12" t="s">
        <v>1812</v>
      </c>
      <c r="K114" s="12">
        <v>118</v>
      </c>
      <c r="L114" s="12" t="s">
        <v>1813</v>
      </c>
      <c r="M114" s="10">
        <v>3622036560</v>
      </c>
      <c r="N114" s="10">
        <v>430935</v>
      </c>
      <c r="O114" s="12">
        <v>46</v>
      </c>
    </row>
    <row r="115" spans="1:15" ht="27" x14ac:dyDescent="0.3">
      <c r="A115" s="9">
        <v>43584</v>
      </c>
      <c r="B115" s="12">
        <v>9</v>
      </c>
      <c r="C115" s="11">
        <v>2E-3</v>
      </c>
      <c r="D115" s="12">
        <v>10</v>
      </c>
      <c r="E115" s="11">
        <v>1E-3</v>
      </c>
      <c r="F115" s="10">
        <v>1140</v>
      </c>
      <c r="G115" s="11">
        <v>0</v>
      </c>
      <c r="H115" s="11">
        <v>0.221</v>
      </c>
      <c r="I115" s="10">
        <v>1950500</v>
      </c>
      <c r="J115" s="12" t="s">
        <v>1814</v>
      </c>
      <c r="K115" s="12">
        <v>252</v>
      </c>
      <c r="L115" s="12" t="s">
        <v>1815</v>
      </c>
      <c r="M115" s="10">
        <v>3623987060</v>
      </c>
      <c r="N115" s="10">
        <v>431187</v>
      </c>
      <c r="O115" s="12">
        <v>31</v>
      </c>
    </row>
    <row r="116" spans="1:15" ht="27" x14ac:dyDescent="0.3">
      <c r="A116" s="9">
        <v>43585</v>
      </c>
      <c r="B116" s="12">
        <v>7</v>
      </c>
      <c r="C116" s="11">
        <v>1E-3</v>
      </c>
      <c r="D116" s="12">
        <v>7</v>
      </c>
      <c r="E116" s="11">
        <v>0</v>
      </c>
      <c r="F116" s="12">
        <v>742</v>
      </c>
      <c r="G116" s="11">
        <v>0</v>
      </c>
      <c r="H116" s="11">
        <v>0.26400000000000001</v>
      </c>
      <c r="I116" s="10">
        <v>1413900</v>
      </c>
      <c r="J116" s="12" t="s">
        <v>1816</v>
      </c>
      <c r="K116" s="12">
        <v>196</v>
      </c>
      <c r="L116" s="12" t="s">
        <v>1817</v>
      </c>
      <c r="M116" s="10">
        <v>3625400960</v>
      </c>
      <c r="N116" s="10">
        <v>431383</v>
      </c>
      <c r="O116" s="12">
        <v>38</v>
      </c>
    </row>
    <row r="117" spans="1:15" ht="27" x14ac:dyDescent="0.3">
      <c r="A117" s="9">
        <v>43586</v>
      </c>
      <c r="B117" s="12">
        <v>2</v>
      </c>
      <c r="C117" s="11">
        <v>0</v>
      </c>
      <c r="D117" s="12">
        <v>4</v>
      </c>
      <c r="E117" s="11">
        <v>0</v>
      </c>
      <c r="F117" s="12">
        <v>198</v>
      </c>
      <c r="G117" s="11">
        <v>0</v>
      </c>
      <c r="H117" s="11">
        <v>0.58599999999999997</v>
      </c>
      <c r="I117" s="10">
        <v>930200</v>
      </c>
      <c r="J117" s="12" t="s">
        <v>1818</v>
      </c>
      <c r="K117" s="12">
        <v>116</v>
      </c>
      <c r="L117" s="12" t="s">
        <v>1819</v>
      </c>
      <c r="M117" s="10">
        <v>3626331160</v>
      </c>
      <c r="N117" s="10">
        <v>431499</v>
      </c>
      <c r="O117" s="12">
        <v>45</v>
      </c>
    </row>
    <row r="118" spans="1:15" ht="27" x14ac:dyDescent="0.3">
      <c r="A118" s="9">
        <v>43587</v>
      </c>
      <c r="B118" s="12">
        <v>3</v>
      </c>
      <c r="C118" s="11">
        <v>1E-3</v>
      </c>
      <c r="D118" s="12">
        <v>4</v>
      </c>
      <c r="E118" s="11">
        <v>0</v>
      </c>
      <c r="F118" s="12">
        <v>309</v>
      </c>
      <c r="G118" s="11">
        <v>0</v>
      </c>
      <c r="H118" s="11">
        <v>0.57899999999999996</v>
      </c>
      <c r="I118" s="10">
        <v>1414000</v>
      </c>
      <c r="J118" s="12" t="s">
        <v>1820</v>
      </c>
      <c r="K118" s="12">
        <v>179</v>
      </c>
      <c r="L118" s="12" t="s">
        <v>1821</v>
      </c>
      <c r="M118" s="10">
        <v>3627745160</v>
      </c>
      <c r="N118" s="10">
        <v>431678</v>
      </c>
      <c r="O118" s="12">
        <v>30</v>
      </c>
    </row>
    <row r="119" spans="1:15" ht="27" x14ac:dyDescent="0.3">
      <c r="A119" s="9">
        <v>43588</v>
      </c>
      <c r="B119" s="12">
        <v>3</v>
      </c>
      <c r="C119" s="11">
        <v>1E-3</v>
      </c>
      <c r="D119" s="12">
        <v>5</v>
      </c>
      <c r="E119" s="11">
        <v>0</v>
      </c>
      <c r="F119" s="12">
        <v>340</v>
      </c>
      <c r="G119" s="11">
        <v>0</v>
      </c>
      <c r="H119" s="11">
        <v>0.54100000000000004</v>
      </c>
      <c r="I119" s="10">
        <v>1906000</v>
      </c>
      <c r="J119" s="12" t="s">
        <v>1822</v>
      </c>
      <c r="K119" s="12">
        <v>184</v>
      </c>
      <c r="L119" s="12" t="s">
        <v>1823</v>
      </c>
      <c r="M119" s="10">
        <v>3629651160</v>
      </c>
      <c r="N119" s="10">
        <v>431862</v>
      </c>
      <c r="O119" s="12">
        <v>30</v>
      </c>
    </row>
    <row r="120" spans="1:15" ht="27" x14ac:dyDescent="0.3">
      <c r="A120" s="9">
        <v>43589</v>
      </c>
      <c r="B120" s="12">
        <v>2</v>
      </c>
      <c r="C120" s="11">
        <v>0</v>
      </c>
      <c r="D120" s="12">
        <v>3</v>
      </c>
      <c r="E120" s="11">
        <v>0</v>
      </c>
      <c r="F120" s="12">
        <v>179</v>
      </c>
      <c r="G120" s="11">
        <v>0</v>
      </c>
      <c r="H120" s="11">
        <v>0.41299999999999998</v>
      </c>
      <c r="I120" s="10">
        <v>584900</v>
      </c>
      <c r="J120" s="12" t="s">
        <v>1824</v>
      </c>
      <c r="K120" s="12">
        <v>74</v>
      </c>
      <c r="L120" s="12" t="s">
        <v>1825</v>
      </c>
      <c r="M120" s="10">
        <v>3630236060</v>
      </c>
      <c r="N120" s="10">
        <v>431936</v>
      </c>
      <c r="O120" s="12">
        <v>45</v>
      </c>
    </row>
    <row r="121" spans="1:15" ht="27" x14ac:dyDescent="0.3">
      <c r="A121" s="9">
        <v>43590</v>
      </c>
      <c r="B121" s="12">
        <v>2</v>
      </c>
      <c r="C121" s="11">
        <v>0</v>
      </c>
      <c r="D121" s="12">
        <v>2</v>
      </c>
      <c r="E121" s="11">
        <v>0</v>
      </c>
      <c r="F121" s="12">
        <v>107</v>
      </c>
      <c r="G121" s="11">
        <v>0</v>
      </c>
      <c r="H121" s="11">
        <v>0.81299999999999994</v>
      </c>
      <c r="I121" s="10">
        <v>756000</v>
      </c>
      <c r="J121" s="12" t="s">
        <v>1826</v>
      </c>
      <c r="K121" s="12">
        <v>87</v>
      </c>
      <c r="L121" s="12" t="s">
        <v>1827</v>
      </c>
      <c r="M121" s="10">
        <v>3630992060</v>
      </c>
      <c r="N121" s="10">
        <v>432023</v>
      </c>
      <c r="O121" s="12">
        <v>39</v>
      </c>
    </row>
    <row r="122" spans="1:15" ht="27" x14ac:dyDescent="0.3">
      <c r="A122" s="9">
        <v>43591</v>
      </c>
      <c r="B122" s="12">
        <v>4</v>
      </c>
      <c r="C122" s="11">
        <v>1E-3</v>
      </c>
      <c r="D122" s="12">
        <v>4</v>
      </c>
      <c r="E122" s="11">
        <v>0</v>
      </c>
      <c r="F122" s="12">
        <v>200</v>
      </c>
      <c r="G122" s="11">
        <v>0</v>
      </c>
      <c r="H122" s="11">
        <v>0.56999999999999995</v>
      </c>
      <c r="I122" s="10">
        <v>963600</v>
      </c>
      <c r="J122" s="12" t="s">
        <v>1828</v>
      </c>
      <c r="K122" s="12">
        <v>114</v>
      </c>
      <c r="L122" s="12" t="s">
        <v>1829</v>
      </c>
      <c r="M122" s="10">
        <v>3631955660</v>
      </c>
      <c r="N122" s="10">
        <v>432137</v>
      </c>
      <c r="O122" s="12">
        <v>35</v>
      </c>
    </row>
    <row r="123" spans="1:15" ht="27" x14ac:dyDescent="0.3">
      <c r="A123" s="9">
        <v>43592</v>
      </c>
      <c r="B123" s="12">
        <v>3</v>
      </c>
      <c r="C123" s="11">
        <v>1E-3</v>
      </c>
      <c r="D123" s="12">
        <v>6</v>
      </c>
      <c r="E123" s="11">
        <v>0</v>
      </c>
      <c r="F123" s="12">
        <v>322</v>
      </c>
      <c r="G123" s="11">
        <v>0</v>
      </c>
      <c r="H123" s="11">
        <v>0.14299999999999999</v>
      </c>
      <c r="I123" s="10">
        <v>339000</v>
      </c>
      <c r="J123" s="12" t="s">
        <v>1830</v>
      </c>
      <c r="K123" s="12">
        <v>46</v>
      </c>
      <c r="L123" s="12" t="s">
        <v>1831</v>
      </c>
      <c r="M123" s="10">
        <v>3632294660</v>
      </c>
      <c r="N123" s="10">
        <v>432183</v>
      </c>
      <c r="O123" s="12">
        <v>54</v>
      </c>
    </row>
    <row r="124" spans="1:15" ht="27" x14ac:dyDescent="0.3">
      <c r="A124" s="9">
        <v>43593</v>
      </c>
      <c r="B124" s="12">
        <v>2</v>
      </c>
      <c r="C124" s="11">
        <v>0</v>
      </c>
      <c r="D124" s="12">
        <v>3</v>
      </c>
      <c r="E124" s="11">
        <v>0</v>
      </c>
      <c r="F124" s="12">
        <v>292</v>
      </c>
      <c r="G124" s="11">
        <v>0</v>
      </c>
      <c r="H124" s="11">
        <v>0.16800000000000001</v>
      </c>
      <c r="I124" s="10">
        <v>323000</v>
      </c>
      <c r="J124" s="12" t="s">
        <v>1832</v>
      </c>
      <c r="K124" s="12">
        <v>49</v>
      </c>
      <c r="L124" s="12" t="s">
        <v>1833</v>
      </c>
      <c r="M124" s="10">
        <v>3632617660</v>
      </c>
      <c r="N124" s="10">
        <v>432232</v>
      </c>
      <c r="O124" s="12">
        <v>59</v>
      </c>
    </row>
    <row r="125" spans="1:15" ht="27" x14ac:dyDescent="0.3">
      <c r="A125" s="9">
        <v>43594</v>
      </c>
      <c r="B125" s="12">
        <v>2</v>
      </c>
      <c r="C125" s="11">
        <v>0</v>
      </c>
      <c r="D125" s="12">
        <v>3</v>
      </c>
      <c r="E125" s="11">
        <v>0</v>
      </c>
      <c r="F125" s="12">
        <v>292</v>
      </c>
      <c r="G125" s="11">
        <v>0</v>
      </c>
      <c r="H125" s="11">
        <v>7.1999999999999995E-2</v>
      </c>
      <c r="I125" s="10">
        <v>147000</v>
      </c>
      <c r="J125" s="12" t="s">
        <v>1834</v>
      </c>
      <c r="K125" s="12">
        <v>21</v>
      </c>
      <c r="L125" s="12" t="s">
        <v>1835</v>
      </c>
      <c r="M125" s="10">
        <v>3632764660</v>
      </c>
      <c r="N125" s="10">
        <v>432253</v>
      </c>
      <c r="O125" s="12">
        <v>67</v>
      </c>
    </row>
    <row r="126" spans="1:15" ht="27" x14ac:dyDescent="0.3">
      <c r="A126" s="9">
        <v>43595</v>
      </c>
      <c r="B126" s="12">
        <v>1</v>
      </c>
      <c r="C126" s="11">
        <v>0</v>
      </c>
      <c r="D126" s="12">
        <v>2</v>
      </c>
      <c r="E126" s="11">
        <v>0</v>
      </c>
      <c r="F126" s="12">
        <v>220</v>
      </c>
      <c r="G126" s="11">
        <v>0</v>
      </c>
      <c r="H126" s="11">
        <v>0.123</v>
      </c>
      <c r="I126" s="10">
        <v>181000</v>
      </c>
      <c r="J126" s="12" t="s">
        <v>1836</v>
      </c>
      <c r="K126" s="12">
        <v>27</v>
      </c>
      <c r="L126" s="12" t="s">
        <v>1837</v>
      </c>
      <c r="M126" s="10">
        <v>3632945660</v>
      </c>
      <c r="N126" s="10">
        <v>432280</v>
      </c>
      <c r="O126" s="12">
        <v>62</v>
      </c>
    </row>
    <row r="127" spans="1:15" ht="27" x14ac:dyDescent="0.3">
      <c r="A127" s="9">
        <v>43596</v>
      </c>
      <c r="B127" s="12">
        <v>3</v>
      </c>
      <c r="C127" s="11">
        <v>1E-3</v>
      </c>
      <c r="D127" s="12">
        <v>3</v>
      </c>
      <c r="E127" s="11">
        <v>0</v>
      </c>
      <c r="F127" s="12">
        <v>320</v>
      </c>
      <c r="G127" s="11">
        <v>0</v>
      </c>
      <c r="H127" s="11">
        <v>0.36299999999999999</v>
      </c>
      <c r="I127" s="10">
        <v>980500</v>
      </c>
      <c r="J127" s="12" t="s">
        <v>1838</v>
      </c>
      <c r="K127" s="12">
        <v>116</v>
      </c>
      <c r="L127" s="12" t="s">
        <v>1839</v>
      </c>
      <c r="M127" s="10">
        <v>3633926160</v>
      </c>
      <c r="N127" s="10">
        <v>432396</v>
      </c>
      <c r="O127" s="12">
        <v>37</v>
      </c>
    </row>
    <row r="128" spans="1:15" ht="27" x14ac:dyDescent="0.3">
      <c r="A128" s="9">
        <v>43597</v>
      </c>
      <c r="B128" s="12">
        <v>3</v>
      </c>
      <c r="C128" s="11">
        <v>1E-3</v>
      </c>
      <c r="D128" s="12">
        <v>3</v>
      </c>
      <c r="E128" s="11">
        <v>0</v>
      </c>
      <c r="F128" s="12">
        <v>320</v>
      </c>
      <c r="G128" s="11">
        <v>0</v>
      </c>
      <c r="H128" s="11">
        <v>0.316</v>
      </c>
      <c r="I128" s="10">
        <v>816500</v>
      </c>
      <c r="J128" s="12" t="s">
        <v>1840</v>
      </c>
      <c r="K128" s="12">
        <v>101</v>
      </c>
      <c r="L128" s="12" t="s">
        <v>1841</v>
      </c>
      <c r="M128" s="10">
        <v>3634742660</v>
      </c>
      <c r="N128" s="10">
        <v>432497</v>
      </c>
      <c r="O128" s="12">
        <v>36</v>
      </c>
    </row>
    <row r="129" spans="1:15" ht="27" x14ac:dyDescent="0.3">
      <c r="A129" s="9">
        <v>43598</v>
      </c>
      <c r="B129" s="12">
        <v>2</v>
      </c>
      <c r="C129" s="11">
        <v>0</v>
      </c>
      <c r="D129" s="12">
        <v>3</v>
      </c>
      <c r="E129" s="11">
        <v>0</v>
      </c>
      <c r="F129" s="12">
        <v>292</v>
      </c>
      <c r="G129" s="11">
        <v>0</v>
      </c>
      <c r="H129" s="11">
        <v>0.12</v>
      </c>
      <c r="I129" s="10">
        <v>266000</v>
      </c>
      <c r="J129" s="12" t="s">
        <v>1842</v>
      </c>
      <c r="K129" s="12">
        <v>35</v>
      </c>
      <c r="L129" s="12" t="s">
        <v>1843</v>
      </c>
      <c r="M129" s="10">
        <v>3635008660</v>
      </c>
      <c r="N129" s="10">
        <v>432532</v>
      </c>
      <c r="O129" s="12">
        <v>54</v>
      </c>
    </row>
    <row r="130" spans="1:15" ht="27" x14ac:dyDescent="0.3">
      <c r="A130" s="9">
        <v>43599</v>
      </c>
      <c r="B130" s="12">
        <v>2</v>
      </c>
      <c r="C130" s="11">
        <v>0</v>
      </c>
      <c r="D130" s="12">
        <v>3</v>
      </c>
      <c r="E130" s="11">
        <v>0</v>
      </c>
      <c r="F130" s="12">
        <v>292</v>
      </c>
      <c r="G130" s="11">
        <v>0</v>
      </c>
      <c r="H130" s="11">
        <v>0.13400000000000001</v>
      </c>
      <c r="I130" s="10">
        <v>298000</v>
      </c>
      <c r="J130" s="12" t="s">
        <v>1844</v>
      </c>
      <c r="K130" s="12">
        <v>39</v>
      </c>
      <c r="L130" s="12" t="s">
        <v>1845</v>
      </c>
      <c r="M130" s="10">
        <v>3635306660</v>
      </c>
      <c r="N130" s="10">
        <v>432571</v>
      </c>
      <c r="O130" s="12">
        <v>57</v>
      </c>
    </row>
    <row r="131" spans="1:15" ht="27" x14ac:dyDescent="0.3">
      <c r="A131" s="9">
        <v>43600</v>
      </c>
      <c r="B131" s="12">
        <v>2</v>
      </c>
      <c r="C131" s="11">
        <v>0</v>
      </c>
      <c r="D131" s="12">
        <v>2</v>
      </c>
      <c r="E131" s="11">
        <v>0</v>
      </c>
      <c r="F131" s="12">
        <v>182</v>
      </c>
      <c r="G131" s="11">
        <v>0</v>
      </c>
      <c r="H131" s="11">
        <v>0.19800000000000001</v>
      </c>
      <c r="I131" s="10">
        <v>268000</v>
      </c>
      <c r="J131" s="12" t="s">
        <v>1846</v>
      </c>
      <c r="K131" s="12">
        <v>36</v>
      </c>
      <c r="L131" s="12" t="s">
        <v>1847</v>
      </c>
      <c r="M131" s="10">
        <v>3635574660</v>
      </c>
      <c r="N131" s="10">
        <v>432607</v>
      </c>
      <c r="O131" s="12">
        <v>55</v>
      </c>
    </row>
    <row r="132" spans="1:15" ht="27" x14ac:dyDescent="0.3">
      <c r="A132" s="9">
        <v>43601</v>
      </c>
      <c r="B132" s="12">
        <v>2</v>
      </c>
      <c r="C132" s="11">
        <v>0</v>
      </c>
      <c r="D132" s="12">
        <v>2</v>
      </c>
      <c r="E132" s="11">
        <v>0</v>
      </c>
      <c r="F132" s="12">
        <v>182</v>
      </c>
      <c r="G132" s="11">
        <v>0</v>
      </c>
      <c r="H132" s="11">
        <v>0.14799999999999999</v>
      </c>
      <c r="I132" s="10">
        <v>192000</v>
      </c>
      <c r="J132" s="12" t="s">
        <v>1848</v>
      </c>
      <c r="K132" s="12">
        <v>27</v>
      </c>
      <c r="L132" s="12" t="s">
        <v>1849</v>
      </c>
      <c r="M132" s="10">
        <v>3635766660</v>
      </c>
      <c r="N132" s="10">
        <v>432634</v>
      </c>
      <c r="O132" s="12">
        <v>64</v>
      </c>
    </row>
    <row r="133" spans="1:15" ht="27" x14ac:dyDescent="0.3">
      <c r="A133" s="9">
        <v>43602</v>
      </c>
      <c r="B133" s="12">
        <v>2</v>
      </c>
      <c r="C133" s="11">
        <v>0</v>
      </c>
      <c r="D133" s="12">
        <v>2</v>
      </c>
      <c r="E133" s="11">
        <v>0</v>
      </c>
      <c r="F133" s="12">
        <v>182</v>
      </c>
      <c r="G133" s="11">
        <v>0</v>
      </c>
      <c r="H133" s="11">
        <v>9.9000000000000005E-2</v>
      </c>
      <c r="I133" s="10">
        <v>132000</v>
      </c>
      <c r="J133" s="12" t="s">
        <v>1850</v>
      </c>
      <c r="K133" s="12">
        <v>18</v>
      </c>
      <c r="L133" s="12" t="s">
        <v>1851</v>
      </c>
      <c r="M133" s="10">
        <v>3635898660</v>
      </c>
      <c r="N133" s="10">
        <v>432652</v>
      </c>
      <c r="O133" s="12">
        <v>82</v>
      </c>
    </row>
    <row r="134" spans="1:15" ht="27" x14ac:dyDescent="0.3">
      <c r="A134" s="9">
        <v>43603</v>
      </c>
      <c r="B134" s="12">
        <v>3</v>
      </c>
      <c r="C134" s="11">
        <v>0</v>
      </c>
      <c r="D134" s="12">
        <v>4</v>
      </c>
      <c r="E134" s="11">
        <v>0</v>
      </c>
      <c r="F134" s="12">
        <v>519</v>
      </c>
      <c r="G134" s="11">
        <v>0</v>
      </c>
      <c r="H134" s="11">
        <v>0.374</v>
      </c>
      <c r="I134" s="10">
        <v>1713000</v>
      </c>
      <c r="J134" s="12" t="s">
        <v>1852</v>
      </c>
      <c r="K134" s="12">
        <v>194</v>
      </c>
      <c r="L134" s="12" t="s">
        <v>1853</v>
      </c>
      <c r="M134" s="10">
        <v>3637611660</v>
      </c>
      <c r="N134" s="10">
        <v>432846</v>
      </c>
      <c r="O134" s="12">
        <v>33</v>
      </c>
    </row>
    <row r="135" spans="1:15" ht="27" x14ac:dyDescent="0.3">
      <c r="A135" s="9">
        <v>43604</v>
      </c>
      <c r="B135" s="12">
        <v>3</v>
      </c>
      <c r="C135" s="11">
        <v>0</v>
      </c>
      <c r="D135" s="12">
        <v>4</v>
      </c>
      <c r="E135" s="11">
        <v>0</v>
      </c>
      <c r="F135" s="12">
        <v>273</v>
      </c>
      <c r="G135" s="11">
        <v>0</v>
      </c>
      <c r="H135" s="11">
        <v>0.74</v>
      </c>
      <c r="I135" s="10">
        <v>2074800</v>
      </c>
      <c r="J135" s="12" t="s">
        <v>1854</v>
      </c>
      <c r="K135" s="12">
        <v>202</v>
      </c>
      <c r="L135" s="12" t="s">
        <v>1855</v>
      </c>
      <c r="M135" s="10">
        <v>3639686460</v>
      </c>
      <c r="N135" s="10">
        <v>433048</v>
      </c>
      <c r="O135" s="12">
        <v>24</v>
      </c>
    </row>
    <row r="136" spans="1:15" ht="27" x14ac:dyDescent="0.3">
      <c r="A136" s="9">
        <v>43605</v>
      </c>
      <c r="B136" s="12">
        <v>2</v>
      </c>
      <c r="C136" s="11">
        <v>0</v>
      </c>
      <c r="D136" s="12">
        <v>2</v>
      </c>
      <c r="E136" s="11">
        <v>0</v>
      </c>
      <c r="F136" s="12">
        <v>107</v>
      </c>
      <c r="G136" s="11">
        <v>0</v>
      </c>
      <c r="H136" s="11">
        <v>0.224</v>
      </c>
      <c r="I136" s="10">
        <v>202000</v>
      </c>
      <c r="J136" s="12" t="s">
        <v>1856</v>
      </c>
      <c r="K136" s="12">
        <v>24</v>
      </c>
      <c r="L136" s="12" t="s">
        <v>1857</v>
      </c>
      <c r="M136" s="10">
        <v>3639888460</v>
      </c>
      <c r="N136" s="10">
        <v>433072</v>
      </c>
      <c r="O136" s="12">
        <v>54</v>
      </c>
    </row>
    <row r="137" spans="1:15" ht="27" x14ac:dyDescent="0.3">
      <c r="A137" s="9">
        <v>43606</v>
      </c>
      <c r="B137" s="12">
        <v>3</v>
      </c>
      <c r="C137" s="11">
        <v>1E-3</v>
      </c>
      <c r="D137" s="12">
        <v>4</v>
      </c>
      <c r="E137" s="11">
        <v>0</v>
      </c>
      <c r="F137" s="12">
        <v>252</v>
      </c>
      <c r="G137" s="11">
        <v>0</v>
      </c>
      <c r="H137" s="11">
        <v>0.187</v>
      </c>
      <c r="I137" s="10">
        <v>324800</v>
      </c>
      <c r="J137" s="12" t="s">
        <v>1858</v>
      </c>
      <c r="K137" s="12">
        <v>47</v>
      </c>
      <c r="L137" s="12" t="s">
        <v>1859</v>
      </c>
      <c r="M137" s="10">
        <v>3640213260</v>
      </c>
      <c r="N137" s="10">
        <v>433119</v>
      </c>
      <c r="O137" s="12">
        <v>53</v>
      </c>
    </row>
    <row r="138" spans="1:15" ht="27" x14ac:dyDescent="0.3">
      <c r="A138" s="9">
        <v>43607</v>
      </c>
      <c r="B138" s="12">
        <v>2</v>
      </c>
      <c r="C138" s="11">
        <v>0</v>
      </c>
      <c r="D138" s="12">
        <v>3</v>
      </c>
      <c r="E138" s="11">
        <v>0</v>
      </c>
      <c r="F138" s="12">
        <v>156</v>
      </c>
      <c r="G138" s="11">
        <v>0</v>
      </c>
      <c r="H138" s="11">
        <v>0.16700000000000001</v>
      </c>
      <c r="I138" s="10">
        <v>205000</v>
      </c>
      <c r="J138" s="12" t="s">
        <v>1860</v>
      </c>
      <c r="K138" s="12">
        <v>26</v>
      </c>
      <c r="L138" s="12" t="s">
        <v>1861</v>
      </c>
      <c r="M138" s="10">
        <v>3640418260</v>
      </c>
      <c r="N138" s="10">
        <v>433145</v>
      </c>
      <c r="O138" s="12">
        <v>52</v>
      </c>
    </row>
    <row r="139" spans="1:15" ht="27" x14ac:dyDescent="0.3">
      <c r="A139" s="9">
        <v>43608</v>
      </c>
      <c r="B139" s="12">
        <v>1</v>
      </c>
      <c r="C139" s="11">
        <v>0</v>
      </c>
      <c r="D139" s="12">
        <v>1</v>
      </c>
      <c r="E139" s="11">
        <v>0</v>
      </c>
      <c r="F139" s="12">
        <v>35</v>
      </c>
      <c r="G139" s="11">
        <v>0</v>
      </c>
      <c r="H139" s="11">
        <v>0.14299999999999999</v>
      </c>
      <c r="I139" s="10">
        <v>30500</v>
      </c>
      <c r="J139" s="12" t="s">
        <v>1862</v>
      </c>
      <c r="K139" s="12">
        <v>5</v>
      </c>
      <c r="L139" s="12" t="s">
        <v>1863</v>
      </c>
      <c r="M139" s="10">
        <v>3640448760</v>
      </c>
      <c r="N139" s="10">
        <v>433150</v>
      </c>
      <c r="O139" s="12">
        <v>80</v>
      </c>
    </row>
    <row r="140" spans="1:15" ht="27" x14ac:dyDescent="0.3">
      <c r="A140" s="9">
        <v>43609</v>
      </c>
      <c r="B140" s="12">
        <v>2</v>
      </c>
      <c r="C140" s="11">
        <v>0</v>
      </c>
      <c r="D140" s="12">
        <v>2</v>
      </c>
      <c r="E140" s="11">
        <v>0</v>
      </c>
      <c r="F140" s="12">
        <v>159</v>
      </c>
      <c r="G140" s="11">
        <v>0</v>
      </c>
      <c r="H140" s="11">
        <v>0.64800000000000002</v>
      </c>
      <c r="I140" s="10">
        <v>623000</v>
      </c>
      <c r="J140" s="12" t="s">
        <v>1864</v>
      </c>
      <c r="K140" s="12">
        <v>103</v>
      </c>
      <c r="L140" s="12" t="s">
        <v>1865</v>
      </c>
      <c r="M140" s="10">
        <v>3641071760</v>
      </c>
      <c r="N140" s="10">
        <v>433253</v>
      </c>
      <c r="O140" s="12">
        <v>40</v>
      </c>
    </row>
    <row r="141" spans="1:15" ht="27" x14ac:dyDescent="0.3">
      <c r="A141" s="9">
        <v>43610</v>
      </c>
      <c r="B141" s="12">
        <v>1</v>
      </c>
      <c r="C141" s="11">
        <v>0</v>
      </c>
      <c r="D141" s="12">
        <v>1</v>
      </c>
      <c r="E141" s="11">
        <v>0</v>
      </c>
      <c r="F141" s="12">
        <v>35</v>
      </c>
      <c r="G141" s="11">
        <v>0</v>
      </c>
      <c r="H141" s="11">
        <v>5.7000000000000002E-2</v>
      </c>
      <c r="I141" s="10">
        <v>14000</v>
      </c>
      <c r="J141" s="12" t="s">
        <v>1866</v>
      </c>
      <c r="K141" s="12">
        <v>2</v>
      </c>
      <c r="L141" s="12" t="s">
        <v>1867</v>
      </c>
      <c r="M141" s="10">
        <v>3641085760</v>
      </c>
      <c r="N141" s="10">
        <v>433255</v>
      </c>
      <c r="O141" s="12">
        <v>110</v>
      </c>
    </row>
    <row r="142" spans="1:15" ht="27" x14ac:dyDescent="0.3">
      <c r="A142" s="9">
        <v>43611</v>
      </c>
      <c r="B142" s="12">
        <v>2</v>
      </c>
      <c r="C142" s="11">
        <v>0</v>
      </c>
      <c r="D142" s="12">
        <v>2</v>
      </c>
      <c r="E142" s="11">
        <v>0</v>
      </c>
      <c r="F142" s="12">
        <v>107</v>
      </c>
      <c r="G142" s="11">
        <v>0</v>
      </c>
      <c r="H142" s="11">
        <v>0.40200000000000002</v>
      </c>
      <c r="I142" s="10">
        <v>385600</v>
      </c>
      <c r="J142" s="12" t="s">
        <v>1868</v>
      </c>
      <c r="K142" s="12">
        <v>43</v>
      </c>
      <c r="L142" s="12" t="s">
        <v>1869</v>
      </c>
      <c r="M142" s="10">
        <v>3641471360</v>
      </c>
      <c r="N142" s="10">
        <v>433298</v>
      </c>
      <c r="O142" s="12">
        <v>53</v>
      </c>
    </row>
    <row r="143" spans="1:15" ht="27" x14ac:dyDescent="0.3">
      <c r="A143" s="9">
        <v>43612</v>
      </c>
      <c r="B143" s="12">
        <v>1</v>
      </c>
      <c r="C143" s="11">
        <v>0</v>
      </c>
      <c r="D143" s="12">
        <v>1</v>
      </c>
      <c r="E143" s="11">
        <v>0</v>
      </c>
      <c r="F143" s="12">
        <v>35</v>
      </c>
      <c r="G143" s="11">
        <v>0</v>
      </c>
      <c r="H143" s="11">
        <v>8.5999999999999993E-2</v>
      </c>
      <c r="I143" s="10">
        <v>19000</v>
      </c>
      <c r="J143" s="12" t="s">
        <v>1870</v>
      </c>
      <c r="K143" s="12">
        <v>3</v>
      </c>
      <c r="L143" s="12" t="s">
        <v>1871</v>
      </c>
      <c r="M143" s="10">
        <v>3641490360</v>
      </c>
      <c r="N143" s="10">
        <v>433301</v>
      </c>
      <c r="O143" s="12">
        <v>82</v>
      </c>
    </row>
    <row r="144" spans="1:15" ht="27" x14ac:dyDescent="0.3">
      <c r="A144" s="9">
        <v>43613</v>
      </c>
      <c r="B144" s="12">
        <v>1</v>
      </c>
      <c r="C144" s="11">
        <v>0</v>
      </c>
      <c r="D144" s="12">
        <v>1</v>
      </c>
      <c r="E144" s="11">
        <v>0</v>
      </c>
      <c r="F144" s="12">
        <v>35</v>
      </c>
      <c r="G144" s="11">
        <v>0</v>
      </c>
      <c r="H144" s="11">
        <v>8.5999999999999993E-2</v>
      </c>
      <c r="I144" s="10">
        <v>20500</v>
      </c>
      <c r="J144" s="12" t="s">
        <v>1872</v>
      </c>
      <c r="K144" s="12">
        <v>3</v>
      </c>
      <c r="L144" s="12" t="s">
        <v>292</v>
      </c>
      <c r="M144" s="10">
        <v>3641510860</v>
      </c>
      <c r="N144" s="10">
        <v>433304</v>
      </c>
      <c r="O144" s="12">
        <v>103</v>
      </c>
    </row>
    <row r="145" spans="1:15" ht="27" x14ac:dyDescent="0.3">
      <c r="A145" s="9">
        <v>43616</v>
      </c>
      <c r="B145" s="12">
        <v>1</v>
      </c>
      <c r="C145" s="11">
        <v>0</v>
      </c>
      <c r="D145" s="12">
        <v>1</v>
      </c>
      <c r="E145" s="11">
        <v>0</v>
      </c>
      <c r="F145" s="12">
        <v>140</v>
      </c>
      <c r="G145" s="11">
        <v>0</v>
      </c>
      <c r="H145" s="11">
        <v>1</v>
      </c>
      <c r="I145" s="10">
        <v>700000</v>
      </c>
      <c r="J145" s="12" t="s">
        <v>1873</v>
      </c>
      <c r="K145" s="12">
        <v>140</v>
      </c>
      <c r="L145" s="12" t="s">
        <v>1874</v>
      </c>
      <c r="M145" s="10">
        <v>3642210860</v>
      </c>
      <c r="N145" s="10">
        <v>433444</v>
      </c>
      <c r="O145" s="12">
        <v>33</v>
      </c>
    </row>
    <row r="146" spans="1:15" ht="27" x14ac:dyDescent="0.3">
      <c r="A146" s="9">
        <v>43627</v>
      </c>
      <c r="B146" s="12">
        <v>1</v>
      </c>
      <c r="C146" s="11">
        <v>0</v>
      </c>
      <c r="D146" s="12">
        <v>1</v>
      </c>
      <c r="E146" s="11">
        <v>0</v>
      </c>
      <c r="F146" s="12">
        <v>174</v>
      </c>
      <c r="G146" s="11">
        <v>0</v>
      </c>
      <c r="H146" s="11">
        <v>1</v>
      </c>
      <c r="I146" s="10">
        <v>870000</v>
      </c>
      <c r="J146" s="12" t="s">
        <v>1875</v>
      </c>
      <c r="K146" s="12">
        <v>174</v>
      </c>
      <c r="L146" s="12" t="s">
        <v>1876</v>
      </c>
      <c r="M146" s="10">
        <v>3643080860</v>
      </c>
      <c r="N146" s="10">
        <v>433618</v>
      </c>
      <c r="O146" s="12">
        <v>41</v>
      </c>
    </row>
    <row r="147" spans="1:15" ht="27" x14ac:dyDescent="0.3">
      <c r="A147" s="9">
        <v>43638</v>
      </c>
      <c r="B147" s="12">
        <v>1</v>
      </c>
      <c r="C147" s="11">
        <v>0</v>
      </c>
      <c r="D147" s="12">
        <v>1</v>
      </c>
      <c r="E147" s="11">
        <v>0</v>
      </c>
      <c r="F147" s="12">
        <v>413</v>
      </c>
      <c r="G147" s="11">
        <v>0</v>
      </c>
      <c r="H147" s="11">
        <v>0.189</v>
      </c>
      <c r="I147" s="10">
        <v>511000</v>
      </c>
      <c r="J147" s="12" t="s">
        <v>1877</v>
      </c>
      <c r="K147" s="12">
        <v>78</v>
      </c>
      <c r="L147" s="12" t="s">
        <v>1878</v>
      </c>
      <c r="M147" s="10">
        <v>3643591860</v>
      </c>
      <c r="N147" s="10">
        <v>433696</v>
      </c>
      <c r="O147" s="12">
        <v>47</v>
      </c>
    </row>
    <row r="148" spans="1:15" ht="27" x14ac:dyDescent="0.3">
      <c r="A148" s="9">
        <v>43639</v>
      </c>
      <c r="B148" s="12">
        <v>1</v>
      </c>
      <c r="C148" s="11">
        <v>0</v>
      </c>
      <c r="D148" s="12">
        <v>1</v>
      </c>
      <c r="E148" s="11">
        <v>0</v>
      </c>
      <c r="F148" s="12">
        <v>413</v>
      </c>
      <c r="G148" s="11">
        <v>0</v>
      </c>
      <c r="H148" s="11">
        <v>8.2000000000000003E-2</v>
      </c>
      <c r="I148" s="10">
        <v>170000</v>
      </c>
      <c r="J148" s="12" t="s">
        <v>1879</v>
      </c>
      <c r="K148" s="12">
        <v>34</v>
      </c>
      <c r="L148" s="12" t="s">
        <v>1880</v>
      </c>
      <c r="M148" s="10">
        <v>3643761860</v>
      </c>
      <c r="N148" s="10">
        <v>433730</v>
      </c>
      <c r="O148" s="12">
        <v>58</v>
      </c>
    </row>
    <row r="149" spans="1:15" ht="27" x14ac:dyDescent="0.3">
      <c r="A149" s="9">
        <v>43641</v>
      </c>
      <c r="B149" s="12">
        <v>1</v>
      </c>
      <c r="C149" s="11">
        <v>0</v>
      </c>
      <c r="D149" s="12">
        <v>1</v>
      </c>
      <c r="E149" s="11">
        <v>0</v>
      </c>
      <c r="F149" s="12">
        <v>90</v>
      </c>
      <c r="G149" s="11">
        <v>0</v>
      </c>
      <c r="H149" s="11">
        <v>1</v>
      </c>
      <c r="I149" s="10">
        <v>450000</v>
      </c>
      <c r="J149" s="12" t="s">
        <v>1881</v>
      </c>
      <c r="K149" s="12">
        <v>90</v>
      </c>
      <c r="L149" s="12" t="s">
        <v>1882</v>
      </c>
      <c r="M149" s="10">
        <v>3644211860</v>
      </c>
      <c r="N149" s="10">
        <v>433820</v>
      </c>
      <c r="O149" s="12">
        <v>47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B36D8-5FC8-4609-AF6F-C85B2B1CA2A3}">
  <dimension ref="A1:O74"/>
  <sheetViews>
    <sheetView workbookViewId="0">
      <selection activeCell="H15" sqref="H15"/>
    </sheetView>
  </sheetViews>
  <sheetFormatPr defaultRowHeight="16.5" x14ac:dyDescent="0.3"/>
  <sheetData>
    <row r="1" spans="1:15" ht="19.5" x14ac:dyDescent="0.3">
      <c r="A1" s="197" t="s">
        <v>1883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43448</v>
      </c>
      <c r="B5" s="12">
        <v>353</v>
      </c>
      <c r="C5" s="11">
        <v>5.0999999999999997E-2</v>
      </c>
      <c r="D5" s="12">
        <v>354</v>
      </c>
      <c r="E5" s="11">
        <v>1.9E-2</v>
      </c>
      <c r="F5" s="10">
        <v>61547</v>
      </c>
      <c r="G5" s="11">
        <v>2.1000000000000001E-2</v>
      </c>
      <c r="H5" s="11">
        <v>0.159</v>
      </c>
      <c r="I5" s="10">
        <v>86305000</v>
      </c>
      <c r="J5" s="12" t="s">
        <v>1885</v>
      </c>
      <c r="K5" s="10">
        <v>9804</v>
      </c>
      <c r="L5" s="12" t="s">
        <v>1886</v>
      </c>
      <c r="M5" s="10">
        <v>296634400</v>
      </c>
      <c r="N5" s="10">
        <v>37733</v>
      </c>
      <c r="O5" s="12">
        <v>7</v>
      </c>
    </row>
    <row r="6" spans="1:15" ht="27" x14ac:dyDescent="0.3">
      <c r="A6" s="9">
        <v>43449</v>
      </c>
      <c r="B6" s="12">
        <v>418</v>
      </c>
      <c r="C6" s="11">
        <v>5.7000000000000002E-2</v>
      </c>
      <c r="D6" s="12">
        <v>705</v>
      </c>
      <c r="E6" s="11">
        <v>3.5999999999999997E-2</v>
      </c>
      <c r="F6" s="10">
        <v>124049</v>
      </c>
      <c r="G6" s="11">
        <v>0.04</v>
      </c>
      <c r="H6" s="11">
        <v>0.25</v>
      </c>
      <c r="I6" s="10">
        <v>271974500</v>
      </c>
      <c r="J6" s="12" t="s">
        <v>1887</v>
      </c>
      <c r="K6" s="10">
        <v>30951</v>
      </c>
      <c r="L6" s="12" t="s">
        <v>1888</v>
      </c>
      <c r="M6" s="10">
        <v>568608900</v>
      </c>
      <c r="N6" s="10">
        <v>68684</v>
      </c>
      <c r="O6" s="12">
        <v>6</v>
      </c>
    </row>
    <row r="7" spans="1:15" ht="27" x14ac:dyDescent="0.3">
      <c r="A7" s="9">
        <v>43450</v>
      </c>
      <c r="B7" s="12">
        <v>407</v>
      </c>
      <c r="C7" s="11">
        <v>5.6000000000000001E-2</v>
      </c>
      <c r="D7" s="12">
        <v>703</v>
      </c>
      <c r="E7" s="11">
        <v>3.5999999999999997E-2</v>
      </c>
      <c r="F7" s="10">
        <v>122895</v>
      </c>
      <c r="G7" s="11">
        <v>4.1000000000000002E-2</v>
      </c>
      <c r="H7" s="11">
        <v>0.26300000000000001</v>
      </c>
      <c r="I7" s="10">
        <v>285824600</v>
      </c>
      <c r="J7" s="12" t="s">
        <v>1889</v>
      </c>
      <c r="K7" s="10">
        <v>32305</v>
      </c>
      <c r="L7" s="12" t="s">
        <v>1890</v>
      </c>
      <c r="M7" s="10">
        <v>854433500</v>
      </c>
      <c r="N7" s="10">
        <v>100989</v>
      </c>
      <c r="O7" s="12">
        <v>6</v>
      </c>
    </row>
    <row r="8" spans="1:15" ht="40.5" x14ac:dyDescent="0.3">
      <c r="A8" s="9">
        <v>43451</v>
      </c>
      <c r="B8" s="12">
        <v>17</v>
      </c>
      <c r="C8" s="11">
        <v>3.0000000000000001E-3</v>
      </c>
      <c r="D8" s="12">
        <v>17</v>
      </c>
      <c r="E8" s="11">
        <v>1E-3</v>
      </c>
      <c r="F8" s="10">
        <v>3825</v>
      </c>
      <c r="G8" s="11">
        <v>1E-3</v>
      </c>
      <c r="H8" s="11">
        <v>0.80700000000000005</v>
      </c>
      <c r="I8" s="10">
        <v>26440300</v>
      </c>
      <c r="J8" s="12" t="s">
        <v>1891</v>
      </c>
      <c r="K8" s="10">
        <v>3086</v>
      </c>
      <c r="L8" s="12" t="s">
        <v>1892</v>
      </c>
      <c r="M8" s="10">
        <v>880873800</v>
      </c>
      <c r="N8" s="10">
        <v>104075</v>
      </c>
      <c r="O8" s="12">
        <v>9</v>
      </c>
    </row>
    <row r="9" spans="1:15" ht="27" x14ac:dyDescent="0.3">
      <c r="A9" s="9">
        <v>43452</v>
      </c>
      <c r="B9" s="12">
        <v>21</v>
      </c>
      <c r="C9" s="11">
        <v>3.0000000000000001E-3</v>
      </c>
      <c r="D9" s="12">
        <v>21</v>
      </c>
      <c r="E9" s="11">
        <v>1E-3</v>
      </c>
      <c r="F9" s="10">
        <v>4673</v>
      </c>
      <c r="G9" s="11">
        <v>2E-3</v>
      </c>
      <c r="H9" s="11">
        <v>0.99099999999999999</v>
      </c>
      <c r="I9" s="10">
        <v>40947000</v>
      </c>
      <c r="J9" s="12" t="s">
        <v>1893</v>
      </c>
      <c r="K9" s="10">
        <v>4631</v>
      </c>
      <c r="L9" s="12" t="s">
        <v>1894</v>
      </c>
      <c r="M9" s="10">
        <v>921820800</v>
      </c>
      <c r="N9" s="10">
        <v>108706</v>
      </c>
      <c r="O9" s="12">
        <v>11</v>
      </c>
    </row>
    <row r="10" spans="1:15" ht="27" x14ac:dyDescent="0.3">
      <c r="A10" s="9">
        <v>43453</v>
      </c>
      <c r="B10" s="12">
        <v>984</v>
      </c>
      <c r="C10" s="11">
        <v>0.155</v>
      </c>
      <c r="D10" s="10">
        <v>3669</v>
      </c>
      <c r="E10" s="11">
        <v>0.21199999999999999</v>
      </c>
      <c r="F10" s="10">
        <v>573754</v>
      </c>
      <c r="G10" s="11">
        <v>0.21199999999999999</v>
      </c>
      <c r="H10" s="11">
        <v>0.17899999999999999</v>
      </c>
      <c r="I10" s="10">
        <v>776978000</v>
      </c>
      <c r="J10" s="12" t="s">
        <v>1895</v>
      </c>
      <c r="K10" s="10">
        <v>102502</v>
      </c>
      <c r="L10" s="12" t="s">
        <v>1896</v>
      </c>
      <c r="M10" s="10">
        <v>1698798800</v>
      </c>
      <c r="N10" s="10">
        <v>211208</v>
      </c>
      <c r="O10" s="12">
        <v>3</v>
      </c>
    </row>
    <row r="11" spans="1:15" ht="40.5" x14ac:dyDescent="0.3">
      <c r="A11" s="9">
        <v>43454</v>
      </c>
      <c r="B11" s="12">
        <v>983</v>
      </c>
      <c r="C11" s="11">
        <v>0.152</v>
      </c>
      <c r="D11" s="10">
        <v>3519</v>
      </c>
      <c r="E11" s="11">
        <v>0.20399999999999999</v>
      </c>
      <c r="F11" s="10">
        <v>543593</v>
      </c>
      <c r="G11" s="11">
        <v>0.20200000000000001</v>
      </c>
      <c r="H11" s="11">
        <v>0.14399999999999999</v>
      </c>
      <c r="I11" s="10">
        <v>588835200</v>
      </c>
      <c r="J11" s="12" t="s">
        <v>1897</v>
      </c>
      <c r="K11" s="10">
        <v>78455</v>
      </c>
      <c r="L11" s="12" t="s">
        <v>1898</v>
      </c>
      <c r="M11" s="10">
        <v>2287634000</v>
      </c>
      <c r="N11" s="10">
        <v>289663</v>
      </c>
      <c r="O11" s="12">
        <v>3</v>
      </c>
    </row>
    <row r="12" spans="1:15" ht="27" x14ac:dyDescent="0.3">
      <c r="A12" s="9">
        <v>43455</v>
      </c>
      <c r="B12" s="12">
        <v>983</v>
      </c>
      <c r="C12" s="11">
        <v>0.15</v>
      </c>
      <c r="D12" s="10">
        <v>3478</v>
      </c>
      <c r="E12" s="11">
        <v>0.19700000000000001</v>
      </c>
      <c r="F12" s="10">
        <v>532957</v>
      </c>
      <c r="G12" s="11">
        <v>0.193</v>
      </c>
      <c r="H12" s="11">
        <v>0.17699999999999999</v>
      </c>
      <c r="I12" s="10">
        <v>762699869</v>
      </c>
      <c r="J12" s="12" t="s">
        <v>1899</v>
      </c>
      <c r="K12" s="10">
        <v>94342</v>
      </c>
      <c r="L12" s="12" t="s">
        <v>1900</v>
      </c>
      <c r="M12" s="10">
        <v>3050333869</v>
      </c>
      <c r="N12" s="10">
        <v>384005</v>
      </c>
      <c r="O12" s="12">
        <v>3</v>
      </c>
    </row>
    <row r="13" spans="1:15" ht="27" x14ac:dyDescent="0.3">
      <c r="A13" s="9">
        <v>43456</v>
      </c>
      <c r="B13" s="12">
        <v>860</v>
      </c>
      <c r="C13" s="11">
        <v>0.124</v>
      </c>
      <c r="D13" s="10">
        <v>3254</v>
      </c>
      <c r="E13" s="11">
        <v>0.17199999999999999</v>
      </c>
      <c r="F13" s="10">
        <v>488408</v>
      </c>
      <c r="G13" s="11">
        <v>0.16600000000000001</v>
      </c>
      <c r="H13" s="11">
        <v>0.28899999999999998</v>
      </c>
      <c r="I13" s="10">
        <v>1235052383</v>
      </c>
      <c r="J13" s="12" t="s">
        <v>1901</v>
      </c>
      <c r="K13" s="10">
        <v>141390</v>
      </c>
      <c r="L13" s="12" t="s">
        <v>1902</v>
      </c>
      <c r="M13" s="10">
        <v>4285386252</v>
      </c>
      <c r="N13" s="10">
        <v>525395</v>
      </c>
      <c r="O13" s="12">
        <v>3</v>
      </c>
    </row>
    <row r="14" spans="1:15" ht="27" x14ac:dyDescent="0.3">
      <c r="A14" s="9">
        <v>43457</v>
      </c>
      <c r="B14" s="12">
        <v>810</v>
      </c>
      <c r="C14" s="11">
        <v>0.11600000000000001</v>
      </c>
      <c r="D14" s="10">
        <v>3001</v>
      </c>
      <c r="E14" s="11">
        <v>0.16</v>
      </c>
      <c r="F14" s="10">
        <v>445520</v>
      </c>
      <c r="G14" s="11">
        <v>0.153</v>
      </c>
      <c r="H14" s="11">
        <v>0.30399999999999999</v>
      </c>
      <c r="I14" s="10">
        <v>1192813400</v>
      </c>
      <c r="J14" s="12" t="s">
        <v>1903</v>
      </c>
      <c r="K14" s="10">
        <v>135550</v>
      </c>
      <c r="L14" s="12" t="s">
        <v>1904</v>
      </c>
      <c r="M14" s="10">
        <v>5478199652</v>
      </c>
      <c r="N14" s="10">
        <v>660945</v>
      </c>
      <c r="O14" s="12">
        <v>3</v>
      </c>
    </row>
    <row r="15" spans="1:15" ht="40.5" x14ac:dyDescent="0.3">
      <c r="A15" s="9">
        <v>43458</v>
      </c>
      <c r="B15" s="12">
        <v>831</v>
      </c>
      <c r="C15" s="11">
        <v>0.112</v>
      </c>
      <c r="D15" s="10">
        <v>2551</v>
      </c>
      <c r="E15" s="11">
        <v>0.13300000000000001</v>
      </c>
      <c r="F15" s="10">
        <v>365815</v>
      </c>
      <c r="G15" s="11">
        <v>0.123</v>
      </c>
      <c r="H15" s="11">
        <v>0.312</v>
      </c>
      <c r="I15" s="10">
        <v>896843950</v>
      </c>
      <c r="J15" s="12" t="s">
        <v>1905</v>
      </c>
      <c r="K15" s="10">
        <v>114277</v>
      </c>
      <c r="L15" s="12" t="s">
        <v>1906</v>
      </c>
      <c r="M15" s="10">
        <v>6375043602</v>
      </c>
      <c r="N15" s="10">
        <v>775222</v>
      </c>
      <c r="O15" s="12">
        <v>4</v>
      </c>
    </row>
    <row r="16" spans="1:15" ht="27" x14ac:dyDescent="0.3">
      <c r="A16" s="9">
        <v>43459</v>
      </c>
      <c r="B16" s="12">
        <v>656</v>
      </c>
      <c r="C16" s="11">
        <v>8.8999999999999996E-2</v>
      </c>
      <c r="D16" s="10">
        <v>1856</v>
      </c>
      <c r="E16" s="11">
        <v>9.2999999999999999E-2</v>
      </c>
      <c r="F16" s="10">
        <v>241883</v>
      </c>
      <c r="G16" s="11">
        <v>7.6999999999999999E-2</v>
      </c>
      <c r="H16" s="11">
        <v>0.59899999999999998</v>
      </c>
      <c r="I16" s="10">
        <v>1248260400</v>
      </c>
      <c r="J16" s="12" t="s">
        <v>1907</v>
      </c>
      <c r="K16" s="10">
        <v>144828</v>
      </c>
      <c r="L16" s="12" t="s">
        <v>1908</v>
      </c>
      <c r="M16" s="10">
        <v>7623304002</v>
      </c>
      <c r="N16" s="10">
        <v>920050</v>
      </c>
      <c r="O16" s="12">
        <v>5</v>
      </c>
    </row>
    <row r="17" spans="1:15" ht="40.5" x14ac:dyDescent="0.3">
      <c r="A17" s="9">
        <v>43460</v>
      </c>
      <c r="B17" s="12">
        <v>608</v>
      </c>
      <c r="C17" s="11">
        <v>9.1999999999999998E-2</v>
      </c>
      <c r="D17" s="10">
        <v>1389</v>
      </c>
      <c r="E17" s="11">
        <v>7.4999999999999997E-2</v>
      </c>
      <c r="F17" s="10">
        <v>173751</v>
      </c>
      <c r="G17" s="11">
        <v>0.06</v>
      </c>
      <c r="H17" s="11">
        <v>0.312</v>
      </c>
      <c r="I17" s="10">
        <v>323671700</v>
      </c>
      <c r="J17" s="12" t="s">
        <v>1909</v>
      </c>
      <c r="K17" s="10">
        <v>54156</v>
      </c>
      <c r="L17" s="12" t="s">
        <v>1910</v>
      </c>
      <c r="M17" s="10">
        <v>7946975702</v>
      </c>
      <c r="N17" s="10">
        <v>974206</v>
      </c>
      <c r="O17" s="12">
        <v>4</v>
      </c>
    </row>
    <row r="18" spans="1:15" ht="27" x14ac:dyDescent="0.3">
      <c r="A18" s="9">
        <v>43461</v>
      </c>
      <c r="B18" s="12">
        <v>631</v>
      </c>
      <c r="C18" s="11">
        <v>9.4E-2</v>
      </c>
      <c r="D18" s="10">
        <v>1435</v>
      </c>
      <c r="E18" s="11">
        <v>7.8E-2</v>
      </c>
      <c r="F18" s="10">
        <v>175519</v>
      </c>
      <c r="G18" s="11">
        <v>0.06</v>
      </c>
      <c r="H18" s="11">
        <v>0.223</v>
      </c>
      <c r="I18" s="10">
        <v>297356550</v>
      </c>
      <c r="J18" s="12" t="s">
        <v>1911</v>
      </c>
      <c r="K18" s="10">
        <v>39085</v>
      </c>
      <c r="L18" s="12" t="s">
        <v>1912</v>
      </c>
      <c r="M18" s="10">
        <v>8244332252</v>
      </c>
      <c r="N18" s="10">
        <v>1013291</v>
      </c>
      <c r="O18" s="12">
        <v>5</v>
      </c>
    </row>
    <row r="19" spans="1:15" ht="27" x14ac:dyDescent="0.3">
      <c r="A19" s="9">
        <v>43462</v>
      </c>
      <c r="B19" s="12">
        <v>666</v>
      </c>
      <c r="C19" s="11">
        <v>9.6000000000000002E-2</v>
      </c>
      <c r="D19" s="10">
        <v>1505</v>
      </c>
      <c r="E19" s="11">
        <v>0.08</v>
      </c>
      <c r="F19" s="10">
        <v>192096</v>
      </c>
      <c r="G19" s="11">
        <v>6.5000000000000002E-2</v>
      </c>
      <c r="H19" s="11">
        <v>0.22500000000000001</v>
      </c>
      <c r="I19" s="10">
        <v>360835350</v>
      </c>
      <c r="J19" s="12" t="s">
        <v>1913</v>
      </c>
      <c r="K19" s="10">
        <v>43230</v>
      </c>
      <c r="L19" s="12" t="s">
        <v>1914</v>
      </c>
      <c r="M19" s="10">
        <v>8605167602</v>
      </c>
      <c r="N19" s="10">
        <v>1056521</v>
      </c>
      <c r="O19" s="12">
        <v>5</v>
      </c>
    </row>
    <row r="20" spans="1:15" ht="27" x14ac:dyDescent="0.3">
      <c r="A20" s="9">
        <v>43463</v>
      </c>
      <c r="B20" s="12">
        <v>680</v>
      </c>
      <c r="C20" s="11">
        <v>9.2999999999999999E-2</v>
      </c>
      <c r="D20" s="10">
        <v>1525</v>
      </c>
      <c r="E20" s="11">
        <v>7.8E-2</v>
      </c>
      <c r="F20" s="10">
        <v>199233</v>
      </c>
      <c r="G20" s="11">
        <v>6.5000000000000002E-2</v>
      </c>
      <c r="H20" s="11">
        <v>0.34599999999999997</v>
      </c>
      <c r="I20" s="10">
        <v>605367050</v>
      </c>
      <c r="J20" s="12" t="s">
        <v>1915</v>
      </c>
      <c r="K20" s="10">
        <v>68940</v>
      </c>
      <c r="L20" s="12" t="s">
        <v>1916</v>
      </c>
      <c r="M20" s="10">
        <v>9210534652</v>
      </c>
      <c r="N20" s="10">
        <v>1125461</v>
      </c>
      <c r="O20" s="12">
        <v>5</v>
      </c>
    </row>
    <row r="21" spans="1:15" ht="27" x14ac:dyDescent="0.3">
      <c r="A21" s="9">
        <v>43464</v>
      </c>
      <c r="B21" s="12">
        <v>653</v>
      </c>
      <c r="C21" s="11">
        <v>9.0999999999999998E-2</v>
      </c>
      <c r="D21" s="10">
        <v>1512</v>
      </c>
      <c r="E21" s="11">
        <v>7.8E-2</v>
      </c>
      <c r="F21" s="10">
        <v>200082</v>
      </c>
      <c r="G21" s="11">
        <v>6.6000000000000003E-2</v>
      </c>
      <c r="H21" s="11">
        <v>0.34799999999999998</v>
      </c>
      <c r="I21" s="10">
        <v>606586400</v>
      </c>
      <c r="J21" s="12" t="s">
        <v>1917</v>
      </c>
      <c r="K21" s="10">
        <v>69690</v>
      </c>
      <c r="L21" s="12" t="s">
        <v>1918</v>
      </c>
      <c r="M21" s="10">
        <v>9817121052</v>
      </c>
      <c r="N21" s="10">
        <v>1195151</v>
      </c>
      <c r="O21" s="12">
        <v>5</v>
      </c>
    </row>
    <row r="22" spans="1:15" ht="40.5" x14ac:dyDescent="0.3">
      <c r="A22" s="9">
        <v>43465</v>
      </c>
      <c r="B22" s="12">
        <v>662</v>
      </c>
      <c r="C22" s="11">
        <v>9.6000000000000002E-2</v>
      </c>
      <c r="D22" s="10">
        <v>1601</v>
      </c>
      <c r="E22" s="11">
        <v>8.3000000000000004E-2</v>
      </c>
      <c r="F22" s="10">
        <v>211241</v>
      </c>
      <c r="G22" s="11">
        <v>7.0000000000000007E-2</v>
      </c>
      <c r="H22" s="11">
        <v>0.30099999999999999</v>
      </c>
      <c r="I22" s="10">
        <v>491444550</v>
      </c>
      <c r="J22" s="12" t="s">
        <v>1919</v>
      </c>
      <c r="K22" s="10">
        <v>63660</v>
      </c>
      <c r="L22" s="12" t="s">
        <v>1920</v>
      </c>
      <c r="M22" s="10">
        <v>10308565602</v>
      </c>
      <c r="N22" s="10">
        <v>1258811</v>
      </c>
      <c r="O22" s="12">
        <v>5</v>
      </c>
    </row>
    <row r="23" spans="1:15" ht="27" x14ac:dyDescent="0.3">
      <c r="A23" s="9">
        <v>43466</v>
      </c>
      <c r="B23" s="12">
        <v>577</v>
      </c>
      <c r="C23" s="11">
        <v>8.1000000000000003E-2</v>
      </c>
      <c r="D23" s="10">
        <v>1309</v>
      </c>
      <c r="E23" s="11">
        <v>6.7000000000000004E-2</v>
      </c>
      <c r="F23" s="10">
        <v>172248</v>
      </c>
      <c r="G23" s="11">
        <v>5.7000000000000002E-2</v>
      </c>
      <c r="H23" s="11">
        <v>0.38400000000000001</v>
      </c>
      <c r="I23" s="10">
        <v>580947700</v>
      </c>
      <c r="J23" s="12" t="s">
        <v>1921</v>
      </c>
      <c r="K23" s="10">
        <v>66173</v>
      </c>
      <c r="L23" s="12" t="s">
        <v>1922</v>
      </c>
      <c r="M23" s="10">
        <v>10889513302</v>
      </c>
      <c r="N23" s="10">
        <v>1324984</v>
      </c>
      <c r="O23" s="12">
        <v>6</v>
      </c>
    </row>
    <row r="24" spans="1:15" ht="40.5" x14ac:dyDescent="0.3">
      <c r="A24" s="9">
        <v>43467</v>
      </c>
      <c r="B24" s="12">
        <v>587</v>
      </c>
      <c r="C24" s="11">
        <v>8.6999999999999994E-2</v>
      </c>
      <c r="D24" s="10">
        <v>1353</v>
      </c>
      <c r="E24" s="11">
        <v>7.3999999999999996E-2</v>
      </c>
      <c r="F24" s="10">
        <v>180780</v>
      </c>
      <c r="G24" s="11">
        <v>6.3E-2</v>
      </c>
      <c r="H24" s="11">
        <v>0.128</v>
      </c>
      <c r="I24" s="10">
        <v>179116350</v>
      </c>
      <c r="J24" s="12" t="s">
        <v>1923</v>
      </c>
      <c r="K24" s="10">
        <v>23104</v>
      </c>
      <c r="L24" s="12" t="s">
        <v>1924</v>
      </c>
      <c r="M24" s="10">
        <v>11068629652</v>
      </c>
      <c r="N24" s="10">
        <v>1348088</v>
      </c>
      <c r="O24" s="12">
        <v>6</v>
      </c>
    </row>
    <row r="25" spans="1:15" ht="27" x14ac:dyDescent="0.3">
      <c r="A25" s="9">
        <v>43468</v>
      </c>
      <c r="B25" s="12">
        <v>536</v>
      </c>
      <c r="C25" s="11">
        <v>7.6999999999999999E-2</v>
      </c>
      <c r="D25" s="10">
        <v>1112</v>
      </c>
      <c r="E25" s="11">
        <v>0.06</v>
      </c>
      <c r="F25" s="10">
        <v>149765</v>
      </c>
      <c r="G25" s="11">
        <v>5.1999999999999998E-2</v>
      </c>
      <c r="H25" s="11">
        <v>0.127</v>
      </c>
      <c r="I25" s="10">
        <v>147258350</v>
      </c>
      <c r="J25" s="12" t="s">
        <v>1925</v>
      </c>
      <c r="K25" s="10">
        <v>19023</v>
      </c>
      <c r="L25" s="12" t="s">
        <v>1926</v>
      </c>
      <c r="M25" s="10">
        <v>11215888002</v>
      </c>
      <c r="N25" s="10">
        <v>1367111</v>
      </c>
      <c r="O25" s="12">
        <v>6</v>
      </c>
    </row>
    <row r="26" spans="1:15" ht="27" x14ac:dyDescent="0.3">
      <c r="A26" s="9">
        <v>43469</v>
      </c>
      <c r="B26" s="12">
        <v>524</v>
      </c>
      <c r="C26" s="11">
        <v>7.4999999999999997E-2</v>
      </c>
      <c r="D26" s="10">
        <v>1090</v>
      </c>
      <c r="E26" s="11">
        <v>5.8000000000000003E-2</v>
      </c>
      <c r="F26" s="10">
        <v>144823</v>
      </c>
      <c r="G26" s="11">
        <v>0.05</v>
      </c>
      <c r="H26" s="11">
        <v>0.12</v>
      </c>
      <c r="I26" s="10">
        <v>150405100</v>
      </c>
      <c r="J26" s="12" t="s">
        <v>1927</v>
      </c>
      <c r="K26" s="10">
        <v>17369</v>
      </c>
      <c r="L26" s="12" t="s">
        <v>1928</v>
      </c>
      <c r="M26" s="10">
        <v>11366293102</v>
      </c>
      <c r="N26" s="10">
        <v>1384480</v>
      </c>
      <c r="O26" s="12">
        <v>6</v>
      </c>
    </row>
    <row r="27" spans="1:15" ht="27" x14ac:dyDescent="0.3">
      <c r="A27" s="9">
        <v>43470</v>
      </c>
      <c r="B27" s="12">
        <v>479</v>
      </c>
      <c r="C27" s="11">
        <v>6.2E-2</v>
      </c>
      <c r="D27" s="12">
        <v>891</v>
      </c>
      <c r="E27" s="11">
        <v>4.5999999999999999E-2</v>
      </c>
      <c r="F27" s="10">
        <v>113380</v>
      </c>
      <c r="G27" s="11">
        <v>3.6999999999999998E-2</v>
      </c>
      <c r="H27" s="11">
        <v>0.214</v>
      </c>
      <c r="I27" s="10">
        <v>213429000</v>
      </c>
      <c r="J27" s="12" t="s">
        <v>1929</v>
      </c>
      <c r="K27" s="10">
        <v>24315</v>
      </c>
      <c r="L27" s="12" t="s">
        <v>1930</v>
      </c>
      <c r="M27" s="10">
        <v>11579722102</v>
      </c>
      <c r="N27" s="10">
        <v>1408795</v>
      </c>
      <c r="O27" s="12">
        <v>8</v>
      </c>
    </row>
    <row r="28" spans="1:15" ht="27" x14ac:dyDescent="0.3">
      <c r="A28" s="9">
        <v>43471</v>
      </c>
      <c r="B28" s="12">
        <v>472</v>
      </c>
      <c r="C28" s="11">
        <v>6.0999999999999999E-2</v>
      </c>
      <c r="D28" s="12">
        <v>829</v>
      </c>
      <c r="E28" s="11">
        <v>4.3999999999999997E-2</v>
      </c>
      <c r="F28" s="10">
        <v>104740</v>
      </c>
      <c r="G28" s="11">
        <v>3.5000000000000003E-2</v>
      </c>
      <c r="H28" s="11">
        <v>0.183</v>
      </c>
      <c r="I28" s="10">
        <v>168047500</v>
      </c>
      <c r="J28" s="12" t="s">
        <v>1931</v>
      </c>
      <c r="K28" s="10">
        <v>19210</v>
      </c>
      <c r="L28" s="12" t="s">
        <v>1932</v>
      </c>
      <c r="M28" s="10">
        <v>11747769602</v>
      </c>
      <c r="N28" s="10">
        <v>1428005</v>
      </c>
      <c r="O28" s="12">
        <v>9</v>
      </c>
    </row>
    <row r="29" spans="1:15" ht="27" x14ac:dyDescent="0.3">
      <c r="A29" s="9">
        <v>43472</v>
      </c>
      <c r="B29" s="12">
        <v>484</v>
      </c>
      <c r="C29" s="11">
        <v>7.0999999999999994E-2</v>
      </c>
      <c r="D29" s="12">
        <v>918</v>
      </c>
      <c r="E29" s="11">
        <v>5.1999999999999998E-2</v>
      </c>
      <c r="F29" s="10">
        <v>118715</v>
      </c>
      <c r="G29" s="11">
        <v>4.2999999999999997E-2</v>
      </c>
      <c r="H29" s="11">
        <v>9.0999999999999998E-2</v>
      </c>
      <c r="I29" s="10">
        <v>85490050</v>
      </c>
      <c r="J29" s="12" t="s">
        <v>1933</v>
      </c>
      <c r="K29" s="10">
        <v>10788</v>
      </c>
      <c r="L29" s="12" t="s">
        <v>1934</v>
      </c>
      <c r="M29" s="10">
        <v>11833259652</v>
      </c>
      <c r="N29" s="10">
        <v>1438793</v>
      </c>
      <c r="O29" s="12">
        <v>6</v>
      </c>
    </row>
    <row r="30" spans="1:15" ht="27" x14ac:dyDescent="0.3">
      <c r="A30" s="9">
        <v>43473</v>
      </c>
      <c r="B30" s="12">
        <v>510</v>
      </c>
      <c r="C30" s="11">
        <v>7.3999999999999996E-2</v>
      </c>
      <c r="D30" s="12">
        <v>961</v>
      </c>
      <c r="E30" s="11">
        <v>5.3999999999999999E-2</v>
      </c>
      <c r="F30" s="10">
        <v>123566</v>
      </c>
      <c r="G30" s="11">
        <v>4.4999999999999998E-2</v>
      </c>
      <c r="H30" s="11">
        <v>9.4E-2</v>
      </c>
      <c r="I30" s="10">
        <v>91261950</v>
      </c>
      <c r="J30" s="12" t="s">
        <v>1935</v>
      </c>
      <c r="K30" s="10">
        <v>11573</v>
      </c>
      <c r="L30" s="12" t="s">
        <v>1936</v>
      </c>
      <c r="M30" s="10">
        <v>11924521602</v>
      </c>
      <c r="N30" s="10">
        <v>1450366</v>
      </c>
      <c r="O30" s="12">
        <v>6</v>
      </c>
    </row>
    <row r="31" spans="1:15" ht="27" x14ac:dyDescent="0.3">
      <c r="A31" s="9">
        <v>43474</v>
      </c>
      <c r="B31" s="12">
        <v>161</v>
      </c>
      <c r="C31" s="11">
        <v>2.5999999999999999E-2</v>
      </c>
      <c r="D31" s="12">
        <v>245</v>
      </c>
      <c r="E31" s="11">
        <v>1.4E-2</v>
      </c>
      <c r="F31" s="10">
        <v>29930</v>
      </c>
      <c r="G31" s="11">
        <v>1.0999999999999999E-2</v>
      </c>
      <c r="H31" s="11">
        <v>9.0999999999999998E-2</v>
      </c>
      <c r="I31" s="10">
        <v>21385850</v>
      </c>
      <c r="J31" s="12" t="s">
        <v>1937</v>
      </c>
      <c r="K31" s="10">
        <v>2736</v>
      </c>
      <c r="L31" s="12" t="s">
        <v>1938</v>
      </c>
      <c r="M31" s="10">
        <v>11945907452</v>
      </c>
      <c r="N31" s="10">
        <v>1453102</v>
      </c>
      <c r="O31" s="12">
        <v>11</v>
      </c>
    </row>
    <row r="32" spans="1:15" ht="27" x14ac:dyDescent="0.3">
      <c r="A32" s="9">
        <v>43475</v>
      </c>
      <c r="B32" s="12">
        <v>131</v>
      </c>
      <c r="C32" s="11">
        <v>1.9E-2</v>
      </c>
      <c r="D32" s="12">
        <v>190</v>
      </c>
      <c r="E32" s="11">
        <v>0.01</v>
      </c>
      <c r="F32" s="10">
        <v>23924</v>
      </c>
      <c r="G32" s="11">
        <v>8.0000000000000002E-3</v>
      </c>
      <c r="H32" s="11">
        <v>0.111</v>
      </c>
      <c r="I32" s="10">
        <v>19842900</v>
      </c>
      <c r="J32" s="12" t="s">
        <v>1939</v>
      </c>
      <c r="K32" s="10">
        <v>2655</v>
      </c>
      <c r="L32" s="12" t="s">
        <v>1940</v>
      </c>
      <c r="M32" s="10">
        <v>11965750352</v>
      </c>
      <c r="N32" s="10">
        <v>1455757</v>
      </c>
      <c r="O32" s="12">
        <v>13</v>
      </c>
    </row>
    <row r="33" spans="1:15" ht="27" x14ac:dyDescent="0.3">
      <c r="A33" s="9">
        <v>43476</v>
      </c>
      <c r="B33" s="12">
        <v>128</v>
      </c>
      <c r="C33" s="11">
        <v>1.9E-2</v>
      </c>
      <c r="D33" s="12">
        <v>179</v>
      </c>
      <c r="E33" s="11">
        <v>0.01</v>
      </c>
      <c r="F33" s="10">
        <v>22543</v>
      </c>
      <c r="G33" s="11">
        <v>8.0000000000000002E-3</v>
      </c>
      <c r="H33" s="11">
        <v>9.4E-2</v>
      </c>
      <c r="I33" s="10">
        <v>18047750</v>
      </c>
      <c r="J33" s="12" t="s">
        <v>1941</v>
      </c>
      <c r="K33" s="10">
        <v>2113</v>
      </c>
      <c r="L33" s="12" t="s">
        <v>1942</v>
      </c>
      <c r="M33" s="10">
        <v>11983798102</v>
      </c>
      <c r="N33" s="10">
        <v>1457870</v>
      </c>
      <c r="O33" s="12">
        <v>12</v>
      </c>
    </row>
    <row r="34" spans="1:15" ht="27" x14ac:dyDescent="0.3">
      <c r="A34" s="9">
        <v>43477</v>
      </c>
      <c r="B34" s="12">
        <v>105</v>
      </c>
      <c r="C34" s="11">
        <v>1.4999999999999999E-2</v>
      </c>
      <c r="D34" s="12">
        <v>148</v>
      </c>
      <c r="E34" s="11">
        <v>8.0000000000000002E-3</v>
      </c>
      <c r="F34" s="10">
        <v>17781</v>
      </c>
      <c r="G34" s="11">
        <v>6.0000000000000001E-3</v>
      </c>
      <c r="H34" s="11">
        <v>0.188</v>
      </c>
      <c r="I34" s="10">
        <v>28073950</v>
      </c>
      <c r="J34" s="12" t="s">
        <v>1943</v>
      </c>
      <c r="K34" s="10">
        <v>3338</v>
      </c>
      <c r="L34" s="12" t="s">
        <v>1944</v>
      </c>
      <c r="M34" s="10">
        <v>12011872052</v>
      </c>
      <c r="N34" s="10">
        <v>1461208</v>
      </c>
      <c r="O34" s="12">
        <v>13</v>
      </c>
    </row>
    <row r="35" spans="1:15" ht="27" x14ac:dyDescent="0.3">
      <c r="A35" s="9">
        <v>43478</v>
      </c>
      <c r="B35" s="12">
        <v>97</v>
      </c>
      <c r="C35" s="11">
        <v>1.4E-2</v>
      </c>
      <c r="D35" s="12">
        <v>127</v>
      </c>
      <c r="E35" s="11">
        <v>7.0000000000000001E-3</v>
      </c>
      <c r="F35" s="10">
        <v>14948</v>
      </c>
      <c r="G35" s="11">
        <v>5.0000000000000001E-3</v>
      </c>
      <c r="H35" s="11">
        <v>0.111</v>
      </c>
      <c r="I35" s="10">
        <v>14599610</v>
      </c>
      <c r="J35" s="12" t="s">
        <v>1945</v>
      </c>
      <c r="K35" s="10">
        <v>1665</v>
      </c>
      <c r="L35" s="12" t="s">
        <v>1946</v>
      </c>
      <c r="M35" s="10">
        <v>12026471662</v>
      </c>
      <c r="N35" s="10">
        <v>1462873</v>
      </c>
      <c r="O35" s="12">
        <v>15</v>
      </c>
    </row>
    <row r="36" spans="1:15" ht="27" x14ac:dyDescent="0.3">
      <c r="A36" s="9">
        <v>43479</v>
      </c>
      <c r="B36" s="12">
        <v>99</v>
      </c>
      <c r="C36" s="11">
        <v>1.6E-2</v>
      </c>
      <c r="D36" s="12">
        <v>133</v>
      </c>
      <c r="E36" s="11">
        <v>7.0000000000000001E-3</v>
      </c>
      <c r="F36" s="10">
        <v>15810</v>
      </c>
      <c r="G36" s="11">
        <v>6.0000000000000001E-3</v>
      </c>
      <c r="H36" s="11">
        <v>0.06</v>
      </c>
      <c r="I36" s="10">
        <v>7386750</v>
      </c>
      <c r="J36" s="12" t="s">
        <v>1947</v>
      </c>
      <c r="K36" s="12">
        <v>956</v>
      </c>
      <c r="L36" s="12" t="s">
        <v>1948</v>
      </c>
      <c r="M36" s="10">
        <v>12033858412</v>
      </c>
      <c r="N36" s="10">
        <v>1463829</v>
      </c>
      <c r="O36" s="12">
        <v>15</v>
      </c>
    </row>
    <row r="37" spans="1:15" ht="27" x14ac:dyDescent="0.3">
      <c r="A37" s="9">
        <v>43480</v>
      </c>
      <c r="B37" s="12">
        <v>106</v>
      </c>
      <c r="C37" s="11">
        <v>1.6E-2</v>
      </c>
      <c r="D37" s="12">
        <v>140</v>
      </c>
      <c r="E37" s="11">
        <v>8.0000000000000002E-3</v>
      </c>
      <c r="F37" s="10">
        <v>16810</v>
      </c>
      <c r="G37" s="11">
        <v>6.0000000000000001E-3</v>
      </c>
      <c r="H37" s="11">
        <v>8.5999999999999993E-2</v>
      </c>
      <c r="I37" s="10">
        <v>10309500</v>
      </c>
      <c r="J37" s="12" t="s">
        <v>1949</v>
      </c>
      <c r="K37" s="10">
        <v>1449</v>
      </c>
      <c r="L37" s="12" t="s">
        <v>1950</v>
      </c>
      <c r="M37" s="10">
        <v>12044167912</v>
      </c>
      <c r="N37" s="10">
        <v>1465278</v>
      </c>
      <c r="O37" s="12">
        <v>13</v>
      </c>
    </row>
    <row r="38" spans="1:15" ht="27" x14ac:dyDescent="0.3">
      <c r="A38" s="9">
        <v>43481</v>
      </c>
      <c r="B38" s="12">
        <v>14</v>
      </c>
      <c r="C38" s="11">
        <v>2E-3</v>
      </c>
      <c r="D38" s="12">
        <v>17</v>
      </c>
      <c r="E38" s="11">
        <v>1E-3</v>
      </c>
      <c r="F38" s="10">
        <v>2616</v>
      </c>
      <c r="G38" s="11">
        <v>1E-3</v>
      </c>
      <c r="H38" s="11">
        <v>0.38500000000000001</v>
      </c>
      <c r="I38" s="10">
        <v>5921600</v>
      </c>
      <c r="J38" s="12" t="s">
        <v>1951</v>
      </c>
      <c r="K38" s="10">
        <v>1006</v>
      </c>
      <c r="L38" s="12" t="s">
        <v>1952</v>
      </c>
      <c r="M38" s="10">
        <v>12050089512</v>
      </c>
      <c r="N38" s="10">
        <v>1466284</v>
      </c>
      <c r="O38" s="12">
        <v>16</v>
      </c>
    </row>
    <row r="39" spans="1:15" ht="27" x14ac:dyDescent="0.3">
      <c r="A39" s="9">
        <v>43482</v>
      </c>
      <c r="B39" s="12">
        <v>12</v>
      </c>
      <c r="C39" s="11">
        <v>2E-3</v>
      </c>
      <c r="D39" s="12">
        <v>12</v>
      </c>
      <c r="E39" s="11">
        <v>1E-3</v>
      </c>
      <c r="F39" s="10">
        <v>1659</v>
      </c>
      <c r="G39" s="11">
        <v>1E-3</v>
      </c>
      <c r="H39" s="11">
        <v>0.36299999999999999</v>
      </c>
      <c r="I39" s="10">
        <v>3688300</v>
      </c>
      <c r="J39" s="12" t="s">
        <v>1953</v>
      </c>
      <c r="K39" s="12">
        <v>603</v>
      </c>
      <c r="L39" s="12" t="s">
        <v>1954</v>
      </c>
      <c r="M39" s="10">
        <v>12053777812</v>
      </c>
      <c r="N39" s="10">
        <v>1466887</v>
      </c>
      <c r="O39" s="12">
        <v>21</v>
      </c>
    </row>
    <row r="40" spans="1:15" ht="27" x14ac:dyDescent="0.3">
      <c r="A40" s="9">
        <v>43483</v>
      </c>
      <c r="B40" s="12">
        <v>7</v>
      </c>
      <c r="C40" s="11">
        <v>1E-3</v>
      </c>
      <c r="D40" s="12">
        <v>7</v>
      </c>
      <c r="E40" s="11">
        <v>0</v>
      </c>
      <c r="F40" s="10">
        <v>1029</v>
      </c>
      <c r="G40" s="11">
        <v>0</v>
      </c>
      <c r="H40" s="11">
        <v>0.49399999999999999</v>
      </c>
      <c r="I40" s="10">
        <v>2857580</v>
      </c>
      <c r="J40" s="12" t="s">
        <v>1955</v>
      </c>
      <c r="K40" s="12">
        <v>508</v>
      </c>
      <c r="L40" s="12" t="s">
        <v>1956</v>
      </c>
      <c r="M40" s="10">
        <v>12056635392</v>
      </c>
      <c r="N40" s="10">
        <v>1467395</v>
      </c>
      <c r="O40" s="12">
        <v>19</v>
      </c>
    </row>
    <row r="41" spans="1:15" ht="27" x14ac:dyDescent="0.3">
      <c r="A41" s="9">
        <v>43484</v>
      </c>
      <c r="B41" s="12">
        <v>6</v>
      </c>
      <c r="C41" s="11">
        <v>1E-3</v>
      </c>
      <c r="D41" s="12">
        <v>7</v>
      </c>
      <c r="E41" s="11">
        <v>0</v>
      </c>
      <c r="F41" s="12">
        <v>899</v>
      </c>
      <c r="G41" s="11">
        <v>0</v>
      </c>
      <c r="H41" s="11">
        <v>0.38400000000000001</v>
      </c>
      <c r="I41" s="10">
        <v>2337000</v>
      </c>
      <c r="J41" s="12" t="s">
        <v>1957</v>
      </c>
      <c r="K41" s="12">
        <v>345</v>
      </c>
      <c r="L41" s="12" t="s">
        <v>1958</v>
      </c>
      <c r="M41" s="10">
        <v>12058972392</v>
      </c>
      <c r="N41" s="10">
        <v>1467740</v>
      </c>
      <c r="O41" s="12">
        <v>27</v>
      </c>
    </row>
    <row r="42" spans="1:15" ht="27" x14ac:dyDescent="0.3">
      <c r="A42" s="9">
        <v>43485</v>
      </c>
      <c r="B42" s="12">
        <v>4</v>
      </c>
      <c r="C42" s="11">
        <v>1E-3</v>
      </c>
      <c r="D42" s="12">
        <v>5</v>
      </c>
      <c r="E42" s="11">
        <v>0</v>
      </c>
      <c r="F42" s="12">
        <v>605</v>
      </c>
      <c r="G42" s="11">
        <v>0</v>
      </c>
      <c r="H42" s="11">
        <v>9.0999999999999998E-2</v>
      </c>
      <c r="I42" s="10">
        <v>489000</v>
      </c>
      <c r="J42" s="12" t="s">
        <v>1959</v>
      </c>
      <c r="K42" s="12">
        <v>55</v>
      </c>
      <c r="L42" s="12" t="s">
        <v>1960</v>
      </c>
      <c r="M42" s="10">
        <v>12059461392</v>
      </c>
      <c r="N42" s="10">
        <v>1467795</v>
      </c>
      <c r="O42" s="12">
        <v>48</v>
      </c>
    </row>
    <row r="43" spans="1:15" ht="27" x14ac:dyDescent="0.3">
      <c r="A43" s="9">
        <v>43486</v>
      </c>
      <c r="B43" s="12">
        <v>4</v>
      </c>
      <c r="C43" s="11">
        <v>1E-3</v>
      </c>
      <c r="D43" s="12">
        <v>5</v>
      </c>
      <c r="E43" s="11">
        <v>0</v>
      </c>
      <c r="F43" s="12">
        <v>711</v>
      </c>
      <c r="G43" s="11">
        <v>0</v>
      </c>
      <c r="H43" s="11">
        <v>5.1999999999999998E-2</v>
      </c>
      <c r="I43" s="10">
        <v>274200</v>
      </c>
      <c r="J43" s="12" t="s">
        <v>1961</v>
      </c>
      <c r="K43" s="12">
        <v>37</v>
      </c>
      <c r="L43" s="12" t="s">
        <v>1962</v>
      </c>
      <c r="M43" s="10">
        <v>12059735592</v>
      </c>
      <c r="N43" s="10">
        <v>1467832</v>
      </c>
      <c r="O43" s="12">
        <v>54</v>
      </c>
    </row>
    <row r="44" spans="1:15" ht="27" x14ac:dyDescent="0.3">
      <c r="A44" s="9">
        <v>43487</v>
      </c>
      <c r="B44" s="12">
        <v>7</v>
      </c>
      <c r="C44" s="11">
        <v>1E-3</v>
      </c>
      <c r="D44" s="12">
        <v>8</v>
      </c>
      <c r="E44" s="11">
        <v>0</v>
      </c>
      <c r="F44" s="10">
        <v>1004</v>
      </c>
      <c r="G44" s="11">
        <v>0</v>
      </c>
      <c r="H44" s="11">
        <v>0.26800000000000002</v>
      </c>
      <c r="I44" s="10">
        <v>1809200</v>
      </c>
      <c r="J44" s="12" t="s">
        <v>1963</v>
      </c>
      <c r="K44" s="12">
        <v>269</v>
      </c>
      <c r="L44" s="12" t="s">
        <v>1964</v>
      </c>
      <c r="M44" s="10">
        <v>12061544792</v>
      </c>
      <c r="N44" s="10">
        <v>1468101</v>
      </c>
      <c r="O44" s="12">
        <v>25</v>
      </c>
    </row>
    <row r="45" spans="1:15" ht="27" x14ac:dyDescent="0.3">
      <c r="A45" s="9">
        <v>43488</v>
      </c>
      <c r="B45" s="12">
        <v>5</v>
      </c>
      <c r="C45" s="11">
        <v>1E-3</v>
      </c>
      <c r="D45" s="12">
        <v>5</v>
      </c>
      <c r="E45" s="11">
        <v>0</v>
      </c>
      <c r="F45" s="12">
        <v>797</v>
      </c>
      <c r="G45" s="11">
        <v>0</v>
      </c>
      <c r="H45" s="11">
        <v>0.47399999999999998</v>
      </c>
      <c r="I45" s="10">
        <v>1979200</v>
      </c>
      <c r="J45" s="12" t="s">
        <v>1965</v>
      </c>
      <c r="K45" s="12">
        <v>378</v>
      </c>
      <c r="L45" s="12" t="s">
        <v>1966</v>
      </c>
      <c r="M45" s="10">
        <v>12063523992</v>
      </c>
      <c r="N45" s="10">
        <v>1468479</v>
      </c>
      <c r="O45" s="12">
        <v>27</v>
      </c>
    </row>
    <row r="46" spans="1:15" ht="27" x14ac:dyDescent="0.3">
      <c r="A46" s="9">
        <v>43489</v>
      </c>
      <c r="B46" s="12">
        <v>3</v>
      </c>
      <c r="C46" s="11">
        <v>0</v>
      </c>
      <c r="D46" s="12">
        <v>3</v>
      </c>
      <c r="E46" s="11">
        <v>0</v>
      </c>
      <c r="F46" s="12">
        <v>447</v>
      </c>
      <c r="G46" s="11">
        <v>0</v>
      </c>
      <c r="H46" s="11">
        <v>6.5000000000000002E-2</v>
      </c>
      <c r="I46" s="10">
        <v>226200</v>
      </c>
      <c r="J46" s="12" t="s">
        <v>1967</v>
      </c>
      <c r="K46" s="12">
        <v>29</v>
      </c>
      <c r="L46" s="12" t="s">
        <v>1968</v>
      </c>
      <c r="M46" s="10">
        <v>12063750192</v>
      </c>
      <c r="N46" s="10">
        <v>1468508</v>
      </c>
      <c r="O46" s="12">
        <v>59</v>
      </c>
    </row>
    <row r="47" spans="1:15" ht="27" x14ac:dyDescent="0.3">
      <c r="A47" s="9">
        <v>43490</v>
      </c>
      <c r="B47" s="12">
        <v>5</v>
      </c>
      <c r="C47" s="11">
        <v>1E-3</v>
      </c>
      <c r="D47" s="12">
        <v>5</v>
      </c>
      <c r="E47" s="11">
        <v>0</v>
      </c>
      <c r="F47" s="12">
        <v>656</v>
      </c>
      <c r="G47" s="11">
        <v>0</v>
      </c>
      <c r="H47" s="11">
        <v>0.29299999999999998</v>
      </c>
      <c r="I47" s="10">
        <v>1075200</v>
      </c>
      <c r="J47" s="12" t="s">
        <v>1969</v>
      </c>
      <c r="K47" s="12">
        <v>192</v>
      </c>
      <c r="L47" s="12" t="s">
        <v>1970</v>
      </c>
      <c r="M47" s="10">
        <v>12064825392</v>
      </c>
      <c r="N47" s="10">
        <v>1468700</v>
      </c>
      <c r="O47" s="12">
        <v>33</v>
      </c>
    </row>
    <row r="48" spans="1:15" ht="27" x14ac:dyDescent="0.3">
      <c r="A48" s="9">
        <v>43491</v>
      </c>
      <c r="B48" s="12">
        <v>3</v>
      </c>
      <c r="C48" s="11">
        <v>0</v>
      </c>
      <c r="D48" s="12">
        <v>4</v>
      </c>
      <c r="E48" s="11">
        <v>0</v>
      </c>
      <c r="F48" s="12">
        <v>607</v>
      </c>
      <c r="G48" s="11">
        <v>0</v>
      </c>
      <c r="H48" s="11">
        <v>0.16300000000000001</v>
      </c>
      <c r="I48" s="10">
        <v>900400</v>
      </c>
      <c r="J48" s="12" t="s">
        <v>1971</v>
      </c>
      <c r="K48" s="12">
        <v>99</v>
      </c>
      <c r="L48" s="12" t="s">
        <v>1972</v>
      </c>
      <c r="M48" s="10">
        <v>12065725792</v>
      </c>
      <c r="N48" s="10">
        <v>1468799</v>
      </c>
      <c r="O48" s="12">
        <v>43</v>
      </c>
    </row>
    <row r="49" spans="1:15" ht="27" x14ac:dyDescent="0.3">
      <c r="A49" s="9">
        <v>43492</v>
      </c>
      <c r="B49" s="12">
        <v>4</v>
      </c>
      <c r="C49" s="11">
        <v>1E-3</v>
      </c>
      <c r="D49" s="12">
        <v>4</v>
      </c>
      <c r="E49" s="11">
        <v>0</v>
      </c>
      <c r="F49" s="12">
        <v>539</v>
      </c>
      <c r="G49" s="11">
        <v>0</v>
      </c>
      <c r="H49" s="11">
        <v>7.5999999999999998E-2</v>
      </c>
      <c r="I49" s="10">
        <v>360200</v>
      </c>
      <c r="J49" s="12" t="s">
        <v>1973</v>
      </c>
      <c r="K49" s="12">
        <v>41</v>
      </c>
      <c r="L49" s="12" t="s">
        <v>1974</v>
      </c>
      <c r="M49" s="10">
        <v>12066085992</v>
      </c>
      <c r="N49" s="10">
        <v>1468840</v>
      </c>
      <c r="O49" s="12">
        <v>54</v>
      </c>
    </row>
    <row r="50" spans="1:15" ht="27" x14ac:dyDescent="0.3">
      <c r="A50" s="9">
        <v>43493</v>
      </c>
      <c r="B50" s="12">
        <v>8</v>
      </c>
      <c r="C50" s="11">
        <v>1E-3</v>
      </c>
      <c r="D50" s="12">
        <v>10</v>
      </c>
      <c r="E50" s="11">
        <v>1E-3</v>
      </c>
      <c r="F50" s="10">
        <v>1699</v>
      </c>
      <c r="G50" s="11">
        <v>1E-3</v>
      </c>
      <c r="H50" s="11">
        <v>0.14599999999999999</v>
      </c>
      <c r="I50" s="10">
        <v>1371200</v>
      </c>
      <c r="J50" s="12" t="s">
        <v>1975</v>
      </c>
      <c r="K50" s="12">
        <v>248</v>
      </c>
      <c r="L50" s="12" t="s">
        <v>1976</v>
      </c>
      <c r="M50" s="10">
        <v>12067457192</v>
      </c>
      <c r="N50" s="10">
        <v>1469088</v>
      </c>
      <c r="O50" s="12">
        <v>31</v>
      </c>
    </row>
    <row r="51" spans="1:15" ht="27" x14ac:dyDescent="0.3">
      <c r="A51" s="9">
        <v>43494</v>
      </c>
      <c r="B51" s="12">
        <v>15</v>
      </c>
      <c r="C51" s="11">
        <v>2E-3</v>
      </c>
      <c r="D51" s="12">
        <v>15</v>
      </c>
      <c r="E51" s="11">
        <v>1E-3</v>
      </c>
      <c r="F51" s="10">
        <v>2174</v>
      </c>
      <c r="G51" s="11">
        <v>1E-3</v>
      </c>
      <c r="H51" s="11">
        <v>0.371</v>
      </c>
      <c r="I51" s="10">
        <v>4620200</v>
      </c>
      <c r="J51" s="12" t="s">
        <v>1977</v>
      </c>
      <c r="K51" s="12">
        <v>807</v>
      </c>
      <c r="L51" s="12" t="s">
        <v>1978</v>
      </c>
      <c r="M51" s="10">
        <v>12072077392</v>
      </c>
      <c r="N51" s="10">
        <v>1469895</v>
      </c>
      <c r="O51" s="12">
        <v>21</v>
      </c>
    </row>
    <row r="52" spans="1:15" ht="27" x14ac:dyDescent="0.3">
      <c r="A52" s="9">
        <v>43495</v>
      </c>
      <c r="B52" s="12">
        <v>8</v>
      </c>
      <c r="C52" s="11">
        <v>2E-3</v>
      </c>
      <c r="D52" s="12">
        <v>8</v>
      </c>
      <c r="E52" s="11">
        <v>0</v>
      </c>
      <c r="F52" s="12">
        <v>928</v>
      </c>
      <c r="G52" s="11">
        <v>0</v>
      </c>
      <c r="H52" s="11">
        <v>0.45</v>
      </c>
      <c r="I52" s="10">
        <v>2395000</v>
      </c>
      <c r="J52" s="12" t="s">
        <v>1979</v>
      </c>
      <c r="K52" s="12">
        <v>418</v>
      </c>
      <c r="L52" s="12" t="s">
        <v>1980</v>
      </c>
      <c r="M52" s="10">
        <v>12074472392</v>
      </c>
      <c r="N52" s="10">
        <v>1470313</v>
      </c>
      <c r="O52" s="12">
        <v>21</v>
      </c>
    </row>
    <row r="53" spans="1:15" ht="27" x14ac:dyDescent="0.3">
      <c r="A53" s="9">
        <v>43496</v>
      </c>
      <c r="B53" s="12">
        <v>5</v>
      </c>
      <c r="C53" s="11">
        <v>1E-3</v>
      </c>
      <c r="D53" s="12">
        <v>5</v>
      </c>
      <c r="E53" s="11">
        <v>0</v>
      </c>
      <c r="F53" s="12">
        <v>604</v>
      </c>
      <c r="G53" s="11">
        <v>0</v>
      </c>
      <c r="H53" s="11">
        <v>0.154</v>
      </c>
      <c r="I53" s="10">
        <v>546000</v>
      </c>
      <c r="J53" s="12" t="s">
        <v>1981</v>
      </c>
      <c r="K53" s="12">
        <v>93</v>
      </c>
      <c r="L53" s="12" t="s">
        <v>1982</v>
      </c>
      <c r="M53" s="10">
        <v>12075018392</v>
      </c>
      <c r="N53" s="10">
        <v>1470406</v>
      </c>
      <c r="O53" s="12">
        <v>42</v>
      </c>
    </row>
    <row r="54" spans="1:15" ht="27" x14ac:dyDescent="0.3">
      <c r="A54" s="9">
        <v>43497</v>
      </c>
      <c r="B54" s="12">
        <v>3</v>
      </c>
      <c r="C54" s="11">
        <v>1E-3</v>
      </c>
      <c r="D54" s="12">
        <v>3</v>
      </c>
      <c r="E54" s="11">
        <v>0</v>
      </c>
      <c r="F54" s="12">
        <v>378</v>
      </c>
      <c r="G54" s="11">
        <v>0</v>
      </c>
      <c r="H54" s="11">
        <v>0.04</v>
      </c>
      <c r="I54" s="10">
        <v>133000</v>
      </c>
      <c r="J54" s="12" t="s">
        <v>1983</v>
      </c>
      <c r="K54" s="12">
        <v>15</v>
      </c>
      <c r="L54" s="12" t="s">
        <v>1984</v>
      </c>
      <c r="M54" s="10">
        <v>12075151392</v>
      </c>
      <c r="N54" s="10">
        <v>1470421</v>
      </c>
      <c r="O54" s="12">
        <v>56</v>
      </c>
    </row>
    <row r="55" spans="1:15" ht="27" x14ac:dyDescent="0.3">
      <c r="A55" s="9">
        <v>43498</v>
      </c>
      <c r="B55" s="12">
        <v>3</v>
      </c>
      <c r="C55" s="11">
        <v>1E-3</v>
      </c>
      <c r="D55" s="12">
        <v>3</v>
      </c>
      <c r="E55" s="11">
        <v>0</v>
      </c>
      <c r="F55" s="12">
        <v>389</v>
      </c>
      <c r="G55" s="11">
        <v>0</v>
      </c>
      <c r="H55" s="11">
        <v>6.4000000000000001E-2</v>
      </c>
      <c r="I55" s="10">
        <v>214000</v>
      </c>
      <c r="J55" s="12" t="s">
        <v>1985</v>
      </c>
      <c r="K55" s="12">
        <v>25</v>
      </c>
      <c r="L55" s="12" t="s">
        <v>1986</v>
      </c>
      <c r="M55" s="10">
        <v>12075365392</v>
      </c>
      <c r="N55" s="10">
        <v>1470446</v>
      </c>
      <c r="O55" s="12">
        <v>59</v>
      </c>
    </row>
    <row r="56" spans="1:15" ht="27" x14ac:dyDescent="0.3">
      <c r="A56" s="9">
        <v>43499</v>
      </c>
      <c r="B56" s="12">
        <v>3</v>
      </c>
      <c r="C56" s="11">
        <v>1E-3</v>
      </c>
      <c r="D56" s="12">
        <v>3</v>
      </c>
      <c r="E56" s="11">
        <v>0</v>
      </c>
      <c r="F56" s="12">
        <v>379</v>
      </c>
      <c r="G56" s="11">
        <v>0</v>
      </c>
      <c r="H56" s="11">
        <v>7.6999999999999999E-2</v>
      </c>
      <c r="I56" s="10">
        <v>240000</v>
      </c>
      <c r="J56" s="12" t="s">
        <v>1987</v>
      </c>
      <c r="K56" s="12">
        <v>29</v>
      </c>
      <c r="L56" s="12" t="s">
        <v>1988</v>
      </c>
      <c r="M56" s="10">
        <v>12075605392</v>
      </c>
      <c r="N56" s="10">
        <v>1470475</v>
      </c>
      <c r="O56" s="12">
        <v>52</v>
      </c>
    </row>
    <row r="57" spans="1:15" ht="27" x14ac:dyDescent="0.3">
      <c r="A57" s="9">
        <v>43500</v>
      </c>
      <c r="B57" s="12">
        <v>3</v>
      </c>
      <c r="C57" s="11">
        <v>1E-3</v>
      </c>
      <c r="D57" s="12">
        <v>3</v>
      </c>
      <c r="E57" s="11">
        <v>0</v>
      </c>
      <c r="F57" s="12">
        <v>379</v>
      </c>
      <c r="G57" s="11">
        <v>0</v>
      </c>
      <c r="H57" s="11">
        <v>6.9000000000000006E-2</v>
      </c>
      <c r="I57" s="10">
        <v>222000</v>
      </c>
      <c r="J57" s="12" t="s">
        <v>1989</v>
      </c>
      <c r="K57" s="12">
        <v>26</v>
      </c>
      <c r="L57" s="12" t="s">
        <v>1990</v>
      </c>
      <c r="M57" s="10">
        <v>12075827392</v>
      </c>
      <c r="N57" s="10">
        <v>1470501</v>
      </c>
      <c r="O57" s="12">
        <v>50</v>
      </c>
    </row>
    <row r="58" spans="1:15" ht="27" x14ac:dyDescent="0.3">
      <c r="A58" s="9">
        <v>43501</v>
      </c>
      <c r="B58" s="12">
        <v>2</v>
      </c>
      <c r="C58" s="11">
        <v>0</v>
      </c>
      <c r="D58" s="12">
        <v>2</v>
      </c>
      <c r="E58" s="11">
        <v>0</v>
      </c>
      <c r="F58" s="12">
        <v>306</v>
      </c>
      <c r="G58" s="11">
        <v>0</v>
      </c>
      <c r="H58" s="11">
        <v>9.8000000000000004E-2</v>
      </c>
      <c r="I58" s="10">
        <v>251500</v>
      </c>
      <c r="J58" s="12" t="s">
        <v>1991</v>
      </c>
      <c r="K58" s="12">
        <v>30</v>
      </c>
      <c r="L58" s="12" t="s">
        <v>1992</v>
      </c>
      <c r="M58" s="10">
        <v>12076078892</v>
      </c>
      <c r="N58" s="10">
        <v>1470531</v>
      </c>
      <c r="O58" s="12">
        <v>48</v>
      </c>
    </row>
    <row r="59" spans="1:15" ht="27" x14ac:dyDescent="0.3">
      <c r="A59" s="9">
        <v>43502</v>
      </c>
      <c r="B59" s="12">
        <v>3</v>
      </c>
      <c r="C59" s="11">
        <v>0</v>
      </c>
      <c r="D59" s="12">
        <v>3</v>
      </c>
      <c r="E59" s="11">
        <v>0</v>
      </c>
      <c r="F59" s="12">
        <v>379</v>
      </c>
      <c r="G59" s="11">
        <v>0</v>
      </c>
      <c r="H59" s="11">
        <v>8.6999999999999994E-2</v>
      </c>
      <c r="I59" s="10">
        <v>281000</v>
      </c>
      <c r="J59" s="12" t="s">
        <v>1993</v>
      </c>
      <c r="K59" s="12">
        <v>33</v>
      </c>
      <c r="L59" s="12" t="s">
        <v>1994</v>
      </c>
      <c r="M59" s="10">
        <v>12076359892</v>
      </c>
      <c r="N59" s="10">
        <v>1470564</v>
      </c>
      <c r="O59" s="12">
        <v>52</v>
      </c>
    </row>
    <row r="60" spans="1:15" ht="27" x14ac:dyDescent="0.3">
      <c r="A60" s="9">
        <v>43503</v>
      </c>
      <c r="B60" s="12">
        <v>2</v>
      </c>
      <c r="C60" s="11">
        <v>0</v>
      </c>
      <c r="D60" s="12">
        <v>2</v>
      </c>
      <c r="E60" s="11">
        <v>0</v>
      </c>
      <c r="F60" s="12">
        <v>489</v>
      </c>
      <c r="G60" s="11">
        <v>0</v>
      </c>
      <c r="H60" s="11">
        <v>6.0000000000000001E-3</v>
      </c>
      <c r="I60" s="10">
        <v>22000</v>
      </c>
      <c r="J60" s="12" t="s">
        <v>1995</v>
      </c>
      <c r="K60" s="12">
        <v>3</v>
      </c>
      <c r="L60" s="12" t="s">
        <v>1996</v>
      </c>
      <c r="M60" s="10">
        <v>12076381892</v>
      </c>
      <c r="N60" s="10">
        <v>1470567</v>
      </c>
      <c r="O60" s="12">
        <v>70</v>
      </c>
    </row>
    <row r="61" spans="1:15" ht="27" x14ac:dyDescent="0.3">
      <c r="A61" s="9">
        <v>43504</v>
      </c>
      <c r="B61" s="12">
        <v>2</v>
      </c>
      <c r="C61" s="11">
        <v>0</v>
      </c>
      <c r="D61" s="12">
        <v>2</v>
      </c>
      <c r="E61" s="11">
        <v>0</v>
      </c>
      <c r="F61" s="12">
        <v>562</v>
      </c>
      <c r="G61" s="11">
        <v>0</v>
      </c>
      <c r="H61" s="11">
        <v>0.28799999999999998</v>
      </c>
      <c r="I61" s="10">
        <v>1008000</v>
      </c>
      <c r="J61" s="12" t="s">
        <v>1997</v>
      </c>
      <c r="K61" s="12">
        <v>162</v>
      </c>
      <c r="L61" s="12" t="s">
        <v>1998</v>
      </c>
      <c r="M61" s="10">
        <v>12077389892</v>
      </c>
      <c r="N61" s="10">
        <v>1470729</v>
      </c>
      <c r="O61" s="12">
        <v>29</v>
      </c>
    </row>
    <row r="62" spans="1:15" ht="27" x14ac:dyDescent="0.3">
      <c r="A62" s="9">
        <v>43505</v>
      </c>
      <c r="B62" s="12">
        <v>1</v>
      </c>
      <c r="C62" s="11">
        <v>0</v>
      </c>
      <c r="D62" s="12">
        <v>1</v>
      </c>
      <c r="E62" s="11">
        <v>0</v>
      </c>
      <c r="F62" s="12">
        <v>84</v>
      </c>
      <c r="G62" s="11">
        <v>0</v>
      </c>
      <c r="H62" s="11">
        <v>0.13100000000000001</v>
      </c>
      <c r="I62" s="10">
        <v>90000</v>
      </c>
      <c r="J62" s="12" t="s">
        <v>1999</v>
      </c>
      <c r="K62" s="12">
        <v>11</v>
      </c>
      <c r="L62" s="12" t="s">
        <v>2000</v>
      </c>
      <c r="M62" s="10">
        <v>12077479892</v>
      </c>
      <c r="N62" s="10">
        <v>1470740</v>
      </c>
      <c r="O62" s="12">
        <v>68</v>
      </c>
    </row>
    <row r="63" spans="1:15" ht="27" x14ac:dyDescent="0.3">
      <c r="A63" s="9">
        <v>43506</v>
      </c>
      <c r="B63" s="12">
        <v>1</v>
      </c>
      <c r="C63" s="11">
        <v>0</v>
      </c>
      <c r="D63" s="12">
        <v>1</v>
      </c>
      <c r="E63" s="11">
        <v>0</v>
      </c>
      <c r="F63" s="12">
        <v>160</v>
      </c>
      <c r="G63" s="11">
        <v>0</v>
      </c>
      <c r="H63" s="11">
        <v>0.13800000000000001</v>
      </c>
      <c r="I63" s="10">
        <v>158500</v>
      </c>
      <c r="J63" s="12" t="s">
        <v>2001</v>
      </c>
      <c r="K63" s="12">
        <v>22</v>
      </c>
      <c r="L63" s="12" t="s">
        <v>700</v>
      </c>
      <c r="M63" s="10">
        <v>12077638392</v>
      </c>
      <c r="N63" s="10">
        <v>1470762</v>
      </c>
      <c r="O63" s="12">
        <v>53</v>
      </c>
    </row>
    <row r="64" spans="1:15" ht="27" x14ac:dyDescent="0.3">
      <c r="A64" s="9">
        <v>43507</v>
      </c>
      <c r="B64" s="12">
        <v>1</v>
      </c>
      <c r="C64" s="11">
        <v>0</v>
      </c>
      <c r="D64" s="12">
        <v>1</v>
      </c>
      <c r="E64" s="11">
        <v>0</v>
      </c>
      <c r="F64" s="12">
        <v>160</v>
      </c>
      <c r="G64" s="11">
        <v>0</v>
      </c>
      <c r="H64" s="11">
        <v>5.6000000000000001E-2</v>
      </c>
      <c r="I64" s="10">
        <v>63500</v>
      </c>
      <c r="J64" s="12" t="s">
        <v>2002</v>
      </c>
      <c r="K64" s="12">
        <v>9</v>
      </c>
      <c r="L64" s="12" t="s">
        <v>2003</v>
      </c>
      <c r="M64" s="10">
        <v>12077701892</v>
      </c>
      <c r="N64" s="10">
        <v>1470771</v>
      </c>
      <c r="O64" s="12">
        <v>51</v>
      </c>
    </row>
    <row r="65" spans="1:15" ht="27" x14ac:dyDescent="0.3">
      <c r="A65" s="9">
        <v>43508</v>
      </c>
      <c r="B65" s="12">
        <v>1</v>
      </c>
      <c r="C65" s="11">
        <v>0</v>
      </c>
      <c r="D65" s="12">
        <v>1</v>
      </c>
      <c r="E65" s="11">
        <v>0</v>
      </c>
      <c r="F65" s="12">
        <v>160</v>
      </c>
      <c r="G65" s="11">
        <v>0</v>
      </c>
      <c r="H65" s="11">
        <v>7.4999999999999997E-2</v>
      </c>
      <c r="I65" s="10">
        <v>94000</v>
      </c>
      <c r="J65" s="12" t="s">
        <v>2004</v>
      </c>
      <c r="K65" s="12">
        <v>12</v>
      </c>
      <c r="L65" s="12" t="s">
        <v>1308</v>
      </c>
      <c r="M65" s="10">
        <v>12077795892</v>
      </c>
      <c r="N65" s="10">
        <v>1470783</v>
      </c>
      <c r="O65" s="12">
        <v>64</v>
      </c>
    </row>
    <row r="66" spans="1:15" ht="27" x14ac:dyDescent="0.3">
      <c r="A66" s="9">
        <v>43509</v>
      </c>
      <c r="B66" s="12">
        <v>4</v>
      </c>
      <c r="C66" s="11">
        <v>1E-3</v>
      </c>
      <c r="D66" s="12">
        <v>4</v>
      </c>
      <c r="E66" s="11">
        <v>0</v>
      </c>
      <c r="F66" s="12">
        <v>707</v>
      </c>
      <c r="G66" s="11">
        <v>0</v>
      </c>
      <c r="H66" s="11">
        <v>0.65600000000000003</v>
      </c>
      <c r="I66" s="10">
        <v>3469000</v>
      </c>
      <c r="J66" s="12" t="s">
        <v>2005</v>
      </c>
      <c r="K66" s="12">
        <v>464</v>
      </c>
      <c r="L66" s="12" t="s">
        <v>2006</v>
      </c>
      <c r="M66" s="10">
        <v>12081264892</v>
      </c>
      <c r="N66" s="10">
        <v>1471247</v>
      </c>
      <c r="O66" s="12">
        <v>19</v>
      </c>
    </row>
    <row r="67" spans="1:15" ht="27" x14ac:dyDescent="0.3">
      <c r="A67" s="9">
        <v>43582</v>
      </c>
      <c r="B67" s="12">
        <v>1</v>
      </c>
      <c r="C67" s="11">
        <v>0</v>
      </c>
      <c r="D67" s="12">
        <v>1</v>
      </c>
      <c r="E67" s="11">
        <v>0</v>
      </c>
      <c r="F67" s="12">
        <v>102</v>
      </c>
      <c r="G67" s="11">
        <v>0</v>
      </c>
      <c r="H67" s="11">
        <v>1</v>
      </c>
      <c r="I67" s="10">
        <v>714000</v>
      </c>
      <c r="J67" s="12" t="s">
        <v>2007</v>
      </c>
      <c r="K67" s="12">
        <v>102</v>
      </c>
      <c r="L67" s="12" t="s">
        <v>2008</v>
      </c>
      <c r="M67" s="10">
        <v>12081978892</v>
      </c>
      <c r="N67" s="10">
        <v>1471349</v>
      </c>
      <c r="O67" s="12">
        <v>53</v>
      </c>
    </row>
    <row r="68" spans="1:15" ht="27" x14ac:dyDescent="0.3">
      <c r="A68" s="9">
        <v>43593</v>
      </c>
      <c r="B68" s="12">
        <v>33</v>
      </c>
      <c r="C68" s="11">
        <v>7.0000000000000001E-3</v>
      </c>
      <c r="D68" s="12">
        <v>36</v>
      </c>
      <c r="E68" s="11">
        <v>2E-3</v>
      </c>
      <c r="F68" s="10">
        <v>4768</v>
      </c>
      <c r="G68" s="11">
        <v>2E-3</v>
      </c>
      <c r="H68" s="11">
        <v>5.0999999999999997E-2</v>
      </c>
      <c r="I68" s="10">
        <v>1568700</v>
      </c>
      <c r="J68" s="12" t="s">
        <v>2009</v>
      </c>
      <c r="K68" s="12">
        <v>243</v>
      </c>
      <c r="L68" s="12" t="s">
        <v>2010</v>
      </c>
      <c r="M68" s="10">
        <v>12083547592</v>
      </c>
      <c r="N68" s="10">
        <v>1471592</v>
      </c>
      <c r="O68" s="12">
        <v>27</v>
      </c>
    </row>
    <row r="69" spans="1:15" ht="27" x14ac:dyDescent="0.3">
      <c r="A69" s="9">
        <v>43594</v>
      </c>
      <c r="B69" s="12">
        <v>37</v>
      </c>
      <c r="C69" s="11">
        <v>7.0000000000000001E-3</v>
      </c>
      <c r="D69" s="12">
        <v>37</v>
      </c>
      <c r="E69" s="11">
        <v>2E-3</v>
      </c>
      <c r="F69" s="10">
        <v>4697</v>
      </c>
      <c r="G69" s="11">
        <v>2E-3</v>
      </c>
      <c r="H69" s="11">
        <v>7.5999999999999998E-2</v>
      </c>
      <c r="I69" s="10">
        <v>2359200</v>
      </c>
      <c r="J69" s="12" t="s">
        <v>2011</v>
      </c>
      <c r="K69" s="12">
        <v>359</v>
      </c>
      <c r="L69" s="12" t="s">
        <v>2012</v>
      </c>
      <c r="M69" s="10">
        <v>12085906792</v>
      </c>
      <c r="N69" s="10">
        <v>1471951</v>
      </c>
      <c r="O69" s="12">
        <v>17</v>
      </c>
    </row>
    <row r="70" spans="1:15" ht="27" x14ac:dyDescent="0.3">
      <c r="A70" s="9">
        <v>43595</v>
      </c>
      <c r="B70" s="12">
        <v>38</v>
      </c>
      <c r="C70" s="11">
        <v>7.0000000000000001E-3</v>
      </c>
      <c r="D70" s="12">
        <v>39</v>
      </c>
      <c r="E70" s="11">
        <v>2E-3</v>
      </c>
      <c r="F70" s="10">
        <v>4968</v>
      </c>
      <c r="G70" s="11">
        <v>2E-3</v>
      </c>
      <c r="H70" s="11">
        <v>5.6000000000000001E-2</v>
      </c>
      <c r="I70" s="10">
        <v>1817300</v>
      </c>
      <c r="J70" s="12" t="s">
        <v>2013</v>
      </c>
      <c r="K70" s="12">
        <v>276</v>
      </c>
      <c r="L70" s="12" t="s">
        <v>2014</v>
      </c>
      <c r="M70" s="10">
        <v>12087724092</v>
      </c>
      <c r="N70" s="10">
        <v>1472227</v>
      </c>
      <c r="O70" s="12">
        <v>22</v>
      </c>
    </row>
    <row r="71" spans="1:15" ht="27" x14ac:dyDescent="0.3">
      <c r="A71" s="9">
        <v>43596</v>
      </c>
      <c r="B71" s="12">
        <v>34</v>
      </c>
      <c r="C71" s="11">
        <v>6.0000000000000001E-3</v>
      </c>
      <c r="D71" s="12">
        <v>35</v>
      </c>
      <c r="E71" s="11">
        <v>2E-3</v>
      </c>
      <c r="F71" s="10">
        <v>4070</v>
      </c>
      <c r="G71" s="11">
        <v>1E-3</v>
      </c>
      <c r="H71" s="11">
        <v>6.4000000000000001E-2</v>
      </c>
      <c r="I71" s="10">
        <v>1692400</v>
      </c>
      <c r="J71" s="12" t="s">
        <v>2015</v>
      </c>
      <c r="K71" s="12">
        <v>260</v>
      </c>
      <c r="L71" s="12" t="s">
        <v>2016</v>
      </c>
      <c r="M71" s="10">
        <v>12089416492</v>
      </c>
      <c r="N71" s="10">
        <v>1472487</v>
      </c>
      <c r="O71" s="12">
        <v>25</v>
      </c>
    </row>
    <row r="72" spans="1:15" ht="27" x14ac:dyDescent="0.3">
      <c r="A72" s="9">
        <v>43597</v>
      </c>
      <c r="B72" s="12">
        <v>32</v>
      </c>
      <c r="C72" s="11">
        <v>6.0000000000000001E-3</v>
      </c>
      <c r="D72" s="12">
        <v>32</v>
      </c>
      <c r="E72" s="11">
        <v>2E-3</v>
      </c>
      <c r="F72" s="10">
        <v>3996</v>
      </c>
      <c r="G72" s="11">
        <v>1E-3</v>
      </c>
      <c r="H72" s="11">
        <v>5.3999999999999999E-2</v>
      </c>
      <c r="I72" s="10">
        <v>1422800</v>
      </c>
      <c r="J72" s="12" t="s">
        <v>2017</v>
      </c>
      <c r="K72" s="12">
        <v>215</v>
      </c>
      <c r="L72" s="12" t="s">
        <v>2018</v>
      </c>
      <c r="M72" s="10">
        <v>12090839292</v>
      </c>
      <c r="N72" s="10">
        <v>1472702</v>
      </c>
      <c r="O72" s="12">
        <v>26</v>
      </c>
    </row>
    <row r="73" spans="1:15" ht="27" x14ac:dyDescent="0.3">
      <c r="A73" s="9">
        <v>43598</v>
      </c>
      <c r="B73" s="12">
        <v>24</v>
      </c>
      <c r="C73" s="11">
        <v>5.0000000000000001E-3</v>
      </c>
      <c r="D73" s="12">
        <v>24</v>
      </c>
      <c r="E73" s="11">
        <v>1E-3</v>
      </c>
      <c r="F73" s="10">
        <v>3311</v>
      </c>
      <c r="G73" s="11">
        <v>1E-3</v>
      </c>
      <c r="H73" s="11">
        <v>2.1000000000000001E-2</v>
      </c>
      <c r="I73" s="10">
        <v>465900</v>
      </c>
      <c r="J73" s="12" t="s">
        <v>2019</v>
      </c>
      <c r="K73" s="12">
        <v>71</v>
      </c>
      <c r="L73" s="12" t="s">
        <v>2020</v>
      </c>
      <c r="M73" s="10">
        <v>12091305192</v>
      </c>
      <c r="N73" s="10">
        <v>1472773</v>
      </c>
      <c r="O73" s="12">
        <v>43</v>
      </c>
    </row>
    <row r="74" spans="1:15" ht="27" x14ac:dyDescent="0.3">
      <c r="A74" s="9">
        <v>43599</v>
      </c>
      <c r="B74" s="12">
        <v>29</v>
      </c>
      <c r="C74" s="11">
        <v>6.0000000000000001E-3</v>
      </c>
      <c r="D74" s="12">
        <v>29</v>
      </c>
      <c r="E74" s="11">
        <v>2E-3</v>
      </c>
      <c r="F74" s="10">
        <v>3717</v>
      </c>
      <c r="G74" s="11">
        <v>2E-3</v>
      </c>
      <c r="H74" s="11">
        <v>4.2999999999999997E-2</v>
      </c>
      <c r="I74" s="10">
        <v>1037100</v>
      </c>
      <c r="J74" s="12" t="s">
        <v>2021</v>
      </c>
      <c r="K74" s="12">
        <v>158</v>
      </c>
      <c r="L74" s="12" t="s">
        <v>2022</v>
      </c>
      <c r="M74" s="10">
        <v>12092342292</v>
      </c>
      <c r="N74" s="10">
        <v>1472931</v>
      </c>
      <c r="O74" s="12">
        <v>29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6732-403D-493B-BB97-C6C3C4FBD9B2}">
  <dimension ref="A1:O65"/>
  <sheetViews>
    <sheetView workbookViewId="0">
      <selection activeCell="A5" sqref="A5:O10"/>
    </sheetView>
  </sheetViews>
  <sheetFormatPr defaultRowHeight="16.5" x14ac:dyDescent="0.3"/>
  <sheetData>
    <row r="1" spans="1:15" ht="19.5" x14ac:dyDescent="0.3">
      <c r="A1" s="197" t="s">
        <v>2023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43495</v>
      </c>
      <c r="B5" s="12">
        <v>930</v>
      </c>
      <c r="C5" s="11">
        <v>0.17899999999999999</v>
      </c>
      <c r="D5" s="10">
        <v>3530</v>
      </c>
      <c r="E5" s="11">
        <v>0.185</v>
      </c>
      <c r="F5" s="10">
        <v>511202</v>
      </c>
      <c r="G5" s="11">
        <v>0.17199999999999999</v>
      </c>
      <c r="H5" s="11">
        <v>0.24399999999999999</v>
      </c>
      <c r="I5" s="10">
        <v>826467640</v>
      </c>
      <c r="J5" s="12" t="s">
        <v>2024</v>
      </c>
      <c r="K5" s="10">
        <v>124517</v>
      </c>
      <c r="L5" s="12" t="s">
        <v>2025</v>
      </c>
      <c r="M5" s="10">
        <v>917121640</v>
      </c>
      <c r="N5" s="10">
        <v>134135</v>
      </c>
      <c r="O5" s="12">
        <v>3</v>
      </c>
    </row>
    <row r="6" spans="1:15" ht="40.5" x14ac:dyDescent="0.3">
      <c r="A6" s="9">
        <v>43496</v>
      </c>
      <c r="B6" s="12">
        <v>895</v>
      </c>
      <c r="C6" s="11">
        <v>0.16300000000000001</v>
      </c>
      <c r="D6" s="10">
        <v>3198</v>
      </c>
      <c r="E6" s="11">
        <v>0.16400000000000001</v>
      </c>
      <c r="F6" s="10">
        <v>463282</v>
      </c>
      <c r="G6" s="11">
        <v>0.152</v>
      </c>
      <c r="H6" s="11">
        <v>0.14899999999999999</v>
      </c>
      <c r="I6" s="10">
        <v>548989470</v>
      </c>
      <c r="J6" s="12" t="s">
        <v>2026</v>
      </c>
      <c r="K6" s="10">
        <v>68834</v>
      </c>
      <c r="L6" s="12" t="s">
        <v>2027</v>
      </c>
      <c r="M6" s="10">
        <v>1466111110</v>
      </c>
      <c r="N6" s="10">
        <v>202969</v>
      </c>
      <c r="O6" s="12">
        <v>3</v>
      </c>
    </row>
    <row r="7" spans="1:15" ht="27" x14ac:dyDescent="0.3">
      <c r="A7" s="9">
        <v>43497</v>
      </c>
      <c r="B7" s="12">
        <v>886</v>
      </c>
      <c r="C7" s="11">
        <v>0.16400000000000001</v>
      </c>
      <c r="D7" s="10">
        <v>3247</v>
      </c>
      <c r="E7" s="11">
        <v>0.16300000000000001</v>
      </c>
      <c r="F7" s="10">
        <v>461520</v>
      </c>
      <c r="G7" s="11">
        <v>0.14899999999999999</v>
      </c>
      <c r="H7" s="11">
        <v>0.161</v>
      </c>
      <c r="I7" s="10">
        <v>664155956</v>
      </c>
      <c r="J7" s="12" t="s">
        <v>2028</v>
      </c>
      <c r="K7" s="10">
        <v>74501</v>
      </c>
      <c r="L7" s="12" t="s">
        <v>2029</v>
      </c>
      <c r="M7" s="10">
        <v>2130267066</v>
      </c>
      <c r="N7" s="10">
        <v>277470</v>
      </c>
      <c r="O7" s="12">
        <v>3</v>
      </c>
    </row>
    <row r="8" spans="1:15" ht="27" x14ac:dyDescent="0.3">
      <c r="A8" s="9">
        <v>43498</v>
      </c>
      <c r="B8" s="12">
        <v>963</v>
      </c>
      <c r="C8" s="11">
        <v>0.16800000000000001</v>
      </c>
      <c r="D8" s="10">
        <v>3298</v>
      </c>
      <c r="E8" s="11">
        <v>0.157</v>
      </c>
      <c r="F8" s="10">
        <v>464599</v>
      </c>
      <c r="G8" s="11">
        <v>0.14199999999999999</v>
      </c>
      <c r="H8" s="11">
        <v>0.38600000000000001</v>
      </c>
      <c r="I8" s="10">
        <v>1565863770</v>
      </c>
      <c r="J8" s="12" t="s">
        <v>2030</v>
      </c>
      <c r="K8" s="10">
        <v>179529</v>
      </c>
      <c r="L8" s="12" t="s">
        <v>2031</v>
      </c>
      <c r="M8" s="10">
        <v>3696130836</v>
      </c>
      <c r="N8" s="10">
        <v>456999</v>
      </c>
      <c r="O8" s="12">
        <v>3</v>
      </c>
    </row>
    <row r="9" spans="1:15" ht="40.5" x14ac:dyDescent="0.3">
      <c r="A9" s="9">
        <v>43499</v>
      </c>
      <c r="B9" s="12">
        <v>971</v>
      </c>
      <c r="C9" s="11">
        <v>0.16900000000000001</v>
      </c>
      <c r="D9" s="10">
        <v>3267</v>
      </c>
      <c r="E9" s="11">
        <v>0.156</v>
      </c>
      <c r="F9" s="10">
        <v>460627</v>
      </c>
      <c r="G9" s="11">
        <v>0.14099999999999999</v>
      </c>
      <c r="H9" s="11">
        <v>0.36199999999999999</v>
      </c>
      <c r="I9" s="10">
        <v>1462156900</v>
      </c>
      <c r="J9" s="12" t="s">
        <v>2032</v>
      </c>
      <c r="K9" s="10">
        <v>166677</v>
      </c>
      <c r="L9" s="12" t="s">
        <v>2033</v>
      </c>
      <c r="M9" s="10">
        <v>5158287736</v>
      </c>
      <c r="N9" s="10">
        <v>623676</v>
      </c>
      <c r="O9" s="12">
        <v>3</v>
      </c>
    </row>
    <row r="10" spans="1:15" ht="40.5" x14ac:dyDescent="0.3">
      <c r="A10" s="9">
        <v>43500</v>
      </c>
      <c r="B10" s="12">
        <v>952</v>
      </c>
      <c r="C10" s="11">
        <v>0.17</v>
      </c>
      <c r="D10" s="10">
        <v>3170</v>
      </c>
      <c r="E10" s="11">
        <v>0.152</v>
      </c>
      <c r="F10" s="10">
        <v>444950</v>
      </c>
      <c r="G10" s="11">
        <v>0.13700000000000001</v>
      </c>
      <c r="H10" s="11">
        <v>0.27700000000000002</v>
      </c>
      <c r="I10" s="10">
        <v>1095260270</v>
      </c>
      <c r="J10" s="12" t="s">
        <v>2034</v>
      </c>
      <c r="K10" s="10">
        <v>123409</v>
      </c>
      <c r="L10" s="12" t="s">
        <v>2035</v>
      </c>
      <c r="M10" s="10">
        <v>6253548006</v>
      </c>
      <c r="N10" s="10">
        <v>747085</v>
      </c>
      <c r="O10" s="12">
        <v>3</v>
      </c>
    </row>
    <row r="11" spans="1:15" ht="40.5" x14ac:dyDescent="0.3">
      <c r="A11" s="9">
        <v>43501</v>
      </c>
      <c r="B11" s="12">
        <v>800</v>
      </c>
      <c r="C11" s="11">
        <v>0.14299999999999999</v>
      </c>
      <c r="D11" s="10">
        <v>2171</v>
      </c>
      <c r="E11" s="11">
        <v>0.106</v>
      </c>
      <c r="F11" s="10">
        <v>273068</v>
      </c>
      <c r="G11" s="11">
        <v>8.5000000000000006E-2</v>
      </c>
      <c r="H11" s="11">
        <v>0.28100000000000003</v>
      </c>
      <c r="I11" s="10">
        <v>669239910</v>
      </c>
      <c r="J11" s="12" t="s">
        <v>2036</v>
      </c>
      <c r="K11" s="10">
        <v>76624</v>
      </c>
      <c r="L11" s="12" t="s">
        <v>2037</v>
      </c>
      <c r="M11" s="10">
        <v>6922787916</v>
      </c>
      <c r="N11" s="10">
        <v>823709</v>
      </c>
      <c r="O11" s="12">
        <v>4</v>
      </c>
    </row>
    <row r="12" spans="1:15" ht="27" x14ac:dyDescent="0.3">
      <c r="A12" s="9">
        <v>43502</v>
      </c>
      <c r="B12" s="12">
        <v>770</v>
      </c>
      <c r="C12" s="11">
        <v>0.126</v>
      </c>
      <c r="D12" s="10">
        <v>1918</v>
      </c>
      <c r="E12" s="11">
        <v>9.4E-2</v>
      </c>
      <c r="F12" s="10">
        <v>243246</v>
      </c>
      <c r="G12" s="11">
        <v>7.5999999999999998E-2</v>
      </c>
      <c r="H12" s="11">
        <v>0.48399999999999999</v>
      </c>
      <c r="I12" s="10">
        <v>992428720</v>
      </c>
      <c r="J12" s="12" t="s">
        <v>2038</v>
      </c>
      <c r="K12" s="10">
        <v>117834</v>
      </c>
      <c r="L12" s="12" t="s">
        <v>2039</v>
      </c>
      <c r="M12" s="10">
        <v>7915216636</v>
      </c>
      <c r="N12" s="10">
        <v>941543</v>
      </c>
      <c r="O12" s="12">
        <v>4</v>
      </c>
    </row>
    <row r="13" spans="1:15" ht="40.5" x14ac:dyDescent="0.3">
      <c r="A13" s="9">
        <v>43503</v>
      </c>
      <c r="B13" s="12">
        <v>694</v>
      </c>
      <c r="C13" s="11">
        <v>0.11899999999999999</v>
      </c>
      <c r="D13" s="10">
        <v>1740</v>
      </c>
      <c r="E13" s="11">
        <v>0.09</v>
      </c>
      <c r="F13" s="10">
        <v>221186</v>
      </c>
      <c r="G13" s="11">
        <v>7.2999999999999995E-2</v>
      </c>
      <c r="H13" s="11">
        <v>0.17499999999999999</v>
      </c>
      <c r="I13" s="10">
        <v>298350290</v>
      </c>
      <c r="J13" s="12" t="s">
        <v>2040</v>
      </c>
      <c r="K13" s="10">
        <v>38600</v>
      </c>
      <c r="L13" s="12" t="s">
        <v>2041</v>
      </c>
      <c r="M13" s="10">
        <v>8213566926</v>
      </c>
      <c r="N13" s="10">
        <v>980143</v>
      </c>
      <c r="O13" s="12">
        <v>4</v>
      </c>
    </row>
    <row r="14" spans="1:15" ht="27" x14ac:dyDescent="0.3">
      <c r="A14" s="9">
        <v>43504</v>
      </c>
      <c r="B14" s="12">
        <v>692</v>
      </c>
      <c r="C14" s="11">
        <v>0.11899999999999999</v>
      </c>
      <c r="D14" s="10">
        <v>1651</v>
      </c>
      <c r="E14" s="11">
        <v>8.5000000000000006E-2</v>
      </c>
      <c r="F14" s="10">
        <v>210029</v>
      </c>
      <c r="G14" s="11">
        <v>6.9000000000000006E-2</v>
      </c>
      <c r="H14" s="11">
        <v>0.16900000000000001</v>
      </c>
      <c r="I14" s="10">
        <v>298065260</v>
      </c>
      <c r="J14" s="12" t="s">
        <v>2042</v>
      </c>
      <c r="K14" s="10">
        <v>35556</v>
      </c>
      <c r="L14" s="12" t="s">
        <v>2043</v>
      </c>
      <c r="M14" s="10">
        <v>8511632186</v>
      </c>
      <c r="N14" s="10">
        <v>1015699</v>
      </c>
      <c r="O14" s="12">
        <v>4</v>
      </c>
    </row>
    <row r="15" spans="1:15" ht="27" x14ac:dyDescent="0.3">
      <c r="A15" s="9">
        <v>43505</v>
      </c>
      <c r="B15" s="12">
        <v>700</v>
      </c>
      <c r="C15" s="11">
        <v>0.11600000000000001</v>
      </c>
      <c r="D15" s="10">
        <v>1573</v>
      </c>
      <c r="E15" s="11">
        <v>7.8E-2</v>
      </c>
      <c r="F15" s="10">
        <v>193812</v>
      </c>
      <c r="G15" s="11">
        <v>6.0999999999999999E-2</v>
      </c>
      <c r="H15" s="11">
        <v>0.42499999999999999</v>
      </c>
      <c r="I15" s="10">
        <v>681572650</v>
      </c>
      <c r="J15" s="12" t="s">
        <v>2044</v>
      </c>
      <c r="K15" s="10">
        <v>82465</v>
      </c>
      <c r="L15" s="12" t="s">
        <v>2045</v>
      </c>
      <c r="M15" s="10">
        <v>9193204836</v>
      </c>
      <c r="N15" s="10">
        <v>1098164</v>
      </c>
      <c r="O15" s="12">
        <v>4</v>
      </c>
    </row>
    <row r="16" spans="1:15" ht="27" x14ac:dyDescent="0.3">
      <c r="A16" s="9">
        <v>43506</v>
      </c>
      <c r="B16" s="12">
        <v>690</v>
      </c>
      <c r="C16" s="11">
        <v>0.11700000000000001</v>
      </c>
      <c r="D16" s="10">
        <v>1573</v>
      </c>
      <c r="E16" s="11">
        <v>7.9000000000000001E-2</v>
      </c>
      <c r="F16" s="10">
        <v>193189</v>
      </c>
      <c r="G16" s="11">
        <v>6.2E-2</v>
      </c>
      <c r="H16" s="11">
        <v>0.42899999999999999</v>
      </c>
      <c r="I16" s="10">
        <v>685529930</v>
      </c>
      <c r="J16" s="12" t="s">
        <v>2046</v>
      </c>
      <c r="K16" s="10">
        <v>82872</v>
      </c>
      <c r="L16" s="12" t="s">
        <v>2047</v>
      </c>
      <c r="M16" s="10">
        <v>9878734766</v>
      </c>
      <c r="N16" s="10">
        <v>1181036</v>
      </c>
      <c r="O16" s="12">
        <v>3</v>
      </c>
    </row>
    <row r="17" spans="1:15" ht="40.5" x14ac:dyDescent="0.3">
      <c r="A17" s="9">
        <v>43507</v>
      </c>
      <c r="B17" s="12">
        <v>642</v>
      </c>
      <c r="C17" s="11">
        <v>0.12</v>
      </c>
      <c r="D17" s="10">
        <v>1498</v>
      </c>
      <c r="E17" s="11">
        <v>8.1000000000000003E-2</v>
      </c>
      <c r="F17" s="10">
        <v>186115</v>
      </c>
      <c r="G17" s="11">
        <v>6.4000000000000001E-2</v>
      </c>
      <c r="H17" s="11">
        <v>0.125</v>
      </c>
      <c r="I17" s="10">
        <v>178422140</v>
      </c>
      <c r="J17" s="12" t="s">
        <v>2048</v>
      </c>
      <c r="K17" s="10">
        <v>23346</v>
      </c>
      <c r="L17" s="12" t="s">
        <v>2049</v>
      </c>
      <c r="M17" s="10">
        <v>10057156906</v>
      </c>
      <c r="N17" s="10">
        <v>1204382</v>
      </c>
      <c r="O17" s="12">
        <v>4</v>
      </c>
    </row>
    <row r="18" spans="1:15" ht="27" x14ac:dyDescent="0.3">
      <c r="A18" s="9">
        <v>43508</v>
      </c>
      <c r="B18" s="12">
        <v>684</v>
      </c>
      <c r="C18" s="11">
        <v>0.122</v>
      </c>
      <c r="D18" s="10">
        <v>1510</v>
      </c>
      <c r="E18" s="11">
        <v>8.1000000000000003E-2</v>
      </c>
      <c r="F18" s="10">
        <v>186994</v>
      </c>
      <c r="G18" s="11">
        <v>6.4000000000000001E-2</v>
      </c>
      <c r="H18" s="11">
        <v>0.13400000000000001</v>
      </c>
      <c r="I18" s="10">
        <v>187655360</v>
      </c>
      <c r="J18" s="12" t="s">
        <v>2050</v>
      </c>
      <c r="K18" s="10">
        <v>25083</v>
      </c>
      <c r="L18" s="12" t="s">
        <v>2051</v>
      </c>
      <c r="M18" s="10">
        <v>10244812266</v>
      </c>
      <c r="N18" s="10">
        <v>1229465</v>
      </c>
      <c r="O18" s="12">
        <v>4</v>
      </c>
    </row>
    <row r="19" spans="1:15" ht="27" x14ac:dyDescent="0.3">
      <c r="A19" s="9">
        <v>43509</v>
      </c>
      <c r="B19" s="12">
        <v>445</v>
      </c>
      <c r="C19" s="11">
        <v>8.5000000000000006E-2</v>
      </c>
      <c r="D19" s="12">
        <v>809</v>
      </c>
      <c r="E19" s="11">
        <v>4.2999999999999997E-2</v>
      </c>
      <c r="F19" s="10">
        <v>97151</v>
      </c>
      <c r="G19" s="11">
        <v>3.3000000000000002E-2</v>
      </c>
      <c r="H19" s="11">
        <v>0.16700000000000001</v>
      </c>
      <c r="I19" s="10">
        <v>120073810</v>
      </c>
      <c r="J19" s="12" t="s">
        <v>2052</v>
      </c>
      <c r="K19" s="10">
        <v>16226</v>
      </c>
      <c r="L19" s="12" t="s">
        <v>2053</v>
      </c>
      <c r="M19" s="10">
        <v>10364886076</v>
      </c>
      <c r="N19" s="10">
        <v>1245691</v>
      </c>
      <c r="O19" s="12">
        <v>5</v>
      </c>
    </row>
    <row r="20" spans="1:15" ht="27" x14ac:dyDescent="0.3">
      <c r="A20" s="9">
        <v>43510</v>
      </c>
      <c r="B20" s="12">
        <v>359</v>
      </c>
      <c r="C20" s="11">
        <v>5.8999999999999997E-2</v>
      </c>
      <c r="D20" s="12">
        <v>498</v>
      </c>
      <c r="E20" s="11">
        <v>2.5999999999999999E-2</v>
      </c>
      <c r="F20" s="10">
        <v>59333</v>
      </c>
      <c r="G20" s="11">
        <v>0.02</v>
      </c>
      <c r="H20" s="11">
        <v>0.218</v>
      </c>
      <c r="I20" s="10">
        <v>91768750</v>
      </c>
      <c r="J20" s="12" t="s">
        <v>2054</v>
      </c>
      <c r="K20" s="10">
        <v>12920</v>
      </c>
      <c r="L20" s="12" t="s">
        <v>2055</v>
      </c>
      <c r="M20" s="10">
        <v>10456654826</v>
      </c>
      <c r="N20" s="10">
        <v>1258611</v>
      </c>
      <c r="O20" s="12">
        <v>8</v>
      </c>
    </row>
    <row r="21" spans="1:15" ht="27" x14ac:dyDescent="0.3">
      <c r="A21" s="9">
        <v>43511</v>
      </c>
      <c r="B21" s="12">
        <v>363</v>
      </c>
      <c r="C21" s="11">
        <v>5.8999999999999997E-2</v>
      </c>
      <c r="D21" s="12">
        <v>523</v>
      </c>
      <c r="E21" s="11">
        <v>2.7E-2</v>
      </c>
      <c r="F21" s="10">
        <v>63181</v>
      </c>
      <c r="G21" s="11">
        <v>2.1000000000000001E-2</v>
      </c>
      <c r="H21" s="11">
        <v>0.216</v>
      </c>
      <c r="I21" s="10">
        <v>104433890</v>
      </c>
      <c r="J21" s="12" t="s">
        <v>2056</v>
      </c>
      <c r="K21" s="10">
        <v>13649</v>
      </c>
      <c r="L21" s="12" t="s">
        <v>2057</v>
      </c>
      <c r="M21" s="10">
        <v>10561088716</v>
      </c>
      <c r="N21" s="10">
        <v>1272260</v>
      </c>
      <c r="O21" s="12">
        <v>7</v>
      </c>
    </row>
    <row r="22" spans="1:15" ht="27" x14ac:dyDescent="0.3">
      <c r="A22" s="9">
        <v>43512</v>
      </c>
      <c r="B22" s="12">
        <v>475</v>
      </c>
      <c r="C22" s="11">
        <v>7.1999999999999995E-2</v>
      </c>
      <c r="D22" s="12">
        <v>707</v>
      </c>
      <c r="E22" s="11">
        <v>3.5000000000000003E-2</v>
      </c>
      <c r="F22" s="10">
        <v>86704</v>
      </c>
      <c r="G22" s="11">
        <v>2.8000000000000001E-2</v>
      </c>
      <c r="H22" s="11">
        <v>0.41399999999999998</v>
      </c>
      <c r="I22" s="10">
        <v>282893190</v>
      </c>
      <c r="J22" s="12" t="s">
        <v>2058</v>
      </c>
      <c r="K22" s="10">
        <v>35909</v>
      </c>
      <c r="L22" s="12" t="s">
        <v>2059</v>
      </c>
      <c r="M22" s="10">
        <v>10843981906</v>
      </c>
      <c r="N22" s="10">
        <v>1308169</v>
      </c>
      <c r="O22" s="12">
        <v>7</v>
      </c>
    </row>
    <row r="23" spans="1:15" ht="27" x14ac:dyDescent="0.3">
      <c r="A23" s="9">
        <v>43513</v>
      </c>
      <c r="B23" s="12">
        <v>503</v>
      </c>
      <c r="C23" s="11">
        <v>7.4999999999999997E-2</v>
      </c>
      <c r="D23" s="12">
        <v>764</v>
      </c>
      <c r="E23" s="11">
        <v>3.9E-2</v>
      </c>
      <c r="F23" s="10">
        <v>94043</v>
      </c>
      <c r="G23" s="11">
        <v>3.1E-2</v>
      </c>
      <c r="H23" s="11">
        <v>0.42</v>
      </c>
      <c r="I23" s="10">
        <v>313014200</v>
      </c>
      <c r="J23" s="12" t="s">
        <v>2060</v>
      </c>
      <c r="K23" s="10">
        <v>39505</v>
      </c>
      <c r="L23" s="12" t="s">
        <v>2061</v>
      </c>
      <c r="M23" s="10">
        <v>11156996106</v>
      </c>
      <c r="N23" s="10">
        <v>1347674</v>
      </c>
      <c r="O23" s="12">
        <v>6</v>
      </c>
    </row>
    <row r="24" spans="1:15" ht="40.5" x14ac:dyDescent="0.3">
      <c r="A24" s="9">
        <v>43514</v>
      </c>
      <c r="B24" s="12">
        <v>402</v>
      </c>
      <c r="C24" s="11">
        <v>6.6000000000000003E-2</v>
      </c>
      <c r="D24" s="12">
        <v>617</v>
      </c>
      <c r="E24" s="11">
        <v>3.3000000000000002E-2</v>
      </c>
      <c r="F24" s="10">
        <v>78370</v>
      </c>
      <c r="G24" s="11">
        <v>2.7E-2</v>
      </c>
      <c r="H24" s="11">
        <v>0.151</v>
      </c>
      <c r="I24" s="10">
        <v>85008070</v>
      </c>
      <c r="J24" s="12" t="s">
        <v>2062</v>
      </c>
      <c r="K24" s="10">
        <v>11869</v>
      </c>
      <c r="L24" s="12" t="s">
        <v>2063</v>
      </c>
      <c r="M24" s="10">
        <v>11242004176</v>
      </c>
      <c r="N24" s="10">
        <v>1359543</v>
      </c>
      <c r="O24" s="12">
        <v>7</v>
      </c>
    </row>
    <row r="25" spans="1:15" ht="27" x14ac:dyDescent="0.3">
      <c r="A25" s="9">
        <v>43515</v>
      </c>
      <c r="B25" s="12">
        <v>408</v>
      </c>
      <c r="C25" s="11">
        <v>6.5000000000000002E-2</v>
      </c>
      <c r="D25" s="12">
        <v>638</v>
      </c>
      <c r="E25" s="11">
        <v>3.4000000000000002E-2</v>
      </c>
      <c r="F25" s="10">
        <v>80681</v>
      </c>
      <c r="G25" s="11">
        <v>2.8000000000000001E-2</v>
      </c>
      <c r="H25" s="11">
        <v>0.16</v>
      </c>
      <c r="I25" s="10">
        <v>91194700</v>
      </c>
      <c r="J25" s="12" t="s">
        <v>2064</v>
      </c>
      <c r="K25" s="10">
        <v>12901</v>
      </c>
      <c r="L25" s="12" t="s">
        <v>2065</v>
      </c>
      <c r="M25" s="10">
        <v>11333198876</v>
      </c>
      <c r="N25" s="10">
        <v>1372444</v>
      </c>
      <c r="O25" s="12">
        <v>7</v>
      </c>
    </row>
    <row r="26" spans="1:15" ht="27" x14ac:dyDescent="0.3">
      <c r="A26" s="9">
        <v>43516</v>
      </c>
      <c r="B26" s="12">
        <v>190</v>
      </c>
      <c r="C26" s="11">
        <v>3.1E-2</v>
      </c>
      <c r="D26" s="12">
        <v>257</v>
      </c>
      <c r="E26" s="11">
        <v>1.4E-2</v>
      </c>
      <c r="F26" s="10">
        <v>33966</v>
      </c>
      <c r="G26" s="11">
        <v>1.2E-2</v>
      </c>
      <c r="H26" s="11">
        <v>0.22</v>
      </c>
      <c r="I26" s="10">
        <v>51051940</v>
      </c>
      <c r="J26" s="12" t="s">
        <v>2066</v>
      </c>
      <c r="K26" s="10">
        <v>7457</v>
      </c>
      <c r="L26" s="12" t="s">
        <v>2067</v>
      </c>
      <c r="M26" s="10">
        <v>11384250816</v>
      </c>
      <c r="N26" s="10">
        <v>1379901</v>
      </c>
      <c r="O26" s="12">
        <v>10</v>
      </c>
    </row>
    <row r="27" spans="1:15" ht="27" x14ac:dyDescent="0.3">
      <c r="A27" s="9">
        <v>43517</v>
      </c>
      <c r="B27" s="12">
        <v>186</v>
      </c>
      <c r="C27" s="11">
        <v>2.9000000000000001E-2</v>
      </c>
      <c r="D27" s="12">
        <v>250</v>
      </c>
      <c r="E27" s="11">
        <v>1.4E-2</v>
      </c>
      <c r="F27" s="10">
        <v>32517</v>
      </c>
      <c r="G27" s="11">
        <v>1.0999999999999999E-2</v>
      </c>
      <c r="H27" s="11">
        <v>0.221</v>
      </c>
      <c r="I27" s="10">
        <v>50169820</v>
      </c>
      <c r="J27" s="12" t="s">
        <v>2068</v>
      </c>
      <c r="K27" s="10">
        <v>7196</v>
      </c>
      <c r="L27" s="12" t="s">
        <v>2069</v>
      </c>
      <c r="M27" s="10">
        <v>11434420636</v>
      </c>
      <c r="N27" s="10">
        <v>1387097</v>
      </c>
      <c r="O27" s="12">
        <v>9</v>
      </c>
    </row>
    <row r="28" spans="1:15" ht="27" x14ac:dyDescent="0.3">
      <c r="A28" s="9">
        <v>43518</v>
      </c>
      <c r="B28" s="12">
        <v>212</v>
      </c>
      <c r="C28" s="11">
        <v>3.2000000000000001E-2</v>
      </c>
      <c r="D28" s="12">
        <v>294</v>
      </c>
      <c r="E28" s="11">
        <v>1.6E-2</v>
      </c>
      <c r="F28" s="10">
        <v>38267</v>
      </c>
      <c r="G28" s="11">
        <v>1.2999999999999999E-2</v>
      </c>
      <c r="H28" s="11">
        <v>0.217</v>
      </c>
      <c r="I28" s="10">
        <v>62329440</v>
      </c>
      <c r="J28" s="12" t="s">
        <v>2070</v>
      </c>
      <c r="K28" s="10">
        <v>8298</v>
      </c>
      <c r="L28" s="12" t="s">
        <v>2071</v>
      </c>
      <c r="M28" s="10">
        <v>11496750076</v>
      </c>
      <c r="N28" s="10">
        <v>1395395</v>
      </c>
      <c r="O28" s="12">
        <v>9</v>
      </c>
    </row>
    <row r="29" spans="1:15" ht="27" x14ac:dyDescent="0.3">
      <c r="A29" s="9">
        <v>43519</v>
      </c>
      <c r="B29" s="12">
        <v>305</v>
      </c>
      <c r="C29" s="11">
        <v>4.4999999999999998E-2</v>
      </c>
      <c r="D29" s="12">
        <v>443</v>
      </c>
      <c r="E29" s="11">
        <v>2.3E-2</v>
      </c>
      <c r="F29" s="10">
        <v>57080</v>
      </c>
      <c r="G29" s="11">
        <v>1.9E-2</v>
      </c>
      <c r="H29" s="11">
        <v>0.30099999999999999</v>
      </c>
      <c r="I29" s="10">
        <v>134891530</v>
      </c>
      <c r="J29" s="12" t="s">
        <v>2072</v>
      </c>
      <c r="K29" s="10">
        <v>17185</v>
      </c>
      <c r="L29" s="12" t="s">
        <v>2073</v>
      </c>
      <c r="M29" s="10">
        <v>11631641606</v>
      </c>
      <c r="N29" s="10">
        <v>1412580</v>
      </c>
      <c r="O29" s="12">
        <v>7</v>
      </c>
    </row>
    <row r="30" spans="1:15" ht="27" x14ac:dyDescent="0.3">
      <c r="A30" s="9">
        <v>43520</v>
      </c>
      <c r="B30" s="12">
        <v>306</v>
      </c>
      <c r="C30" s="11">
        <v>4.4999999999999998E-2</v>
      </c>
      <c r="D30" s="12">
        <v>445</v>
      </c>
      <c r="E30" s="11">
        <v>2.3E-2</v>
      </c>
      <c r="F30" s="10">
        <v>58333</v>
      </c>
      <c r="G30" s="11">
        <v>0.02</v>
      </c>
      <c r="H30" s="11">
        <v>0.311</v>
      </c>
      <c r="I30" s="10">
        <v>143050410</v>
      </c>
      <c r="J30" s="12" t="s">
        <v>2074</v>
      </c>
      <c r="K30" s="10">
        <v>18137</v>
      </c>
      <c r="L30" s="12" t="s">
        <v>2075</v>
      </c>
      <c r="M30" s="10">
        <v>11774692016</v>
      </c>
      <c r="N30" s="10">
        <v>1430717</v>
      </c>
      <c r="O30" s="12">
        <v>6</v>
      </c>
    </row>
    <row r="31" spans="1:15" ht="27" x14ac:dyDescent="0.3">
      <c r="A31" s="9">
        <v>43521</v>
      </c>
      <c r="B31" s="12">
        <v>261</v>
      </c>
      <c r="C31" s="11">
        <v>4.2000000000000003E-2</v>
      </c>
      <c r="D31" s="12">
        <v>386</v>
      </c>
      <c r="E31" s="11">
        <v>2.1000000000000001E-2</v>
      </c>
      <c r="F31" s="10">
        <v>52513</v>
      </c>
      <c r="G31" s="11">
        <v>1.7999999999999999E-2</v>
      </c>
      <c r="H31" s="11">
        <v>0.16400000000000001</v>
      </c>
      <c r="I31" s="10">
        <v>60430230</v>
      </c>
      <c r="J31" s="12" t="s">
        <v>2076</v>
      </c>
      <c r="K31" s="10">
        <v>8634</v>
      </c>
      <c r="L31" s="12" t="s">
        <v>2077</v>
      </c>
      <c r="M31" s="10">
        <v>11835122246</v>
      </c>
      <c r="N31" s="10">
        <v>1439351</v>
      </c>
      <c r="O31" s="12">
        <v>6</v>
      </c>
    </row>
    <row r="32" spans="1:15" ht="27" x14ac:dyDescent="0.3">
      <c r="A32" s="9">
        <v>43522</v>
      </c>
      <c r="B32" s="12">
        <v>268</v>
      </c>
      <c r="C32" s="11">
        <v>4.2000000000000003E-2</v>
      </c>
      <c r="D32" s="12">
        <v>398</v>
      </c>
      <c r="E32" s="11">
        <v>2.1999999999999999E-2</v>
      </c>
      <c r="F32" s="10">
        <v>54400</v>
      </c>
      <c r="G32" s="11">
        <v>1.9E-2</v>
      </c>
      <c r="H32" s="11">
        <v>0.191</v>
      </c>
      <c r="I32" s="10">
        <v>71569180</v>
      </c>
      <c r="J32" s="12" t="s">
        <v>2078</v>
      </c>
      <c r="K32" s="10">
        <v>10401</v>
      </c>
      <c r="L32" s="12" t="s">
        <v>2079</v>
      </c>
      <c r="M32" s="10">
        <v>11906691426</v>
      </c>
      <c r="N32" s="10">
        <v>1449752</v>
      </c>
      <c r="O32" s="12">
        <v>6</v>
      </c>
    </row>
    <row r="33" spans="1:15" ht="27" x14ac:dyDescent="0.3">
      <c r="A33" s="9">
        <v>43523</v>
      </c>
      <c r="B33" s="12">
        <v>157</v>
      </c>
      <c r="C33" s="11">
        <v>2.4E-2</v>
      </c>
      <c r="D33" s="12">
        <v>199</v>
      </c>
      <c r="E33" s="11">
        <v>0.01</v>
      </c>
      <c r="F33" s="10">
        <v>26531</v>
      </c>
      <c r="G33" s="11">
        <v>8.9999999999999993E-3</v>
      </c>
      <c r="H33" s="11">
        <v>0.27300000000000002</v>
      </c>
      <c r="I33" s="10">
        <v>48184550</v>
      </c>
      <c r="J33" s="12" t="s">
        <v>2080</v>
      </c>
      <c r="K33" s="10">
        <v>7252</v>
      </c>
      <c r="L33" s="12" t="s">
        <v>2081</v>
      </c>
      <c r="M33" s="10">
        <v>11954875976</v>
      </c>
      <c r="N33" s="10">
        <v>1457004</v>
      </c>
      <c r="O33" s="12">
        <v>12</v>
      </c>
    </row>
    <row r="34" spans="1:15" ht="27" x14ac:dyDescent="0.3">
      <c r="A34" s="9">
        <v>43524</v>
      </c>
      <c r="B34" s="12">
        <v>164</v>
      </c>
      <c r="C34" s="11">
        <v>2.5000000000000001E-2</v>
      </c>
      <c r="D34" s="12">
        <v>209</v>
      </c>
      <c r="E34" s="11">
        <v>1.0999999999999999E-2</v>
      </c>
      <c r="F34" s="10">
        <v>27103</v>
      </c>
      <c r="G34" s="11">
        <v>8.9999999999999993E-3</v>
      </c>
      <c r="H34" s="11">
        <v>0.28499999999999998</v>
      </c>
      <c r="I34" s="10">
        <v>52889380</v>
      </c>
      <c r="J34" s="12" t="s">
        <v>2082</v>
      </c>
      <c r="K34" s="10">
        <v>7737</v>
      </c>
      <c r="L34" s="12" t="s">
        <v>2083</v>
      </c>
      <c r="M34" s="10">
        <v>12007765356</v>
      </c>
      <c r="N34" s="10">
        <v>1464741</v>
      </c>
      <c r="O34" s="12">
        <v>9</v>
      </c>
    </row>
    <row r="35" spans="1:15" ht="27" x14ac:dyDescent="0.3">
      <c r="A35" s="9">
        <v>43525</v>
      </c>
      <c r="B35" s="12">
        <v>203</v>
      </c>
      <c r="C35" s="11">
        <v>2.8000000000000001E-2</v>
      </c>
      <c r="D35" s="12">
        <v>262</v>
      </c>
      <c r="E35" s="11">
        <v>1.2999999999999999E-2</v>
      </c>
      <c r="F35" s="10">
        <v>34730</v>
      </c>
      <c r="G35" s="11">
        <v>1.0999999999999999E-2</v>
      </c>
      <c r="H35" s="11">
        <v>0.41699999999999998</v>
      </c>
      <c r="I35" s="10">
        <v>113203950</v>
      </c>
      <c r="J35" s="12" t="s">
        <v>2084</v>
      </c>
      <c r="K35" s="10">
        <v>14474</v>
      </c>
      <c r="L35" s="12" t="s">
        <v>2085</v>
      </c>
      <c r="M35" s="10">
        <v>12120969306</v>
      </c>
      <c r="N35" s="10">
        <v>1479215</v>
      </c>
      <c r="O35" s="12">
        <v>8</v>
      </c>
    </row>
    <row r="36" spans="1:15" ht="27" x14ac:dyDescent="0.3">
      <c r="A36" s="9">
        <v>43526</v>
      </c>
      <c r="B36" s="12">
        <v>206</v>
      </c>
      <c r="C36" s="11">
        <v>2.8000000000000001E-2</v>
      </c>
      <c r="D36" s="12">
        <v>281</v>
      </c>
      <c r="E36" s="11">
        <v>1.4E-2</v>
      </c>
      <c r="F36" s="10">
        <v>36703</v>
      </c>
      <c r="G36" s="11">
        <v>1.2E-2</v>
      </c>
      <c r="H36" s="11">
        <v>0.28499999999999998</v>
      </c>
      <c r="I36" s="10">
        <v>83038700</v>
      </c>
      <c r="J36" s="12" t="s">
        <v>2086</v>
      </c>
      <c r="K36" s="10">
        <v>10445</v>
      </c>
      <c r="L36" s="12" t="s">
        <v>2087</v>
      </c>
      <c r="M36" s="10">
        <v>12204008006</v>
      </c>
      <c r="N36" s="10">
        <v>1489660</v>
      </c>
      <c r="O36" s="12">
        <v>10</v>
      </c>
    </row>
    <row r="37" spans="1:15" ht="27" x14ac:dyDescent="0.3">
      <c r="A37" s="9">
        <v>43527</v>
      </c>
      <c r="B37" s="12">
        <v>209</v>
      </c>
      <c r="C37" s="11">
        <v>2.9000000000000001E-2</v>
      </c>
      <c r="D37" s="12">
        <v>280</v>
      </c>
      <c r="E37" s="11">
        <v>1.4E-2</v>
      </c>
      <c r="F37" s="10">
        <v>36273</v>
      </c>
      <c r="G37" s="11">
        <v>1.2E-2</v>
      </c>
      <c r="H37" s="11">
        <v>0.251</v>
      </c>
      <c r="I37" s="10">
        <v>73008300</v>
      </c>
      <c r="J37" s="12" t="s">
        <v>2088</v>
      </c>
      <c r="K37" s="10">
        <v>9099</v>
      </c>
      <c r="L37" s="12" t="s">
        <v>2089</v>
      </c>
      <c r="M37" s="10">
        <v>12277016306</v>
      </c>
      <c r="N37" s="10">
        <v>1498759</v>
      </c>
      <c r="O37" s="12">
        <v>7</v>
      </c>
    </row>
    <row r="38" spans="1:15" ht="27" x14ac:dyDescent="0.3">
      <c r="A38" s="9">
        <v>43528</v>
      </c>
      <c r="B38" s="12">
        <v>136</v>
      </c>
      <c r="C38" s="11">
        <v>2.3E-2</v>
      </c>
      <c r="D38" s="12">
        <v>167</v>
      </c>
      <c r="E38" s="11">
        <v>0.01</v>
      </c>
      <c r="F38" s="10">
        <v>22987</v>
      </c>
      <c r="G38" s="11">
        <v>8.0000000000000002E-3</v>
      </c>
      <c r="H38" s="11">
        <v>0.06</v>
      </c>
      <c r="I38" s="10">
        <v>10445540</v>
      </c>
      <c r="J38" s="12" t="s">
        <v>2090</v>
      </c>
      <c r="K38" s="10">
        <v>1386</v>
      </c>
      <c r="L38" s="12" t="s">
        <v>2091</v>
      </c>
      <c r="M38" s="10">
        <v>12287461846</v>
      </c>
      <c r="N38" s="10">
        <v>1500145</v>
      </c>
      <c r="O38" s="12">
        <v>14</v>
      </c>
    </row>
    <row r="39" spans="1:15" ht="27" x14ac:dyDescent="0.3">
      <c r="A39" s="9">
        <v>43529</v>
      </c>
      <c r="B39" s="12">
        <v>118</v>
      </c>
      <c r="C39" s="11">
        <v>0.02</v>
      </c>
      <c r="D39" s="12">
        <v>143</v>
      </c>
      <c r="E39" s="11">
        <v>8.0000000000000002E-3</v>
      </c>
      <c r="F39" s="10">
        <v>19745</v>
      </c>
      <c r="G39" s="11">
        <v>7.0000000000000001E-3</v>
      </c>
      <c r="H39" s="11">
        <v>3.6999999999999998E-2</v>
      </c>
      <c r="I39" s="10">
        <v>5491330</v>
      </c>
      <c r="J39" s="12" t="s">
        <v>2092</v>
      </c>
      <c r="K39" s="12">
        <v>721</v>
      </c>
      <c r="L39" s="12" t="s">
        <v>2093</v>
      </c>
      <c r="M39" s="10">
        <v>12292953176</v>
      </c>
      <c r="N39" s="10">
        <v>1500866</v>
      </c>
      <c r="O39" s="12">
        <v>15</v>
      </c>
    </row>
    <row r="40" spans="1:15" ht="27" x14ac:dyDescent="0.3">
      <c r="A40" s="9">
        <v>43530</v>
      </c>
      <c r="B40" s="12">
        <v>33</v>
      </c>
      <c r="C40" s="11">
        <v>7.0000000000000001E-3</v>
      </c>
      <c r="D40" s="12">
        <v>35</v>
      </c>
      <c r="E40" s="11">
        <v>2E-3</v>
      </c>
      <c r="F40" s="10">
        <v>3830</v>
      </c>
      <c r="G40" s="11">
        <v>1E-3</v>
      </c>
      <c r="H40" s="11">
        <v>4.9000000000000002E-2</v>
      </c>
      <c r="I40" s="10">
        <v>1402900</v>
      </c>
      <c r="J40" s="12" t="s">
        <v>2094</v>
      </c>
      <c r="K40" s="12">
        <v>187</v>
      </c>
      <c r="L40" s="12" t="s">
        <v>2095</v>
      </c>
      <c r="M40" s="10">
        <v>12294356076</v>
      </c>
      <c r="N40" s="10">
        <v>1501053</v>
      </c>
      <c r="O40" s="12">
        <v>23</v>
      </c>
    </row>
    <row r="41" spans="1:15" ht="27" x14ac:dyDescent="0.3">
      <c r="A41" s="9">
        <v>43531</v>
      </c>
      <c r="B41" s="12">
        <v>23</v>
      </c>
      <c r="C41" s="11">
        <v>4.0000000000000001E-3</v>
      </c>
      <c r="D41" s="12">
        <v>23</v>
      </c>
      <c r="E41" s="11">
        <v>1E-3</v>
      </c>
      <c r="F41" s="10">
        <v>2695</v>
      </c>
      <c r="G41" s="11">
        <v>1E-3</v>
      </c>
      <c r="H41" s="11">
        <v>4.5999999999999999E-2</v>
      </c>
      <c r="I41" s="10">
        <v>905450</v>
      </c>
      <c r="J41" s="12" t="s">
        <v>2096</v>
      </c>
      <c r="K41" s="12">
        <v>124</v>
      </c>
      <c r="L41" s="12" t="s">
        <v>2097</v>
      </c>
      <c r="M41" s="10">
        <v>12295261526</v>
      </c>
      <c r="N41" s="10">
        <v>1501177</v>
      </c>
      <c r="O41" s="12">
        <v>36</v>
      </c>
    </row>
    <row r="42" spans="1:15" ht="27" x14ac:dyDescent="0.3">
      <c r="A42" s="9">
        <v>43532</v>
      </c>
      <c r="B42" s="12">
        <v>22</v>
      </c>
      <c r="C42" s="11">
        <v>4.0000000000000001E-3</v>
      </c>
      <c r="D42" s="12">
        <v>23</v>
      </c>
      <c r="E42" s="11">
        <v>1E-3</v>
      </c>
      <c r="F42" s="10">
        <v>2319</v>
      </c>
      <c r="G42" s="11">
        <v>1E-3</v>
      </c>
      <c r="H42" s="11">
        <v>4.4999999999999998E-2</v>
      </c>
      <c r="I42" s="10">
        <v>855280</v>
      </c>
      <c r="J42" s="12" t="s">
        <v>2098</v>
      </c>
      <c r="K42" s="12">
        <v>104</v>
      </c>
      <c r="L42" s="12" t="s">
        <v>2099</v>
      </c>
      <c r="M42" s="10">
        <v>12296116806</v>
      </c>
      <c r="N42" s="10">
        <v>1501281</v>
      </c>
      <c r="O42" s="12">
        <v>36</v>
      </c>
    </row>
    <row r="43" spans="1:15" ht="27" x14ac:dyDescent="0.3">
      <c r="A43" s="9">
        <v>43533</v>
      </c>
      <c r="B43" s="12">
        <v>49</v>
      </c>
      <c r="C43" s="11">
        <v>8.0000000000000002E-3</v>
      </c>
      <c r="D43" s="12">
        <v>54</v>
      </c>
      <c r="E43" s="11">
        <v>3.0000000000000001E-3</v>
      </c>
      <c r="F43" s="10">
        <v>6388</v>
      </c>
      <c r="G43" s="11">
        <v>2E-3</v>
      </c>
      <c r="H43" s="11">
        <v>0.17499999999999999</v>
      </c>
      <c r="I43" s="10">
        <v>8938700</v>
      </c>
      <c r="J43" s="12" t="s">
        <v>2100</v>
      </c>
      <c r="K43" s="10">
        <v>1121</v>
      </c>
      <c r="L43" s="12" t="s">
        <v>2101</v>
      </c>
      <c r="M43" s="10">
        <v>12305055506</v>
      </c>
      <c r="N43" s="10">
        <v>1502402</v>
      </c>
      <c r="O43" s="12">
        <v>13</v>
      </c>
    </row>
    <row r="44" spans="1:15" ht="27" x14ac:dyDescent="0.3">
      <c r="A44" s="9">
        <v>43534</v>
      </c>
      <c r="B44" s="12">
        <v>49</v>
      </c>
      <c r="C44" s="11">
        <v>8.9999999999999993E-3</v>
      </c>
      <c r="D44" s="12">
        <v>54</v>
      </c>
      <c r="E44" s="11">
        <v>3.0000000000000001E-3</v>
      </c>
      <c r="F44" s="10">
        <v>6434</v>
      </c>
      <c r="G44" s="11">
        <v>2E-3</v>
      </c>
      <c r="H44" s="11">
        <v>0.248</v>
      </c>
      <c r="I44" s="10">
        <v>12916710</v>
      </c>
      <c r="J44" s="12" t="s">
        <v>2102</v>
      </c>
      <c r="K44" s="10">
        <v>1598</v>
      </c>
      <c r="L44" s="12" t="s">
        <v>2103</v>
      </c>
      <c r="M44" s="10">
        <v>12317972216</v>
      </c>
      <c r="N44" s="10">
        <v>1504000</v>
      </c>
      <c r="O44" s="12">
        <v>11</v>
      </c>
    </row>
    <row r="45" spans="1:15" ht="27" x14ac:dyDescent="0.3">
      <c r="A45" s="9">
        <v>43535</v>
      </c>
      <c r="B45" s="12">
        <v>17</v>
      </c>
      <c r="C45" s="11">
        <v>3.0000000000000001E-3</v>
      </c>
      <c r="D45" s="12">
        <v>18</v>
      </c>
      <c r="E45" s="11">
        <v>1E-3</v>
      </c>
      <c r="F45" s="10">
        <v>2122</v>
      </c>
      <c r="G45" s="11">
        <v>1E-3</v>
      </c>
      <c r="H45" s="11">
        <v>4.1000000000000002E-2</v>
      </c>
      <c r="I45" s="10">
        <v>574600</v>
      </c>
      <c r="J45" s="12" t="s">
        <v>2104</v>
      </c>
      <c r="K45" s="12">
        <v>86</v>
      </c>
      <c r="L45" s="12" t="s">
        <v>2105</v>
      </c>
      <c r="M45" s="10">
        <v>12318546816</v>
      </c>
      <c r="N45" s="10">
        <v>1504086</v>
      </c>
      <c r="O45" s="12">
        <v>31</v>
      </c>
    </row>
    <row r="46" spans="1:15" ht="27" x14ac:dyDescent="0.3">
      <c r="A46" s="9">
        <v>43536</v>
      </c>
      <c r="B46" s="12">
        <v>20</v>
      </c>
      <c r="C46" s="11">
        <v>4.0000000000000001E-3</v>
      </c>
      <c r="D46" s="12">
        <v>21</v>
      </c>
      <c r="E46" s="11">
        <v>1E-3</v>
      </c>
      <c r="F46" s="10">
        <v>2497</v>
      </c>
      <c r="G46" s="11">
        <v>1E-3</v>
      </c>
      <c r="H46" s="11">
        <v>4.3999999999999997E-2</v>
      </c>
      <c r="I46" s="10">
        <v>761560</v>
      </c>
      <c r="J46" s="12" t="s">
        <v>2106</v>
      </c>
      <c r="K46" s="12">
        <v>109</v>
      </c>
      <c r="L46" s="12" t="s">
        <v>2107</v>
      </c>
      <c r="M46" s="10">
        <v>12319308376</v>
      </c>
      <c r="N46" s="10">
        <v>1504195</v>
      </c>
      <c r="O46" s="12">
        <v>32</v>
      </c>
    </row>
    <row r="47" spans="1:15" ht="27" x14ac:dyDescent="0.3">
      <c r="A47" s="9">
        <v>43537</v>
      </c>
      <c r="B47" s="12">
        <v>17</v>
      </c>
      <c r="C47" s="11">
        <v>3.0000000000000001E-3</v>
      </c>
      <c r="D47" s="12">
        <v>18</v>
      </c>
      <c r="E47" s="11">
        <v>1E-3</v>
      </c>
      <c r="F47" s="10">
        <v>2211</v>
      </c>
      <c r="G47" s="11">
        <v>1E-3</v>
      </c>
      <c r="H47" s="11">
        <v>4.4999999999999998E-2</v>
      </c>
      <c r="I47" s="10">
        <v>735000</v>
      </c>
      <c r="J47" s="12" t="s">
        <v>2108</v>
      </c>
      <c r="K47" s="12">
        <v>100</v>
      </c>
      <c r="L47" s="12" t="s">
        <v>1226</v>
      </c>
      <c r="M47" s="10">
        <v>12320043376</v>
      </c>
      <c r="N47" s="10">
        <v>1504295</v>
      </c>
      <c r="O47" s="12">
        <v>35</v>
      </c>
    </row>
    <row r="48" spans="1:15" ht="27" x14ac:dyDescent="0.3">
      <c r="A48" s="9">
        <v>43538</v>
      </c>
      <c r="B48" s="12">
        <v>9</v>
      </c>
      <c r="C48" s="11">
        <v>2E-3</v>
      </c>
      <c r="D48" s="12">
        <v>10</v>
      </c>
      <c r="E48" s="11">
        <v>1E-3</v>
      </c>
      <c r="F48" s="10">
        <v>1351</v>
      </c>
      <c r="G48" s="11">
        <v>0</v>
      </c>
      <c r="H48" s="11">
        <v>4.2999999999999997E-2</v>
      </c>
      <c r="I48" s="10">
        <v>382600</v>
      </c>
      <c r="J48" s="12" t="s">
        <v>2109</v>
      </c>
      <c r="K48" s="12">
        <v>58</v>
      </c>
      <c r="L48" s="12" t="s">
        <v>2110</v>
      </c>
      <c r="M48" s="10">
        <v>12320425976</v>
      </c>
      <c r="N48" s="10">
        <v>1504353</v>
      </c>
      <c r="O48" s="12">
        <v>49</v>
      </c>
    </row>
    <row r="49" spans="1:15" ht="27" x14ac:dyDescent="0.3">
      <c r="A49" s="9">
        <v>43539</v>
      </c>
      <c r="B49" s="12">
        <v>12</v>
      </c>
      <c r="C49" s="11">
        <v>2E-3</v>
      </c>
      <c r="D49" s="12">
        <v>12</v>
      </c>
      <c r="E49" s="11">
        <v>1E-3</v>
      </c>
      <c r="F49" s="10">
        <v>1545</v>
      </c>
      <c r="G49" s="11">
        <v>1E-3</v>
      </c>
      <c r="H49" s="11">
        <v>7.3999999999999996E-2</v>
      </c>
      <c r="I49" s="10">
        <v>714600</v>
      </c>
      <c r="J49" s="12" t="s">
        <v>2111</v>
      </c>
      <c r="K49" s="12">
        <v>114</v>
      </c>
      <c r="L49" s="12" t="s">
        <v>2112</v>
      </c>
      <c r="M49" s="10">
        <v>12321140576</v>
      </c>
      <c r="N49" s="10">
        <v>1504467</v>
      </c>
      <c r="O49" s="12">
        <v>37</v>
      </c>
    </row>
    <row r="50" spans="1:15" ht="27" x14ac:dyDescent="0.3">
      <c r="A50" s="9">
        <v>43540</v>
      </c>
      <c r="B50" s="12">
        <v>21</v>
      </c>
      <c r="C50" s="11">
        <v>3.0000000000000001E-3</v>
      </c>
      <c r="D50" s="12">
        <v>22</v>
      </c>
      <c r="E50" s="11">
        <v>1E-3</v>
      </c>
      <c r="F50" s="10">
        <v>3039</v>
      </c>
      <c r="G50" s="11">
        <v>1E-3</v>
      </c>
      <c r="H50" s="11">
        <v>0.21299999999999999</v>
      </c>
      <c r="I50" s="10">
        <v>4914000</v>
      </c>
      <c r="J50" s="12" t="s">
        <v>2113</v>
      </c>
      <c r="K50" s="12">
        <v>647</v>
      </c>
      <c r="L50" s="12" t="s">
        <v>2114</v>
      </c>
      <c r="M50" s="10">
        <v>12326054576</v>
      </c>
      <c r="N50" s="10">
        <v>1505114</v>
      </c>
      <c r="O50" s="12">
        <v>21</v>
      </c>
    </row>
    <row r="51" spans="1:15" ht="27" x14ac:dyDescent="0.3">
      <c r="A51" s="9">
        <v>43541</v>
      </c>
      <c r="B51" s="12">
        <v>22</v>
      </c>
      <c r="C51" s="11">
        <v>3.0000000000000001E-3</v>
      </c>
      <c r="D51" s="12">
        <v>24</v>
      </c>
      <c r="E51" s="11">
        <v>1E-3</v>
      </c>
      <c r="F51" s="10">
        <v>3232</v>
      </c>
      <c r="G51" s="11">
        <v>1E-3</v>
      </c>
      <c r="H51" s="11">
        <v>0.20100000000000001</v>
      </c>
      <c r="I51" s="10">
        <v>5084800</v>
      </c>
      <c r="J51" s="12" t="s">
        <v>2115</v>
      </c>
      <c r="K51" s="12">
        <v>649</v>
      </c>
      <c r="L51" s="12" t="s">
        <v>2116</v>
      </c>
      <c r="M51" s="10">
        <v>12331139376</v>
      </c>
      <c r="N51" s="10">
        <v>1505763</v>
      </c>
      <c r="O51" s="12">
        <v>20</v>
      </c>
    </row>
    <row r="52" spans="1:15" ht="27" x14ac:dyDescent="0.3">
      <c r="A52" s="9">
        <v>43542</v>
      </c>
      <c r="B52" s="12">
        <v>9</v>
      </c>
      <c r="C52" s="11">
        <v>2E-3</v>
      </c>
      <c r="D52" s="12">
        <v>9</v>
      </c>
      <c r="E52" s="11">
        <v>1E-3</v>
      </c>
      <c r="F52" s="10">
        <v>1345</v>
      </c>
      <c r="G52" s="11">
        <v>1E-3</v>
      </c>
      <c r="H52" s="11">
        <v>0.04</v>
      </c>
      <c r="I52" s="10">
        <v>343900</v>
      </c>
      <c r="J52" s="12" t="s">
        <v>2117</v>
      </c>
      <c r="K52" s="12">
        <v>54</v>
      </c>
      <c r="L52" s="12" t="s">
        <v>2118</v>
      </c>
      <c r="M52" s="10">
        <v>12331483276</v>
      </c>
      <c r="N52" s="10">
        <v>1505817</v>
      </c>
      <c r="O52" s="12">
        <v>39</v>
      </c>
    </row>
    <row r="53" spans="1:15" ht="27" x14ac:dyDescent="0.3">
      <c r="A53" s="9">
        <v>43543</v>
      </c>
      <c r="B53" s="12">
        <v>8</v>
      </c>
      <c r="C53" s="11">
        <v>1E-3</v>
      </c>
      <c r="D53" s="12">
        <v>9</v>
      </c>
      <c r="E53" s="11">
        <v>1E-3</v>
      </c>
      <c r="F53" s="10">
        <v>1299</v>
      </c>
      <c r="G53" s="11">
        <v>0</v>
      </c>
      <c r="H53" s="11">
        <v>3.7999999999999999E-2</v>
      </c>
      <c r="I53" s="10">
        <v>314100</v>
      </c>
      <c r="J53" s="12" t="s">
        <v>2119</v>
      </c>
      <c r="K53" s="12">
        <v>49</v>
      </c>
      <c r="L53" s="12" t="s">
        <v>2120</v>
      </c>
      <c r="M53" s="10">
        <v>12331797376</v>
      </c>
      <c r="N53" s="10">
        <v>1505866</v>
      </c>
      <c r="O53" s="12">
        <v>53</v>
      </c>
    </row>
    <row r="54" spans="1:15" ht="27" x14ac:dyDescent="0.3">
      <c r="A54" s="9">
        <v>43544</v>
      </c>
      <c r="B54" s="12">
        <v>4</v>
      </c>
      <c r="C54" s="11">
        <v>1E-3</v>
      </c>
      <c r="D54" s="12">
        <v>4</v>
      </c>
      <c r="E54" s="11">
        <v>0</v>
      </c>
      <c r="F54" s="12">
        <v>862</v>
      </c>
      <c r="G54" s="11">
        <v>0</v>
      </c>
      <c r="H54" s="11">
        <v>0.58199999999999996</v>
      </c>
      <c r="I54" s="10">
        <v>4410100</v>
      </c>
      <c r="J54" s="12" t="s">
        <v>2121</v>
      </c>
      <c r="K54" s="12">
        <v>502</v>
      </c>
      <c r="L54" s="12" t="s">
        <v>2122</v>
      </c>
      <c r="M54" s="10">
        <v>12336207476</v>
      </c>
      <c r="N54" s="10">
        <v>1506368</v>
      </c>
      <c r="O54" s="12">
        <v>17</v>
      </c>
    </row>
    <row r="55" spans="1:15" ht="27" x14ac:dyDescent="0.3">
      <c r="A55" s="9">
        <v>43545</v>
      </c>
      <c r="B55" s="12">
        <v>1</v>
      </c>
      <c r="C55" s="11">
        <v>0</v>
      </c>
      <c r="D55" s="12">
        <v>1</v>
      </c>
      <c r="E55" s="11">
        <v>0</v>
      </c>
      <c r="F55" s="12">
        <v>40</v>
      </c>
      <c r="G55" s="11">
        <v>0</v>
      </c>
      <c r="H55" s="11">
        <v>0.22500000000000001</v>
      </c>
      <c r="I55" s="10">
        <v>49000</v>
      </c>
      <c r="J55" s="12" t="s">
        <v>2123</v>
      </c>
      <c r="K55" s="12">
        <v>9</v>
      </c>
      <c r="L55" s="12" t="s">
        <v>2124</v>
      </c>
      <c r="M55" s="10">
        <v>12336256476</v>
      </c>
      <c r="N55" s="10">
        <v>1506377</v>
      </c>
      <c r="O55" s="12">
        <v>77</v>
      </c>
    </row>
    <row r="56" spans="1:15" ht="27" x14ac:dyDescent="0.3">
      <c r="A56" s="9">
        <v>43546</v>
      </c>
      <c r="B56" s="12">
        <v>3</v>
      </c>
      <c r="C56" s="11">
        <v>1E-3</v>
      </c>
      <c r="D56" s="12">
        <v>3</v>
      </c>
      <c r="E56" s="11">
        <v>0</v>
      </c>
      <c r="F56" s="12">
        <v>479</v>
      </c>
      <c r="G56" s="11">
        <v>0</v>
      </c>
      <c r="H56" s="11">
        <v>3.3000000000000002E-2</v>
      </c>
      <c r="I56" s="10">
        <v>120000</v>
      </c>
      <c r="J56" s="12" t="s">
        <v>2125</v>
      </c>
      <c r="K56" s="12">
        <v>16</v>
      </c>
      <c r="L56" s="12" t="s">
        <v>2126</v>
      </c>
      <c r="M56" s="10">
        <v>12336376476</v>
      </c>
      <c r="N56" s="10">
        <v>1506393</v>
      </c>
      <c r="O56" s="12">
        <v>75</v>
      </c>
    </row>
    <row r="57" spans="1:15" ht="27" x14ac:dyDescent="0.3">
      <c r="A57" s="9">
        <v>43547</v>
      </c>
      <c r="B57" s="12">
        <v>4</v>
      </c>
      <c r="C57" s="11">
        <v>1E-3</v>
      </c>
      <c r="D57" s="12">
        <v>4</v>
      </c>
      <c r="E57" s="11">
        <v>0</v>
      </c>
      <c r="F57" s="12">
        <v>525</v>
      </c>
      <c r="G57" s="11">
        <v>0</v>
      </c>
      <c r="H57" s="11">
        <v>0.23200000000000001</v>
      </c>
      <c r="I57" s="10">
        <v>1006600</v>
      </c>
      <c r="J57" s="12" t="s">
        <v>2127</v>
      </c>
      <c r="K57" s="12">
        <v>122</v>
      </c>
      <c r="L57" s="12" t="s">
        <v>2128</v>
      </c>
      <c r="M57" s="10">
        <v>12337383076</v>
      </c>
      <c r="N57" s="10">
        <v>1506515</v>
      </c>
      <c r="O57" s="12">
        <v>41</v>
      </c>
    </row>
    <row r="58" spans="1:15" ht="27" x14ac:dyDescent="0.3">
      <c r="A58" s="9">
        <v>43548</v>
      </c>
      <c r="B58" s="12">
        <v>4</v>
      </c>
      <c r="C58" s="11">
        <v>1E-3</v>
      </c>
      <c r="D58" s="12">
        <v>6</v>
      </c>
      <c r="E58" s="11">
        <v>0</v>
      </c>
      <c r="F58" s="12">
        <v>869</v>
      </c>
      <c r="G58" s="11">
        <v>0</v>
      </c>
      <c r="H58" s="11">
        <v>0.19800000000000001</v>
      </c>
      <c r="I58" s="10">
        <v>1359000</v>
      </c>
      <c r="J58" s="12" t="s">
        <v>2129</v>
      </c>
      <c r="K58" s="12">
        <v>172</v>
      </c>
      <c r="L58" s="12" t="s">
        <v>2130</v>
      </c>
      <c r="M58" s="10">
        <v>12338742076</v>
      </c>
      <c r="N58" s="10">
        <v>1506687</v>
      </c>
      <c r="O58" s="12">
        <v>34</v>
      </c>
    </row>
    <row r="59" spans="1:15" ht="27" x14ac:dyDescent="0.3">
      <c r="A59" s="9">
        <v>43549</v>
      </c>
      <c r="B59" s="12">
        <v>2</v>
      </c>
      <c r="C59" s="11">
        <v>0</v>
      </c>
      <c r="D59" s="12">
        <v>2</v>
      </c>
      <c r="E59" s="11">
        <v>0</v>
      </c>
      <c r="F59" s="12">
        <v>366</v>
      </c>
      <c r="G59" s="11">
        <v>0</v>
      </c>
      <c r="H59" s="11">
        <v>0.14799999999999999</v>
      </c>
      <c r="I59" s="10">
        <v>340300</v>
      </c>
      <c r="J59" s="12" t="s">
        <v>2131</v>
      </c>
      <c r="K59" s="12">
        <v>54</v>
      </c>
      <c r="L59" s="12" t="s">
        <v>2132</v>
      </c>
      <c r="M59" s="10">
        <v>12339082376</v>
      </c>
      <c r="N59" s="10">
        <v>1506741</v>
      </c>
      <c r="O59" s="12">
        <v>51</v>
      </c>
    </row>
    <row r="60" spans="1:15" ht="27" x14ac:dyDescent="0.3">
      <c r="A60" s="9">
        <v>43550</v>
      </c>
      <c r="B60" s="12">
        <v>2</v>
      </c>
      <c r="C60" s="11">
        <v>0</v>
      </c>
      <c r="D60" s="12">
        <v>2</v>
      </c>
      <c r="E60" s="11">
        <v>0</v>
      </c>
      <c r="F60" s="12">
        <v>358</v>
      </c>
      <c r="G60" s="11">
        <v>0</v>
      </c>
      <c r="H60" s="11">
        <v>6.4000000000000001E-2</v>
      </c>
      <c r="I60" s="10">
        <v>173600</v>
      </c>
      <c r="J60" s="12" t="s">
        <v>2133</v>
      </c>
      <c r="K60" s="12">
        <v>23</v>
      </c>
      <c r="L60" s="12" t="s">
        <v>2134</v>
      </c>
      <c r="M60" s="10">
        <v>12339255976</v>
      </c>
      <c r="N60" s="10">
        <v>1506764</v>
      </c>
      <c r="O60" s="12">
        <v>71</v>
      </c>
    </row>
    <row r="61" spans="1:15" ht="27" x14ac:dyDescent="0.3">
      <c r="A61" s="9">
        <v>43551</v>
      </c>
      <c r="B61" s="12">
        <v>1</v>
      </c>
      <c r="C61" s="11">
        <v>0</v>
      </c>
      <c r="D61" s="12">
        <v>1</v>
      </c>
      <c r="E61" s="11">
        <v>0</v>
      </c>
      <c r="F61" s="12">
        <v>40</v>
      </c>
      <c r="G61" s="11">
        <v>0</v>
      </c>
      <c r="H61" s="11">
        <v>0.17499999999999999</v>
      </c>
      <c r="I61" s="10">
        <v>35000</v>
      </c>
      <c r="J61" s="12" t="s">
        <v>2135</v>
      </c>
      <c r="K61" s="12">
        <v>7</v>
      </c>
      <c r="L61" s="12" t="s">
        <v>2136</v>
      </c>
      <c r="M61" s="10">
        <v>12339290976</v>
      </c>
      <c r="N61" s="10">
        <v>1506771</v>
      </c>
      <c r="O61" s="12">
        <v>102</v>
      </c>
    </row>
    <row r="62" spans="1:15" ht="27" x14ac:dyDescent="0.3">
      <c r="A62" s="9">
        <v>43554</v>
      </c>
      <c r="B62" s="12">
        <v>2</v>
      </c>
      <c r="C62" s="11">
        <v>0</v>
      </c>
      <c r="D62" s="12">
        <v>2</v>
      </c>
      <c r="E62" s="11">
        <v>0</v>
      </c>
      <c r="F62" s="12">
        <v>249</v>
      </c>
      <c r="G62" s="11">
        <v>0</v>
      </c>
      <c r="H62" s="11">
        <v>0.30099999999999999</v>
      </c>
      <c r="I62" s="10">
        <v>570800</v>
      </c>
      <c r="J62" s="12" t="s">
        <v>2137</v>
      </c>
      <c r="K62" s="12">
        <v>75</v>
      </c>
      <c r="L62" s="12" t="s">
        <v>2138</v>
      </c>
      <c r="M62" s="10">
        <v>12339861776</v>
      </c>
      <c r="N62" s="10">
        <v>1506846</v>
      </c>
      <c r="O62" s="12">
        <v>57</v>
      </c>
    </row>
    <row r="63" spans="1:15" ht="27" x14ac:dyDescent="0.3">
      <c r="A63" s="9">
        <v>43555</v>
      </c>
      <c r="B63" s="12">
        <v>2</v>
      </c>
      <c r="C63" s="11">
        <v>0</v>
      </c>
      <c r="D63" s="12">
        <v>2</v>
      </c>
      <c r="E63" s="11">
        <v>0</v>
      </c>
      <c r="F63" s="12">
        <v>249</v>
      </c>
      <c r="G63" s="11">
        <v>0</v>
      </c>
      <c r="H63" s="11">
        <v>0.32900000000000001</v>
      </c>
      <c r="I63" s="10">
        <v>620800</v>
      </c>
      <c r="J63" s="12" t="s">
        <v>2139</v>
      </c>
      <c r="K63" s="12">
        <v>82</v>
      </c>
      <c r="L63" s="12" t="s">
        <v>2140</v>
      </c>
      <c r="M63" s="10">
        <v>12340482576</v>
      </c>
      <c r="N63" s="10">
        <v>1506928</v>
      </c>
      <c r="O63" s="12">
        <v>50</v>
      </c>
    </row>
    <row r="64" spans="1:15" ht="27" x14ac:dyDescent="0.3">
      <c r="A64" s="9">
        <v>43561</v>
      </c>
      <c r="B64" s="12">
        <v>1</v>
      </c>
      <c r="C64" s="11">
        <v>0</v>
      </c>
      <c r="D64" s="12">
        <v>1</v>
      </c>
      <c r="E64" s="11">
        <v>0</v>
      </c>
      <c r="F64" s="12">
        <v>204</v>
      </c>
      <c r="G64" s="11">
        <v>0</v>
      </c>
      <c r="H64" s="11">
        <v>2.5000000000000001E-2</v>
      </c>
      <c r="I64" s="10">
        <v>49000</v>
      </c>
      <c r="J64" s="12" t="s">
        <v>2141</v>
      </c>
      <c r="K64" s="12">
        <v>5</v>
      </c>
      <c r="L64" s="12" t="s">
        <v>1395</v>
      </c>
      <c r="M64" s="10">
        <v>12340531576</v>
      </c>
      <c r="N64" s="10">
        <v>1506933</v>
      </c>
      <c r="O64" s="12">
        <v>93</v>
      </c>
    </row>
    <row r="65" spans="1:15" ht="27" x14ac:dyDescent="0.3">
      <c r="A65" s="9">
        <v>43562</v>
      </c>
      <c r="B65" s="12">
        <v>1</v>
      </c>
      <c r="C65" s="11">
        <v>0</v>
      </c>
      <c r="D65" s="12">
        <v>1</v>
      </c>
      <c r="E65" s="11">
        <v>0</v>
      </c>
      <c r="F65" s="12">
        <v>204</v>
      </c>
      <c r="G65" s="11">
        <v>0</v>
      </c>
      <c r="H65" s="11">
        <v>4.3999999999999997E-2</v>
      </c>
      <c r="I65" s="10">
        <v>79000</v>
      </c>
      <c r="J65" s="12" t="s">
        <v>2142</v>
      </c>
      <c r="K65" s="12">
        <v>9</v>
      </c>
      <c r="L65" s="12" t="s">
        <v>2143</v>
      </c>
      <c r="M65" s="10">
        <v>12340610576</v>
      </c>
      <c r="N65" s="10">
        <v>1506942</v>
      </c>
      <c r="O65" s="12">
        <v>89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FEE13-CCEA-4619-9392-6B7FA8826C1A}">
  <dimension ref="A1:O34"/>
  <sheetViews>
    <sheetView workbookViewId="0">
      <selection activeCell="Q11" sqref="Q11"/>
    </sheetView>
  </sheetViews>
  <sheetFormatPr defaultRowHeight="16.5" x14ac:dyDescent="0.3"/>
  <sheetData>
    <row r="1" spans="1:15" ht="19.5" x14ac:dyDescent="0.3">
      <c r="A1" s="197" t="s">
        <v>2144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43466</v>
      </c>
      <c r="B5" s="12">
        <v>509</v>
      </c>
      <c r="C5" s="11">
        <v>7.0999999999999994E-2</v>
      </c>
      <c r="D5" s="10">
        <v>1679</v>
      </c>
      <c r="E5" s="11">
        <v>8.5999999999999993E-2</v>
      </c>
      <c r="F5" s="10">
        <v>207716</v>
      </c>
      <c r="G5" s="11">
        <v>6.9000000000000006E-2</v>
      </c>
      <c r="H5" s="11">
        <v>0.32100000000000001</v>
      </c>
      <c r="I5" s="10">
        <v>612798450</v>
      </c>
      <c r="J5" s="12" t="s">
        <v>2145</v>
      </c>
      <c r="K5" s="10">
        <v>66686</v>
      </c>
      <c r="L5" s="12" t="s">
        <v>2146</v>
      </c>
      <c r="M5" s="10">
        <v>623953450</v>
      </c>
      <c r="N5" s="10">
        <v>67929</v>
      </c>
      <c r="O5" s="12">
        <v>5</v>
      </c>
    </row>
    <row r="6" spans="1:15" ht="40.5" x14ac:dyDescent="0.3">
      <c r="A6" s="9">
        <v>43467</v>
      </c>
      <c r="B6" s="12">
        <v>529</v>
      </c>
      <c r="C6" s="11">
        <v>7.8E-2</v>
      </c>
      <c r="D6" s="10">
        <v>1700</v>
      </c>
      <c r="E6" s="11">
        <v>9.1999999999999998E-2</v>
      </c>
      <c r="F6" s="10">
        <v>209931</v>
      </c>
      <c r="G6" s="11">
        <v>7.2999999999999995E-2</v>
      </c>
      <c r="H6" s="11">
        <v>0.11799999999999999</v>
      </c>
      <c r="I6" s="10">
        <v>204752400</v>
      </c>
      <c r="J6" s="12" t="s">
        <v>2147</v>
      </c>
      <c r="K6" s="10">
        <v>24845</v>
      </c>
      <c r="L6" s="12" t="s">
        <v>2148</v>
      </c>
      <c r="M6" s="10">
        <v>828705850</v>
      </c>
      <c r="N6" s="10">
        <v>92774</v>
      </c>
      <c r="O6" s="12">
        <v>5</v>
      </c>
    </row>
    <row r="7" spans="1:15" ht="27" x14ac:dyDescent="0.3">
      <c r="A7" s="9">
        <v>43468</v>
      </c>
      <c r="B7" s="12">
        <v>530</v>
      </c>
      <c r="C7" s="11">
        <v>7.5999999999999998E-2</v>
      </c>
      <c r="D7" s="10">
        <v>1451</v>
      </c>
      <c r="E7" s="11">
        <v>7.8E-2</v>
      </c>
      <c r="F7" s="10">
        <v>179357</v>
      </c>
      <c r="G7" s="11">
        <v>6.2E-2</v>
      </c>
      <c r="H7" s="11">
        <v>9.6000000000000002E-2</v>
      </c>
      <c r="I7" s="10">
        <v>142319650</v>
      </c>
      <c r="J7" s="12" t="s">
        <v>2149</v>
      </c>
      <c r="K7" s="10">
        <v>17227</v>
      </c>
      <c r="L7" s="12" t="s">
        <v>2150</v>
      </c>
      <c r="M7" s="10">
        <v>971025500</v>
      </c>
      <c r="N7" s="10">
        <v>110001</v>
      </c>
      <c r="O7" s="12">
        <v>7</v>
      </c>
    </row>
    <row r="8" spans="1:15" ht="27" x14ac:dyDescent="0.3">
      <c r="A8" s="9">
        <v>43469</v>
      </c>
      <c r="B8" s="12">
        <v>510</v>
      </c>
      <c r="C8" s="11">
        <v>7.2999999999999995E-2</v>
      </c>
      <c r="D8" s="10">
        <v>1330</v>
      </c>
      <c r="E8" s="11">
        <v>7.0999999999999994E-2</v>
      </c>
      <c r="F8" s="10">
        <v>163905</v>
      </c>
      <c r="G8" s="11">
        <v>5.6000000000000001E-2</v>
      </c>
      <c r="H8" s="11">
        <v>0.105</v>
      </c>
      <c r="I8" s="10">
        <v>156446000</v>
      </c>
      <c r="J8" s="12" t="s">
        <v>2151</v>
      </c>
      <c r="K8" s="10">
        <v>17202</v>
      </c>
      <c r="L8" s="12" t="s">
        <v>2152</v>
      </c>
      <c r="M8" s="10">
        <v>1127471500</v>
      </c>
      <c r="N8" s="10">
        <v>127203</v>
      </c>
      <c r="O8" s="12">
        <v>7</v>
      </c>
    </row>
    <row r="9" spans="1:15" ht="27" x14ac:dyDescent="0.3">
      <c r="A9" s="9">
        <v>43470</v>
      </c>
      <c r="B9" s="12">
        <v>506</v>
      </c>
      <c r="C9" s="11">
        <v>6.5000000000000002E-2</v>
      </c>
      <c r="D9" s="10">
        <v>1065</v>
      </c>
      <c r="E9" s="11">
        <v>5.5E-2</v>
      </c>
      <c r="F9" s="10">
        <v>128715</v>
      </c>
      <c r="G9" s="11">
        <v>4.2999999999999997E-2</v>
      </c>
      <c r="H9" s="11">
        <v>0.193</v>
      </c>
      <c r="I9" s="10">
        <v>228604700</v>
      </c>
      <c r="J9" s="12" t="s">
        <v>2153</v>
      </c>
      <c r="K9" s="10">
        <v>24906</v>
      </c>
      <c r="L9" s="12" t="s">
        <v>2154</v>
      </c>
      <c r="M9" s="10">
        <v>1356076200</v>
      </c>
      <c r="N9" s="10">
        <v>152109</v>
      </c>
      <c r="O9" s="12">
        <v>7</v>
      </c>
    </row>
    <row r="10" spans="1:15" ht="27" x14ac:dyDescent="0.3">
      <c r="A10" s="9">
        <v>43471</v>
      </c>
      <c r="B10" s="12">
        <v>498</v>
      </c>
      <c r="C10" s="11">
        <v>6.4000000000000001E-2</v>
      </c>
      <c r="D10" s="12">
        <v>993</v>
      </c>
      <c r="E10" s="11">
        <v>5.1999999999999998E-2</v>
      </c>
      <c r="F10" s="10">
        <v>120923</v>
      </c>
      <c r="G10" s="11">
        <v>4.1000000000000002E-2</v>
      </c>
      <c r="H10" s="11">
        <v>0.16700000000000001</v>
      </c>
      <c r="I10" s="10">
        <v>185563650</v>
      </c>
      <c r="J10" s="12" t="s">
        <v>2155</v>
      </c>
      <c r="K10" s="10">
        <v>20229</v>
      </c>
      <c r="L10" s="12" t="s">
        <v>2156</v>
      </c>
      <c r="M10" s="10">
        <v>1541639850</v>
      </c>
      <c r="N10" s="10">
        <v>172338</v>
      </c>
      <c r="O10" s="12">
        <v>7</v>
      </c>
    </row>
    <row r="11" spans="1:15" ht="40.5" x14ac:dyDescent="0.3">
      <c r="A11" s="9">
        <v>43472</v>
      </c>
      <c r="B11" s="12">
        <v>508</v>
      </c>
      <c r="C11" s="11">
        <v>7.4999999999999997E-2</v>
      </c>
      <c r="D11" s="10">
        <v>1074</v>
      </c>
      <c r="E11" s="11">
        <v>6.0999999999999999E-2</v>
      </c>
      <c r="F11" s="10">
        <v>130947</v>
      </c>
      <c r="G11" s="11">
        <v>4.7E-2</v>
      </c>
      <c r="H11" s="11">
        <v>7.6999999999999999E-2</v>
      </c>
      <c r="I11" s="10">
        <v>84306100</v>
      </c>
      <c r="J11" s="12" t="s">
        <v>2157</v>
      </c>
      <c r="K11" s="10">
        <v>10145</v>
      </c>
      <c r="L11" s="12" t="s">
        <v>2158</v>
      </c>
      <c r="M11" s="10">
        <v>1625945950</v>
      </c>
      <c r="N11" s="10">
        <v>182483</v>
      </c>
      <c r="O11" s="12">
        <v>7</v>
      </c>
    </row>
    <row r="12" spans="1:15" ht="27" x14ac:dyDescent="0.3">
      <c r="A12" s="9">
        <v>43473</v>
      </c>
      <c r="B12" s="12">
        <v>507</v>
      </c>
      <c r="C12" s="11">
        <v>7.2999999999999995E-2</v>
      </c>
      <c r="D12" s="10">
        <v>1041</v>
      </c>
      <c r="E12" s="11">
        <v>5.8999999999999997E-2</v>
      </c>
      <c r="F12" s="10">
        <v>128389</v>
      </c>
      <c r="G12" s="11">
        <v>4.5999999999999999E-2</v>
      </c>
      <c r="H12" s="11">
        <v>7.0000000000000007E-2</v>
      </c>
      <c r="I12" s="10">
        <v>75097250</v>
      </c>
      <c r="J12" s="12" t="s">
        <v>2159</v>
      </c>
      <c r="K12" s="10">
        <v>9043</v>
      </c>
      <c r="L12" s="12" t="s">
        <v>2160</v>
      </c>
      <c r="M12" s="10">
        <v>1701043200</v>
      </c>
      <c r="N12" s="10">
        <v>191526</v>
      </c>
      <c r="O12" s="12">
        <v>7</v>
      </c>
    </row>
    <row r="13" spans="1:15" ht="27" x14ac:dyDescent="0.3">
      <c r="A13" s="9">
        <v>43474</v>
      </c>
      <c r="B13" s="12">
        <v>146</v>
      </c>
      <c r="C13" s="11">
        <v>2.4E-2</v>
      </c>
      <c r="D13" s="12">
        <v>198</v>
      </c>
      <c r="E13" s="11">
        <v>1.0999999999999999E-2</v>
      </c>
      <c r="F13" s="10">
        <v>24161</v>
      </c>
      <c r="G13" s="11">
        <v>8.9999999999999993E-3</v>
      </c>
      <c r="H13" s="11">
        <v>5.8999999999999997E-2</v>
      </c>
      <c r="I13" s="10">
        <v>11539300</v>
      </c>
      <c r="J13" s="12" t="s">
        <v>2161</v>
      </c>
      <c r="K13" s="10">
        <v>1416</v>
      </c>
      <c r="L13" s="12" t="s">
        <v>2162</v>
      </c>
      <c r="M13" s="10">
        <v>1712582500</v>
      </c>
      <c r="N13" s="10">
        <v>192942</v>
      </c>
      <c r="O13" s="12">
        <v>14</v>
      </c>
    </row>
    <row r="14" spans="1:15" ht="27" x14ac:dyDescent="0.3">
      <c r="A14" s="9">
        <v>43475</v>
      </c>
      <c r="B14" s="12">
        <v>108</v>
      </c>
      <c r="C14" s="11">
        <v>1.6E-2</v>
      </c>
      <c r="D14" s="12">
        <v>148</v>
      </c>
      <c r="E14" s="11">
        <v>8.0000000000000002E-3</v>
      </c>
      <c r="F14" s="10">
        <v>17354</v>
      </c>
      <c r="G14" s="11">
        <v>6.0000000000000001E-3</v>
      </c>
      <c r="H14" s="11">
        <v>5.3999999999999999E-2</v>
      </c>
      <c r="I14" s="10">
        <v>7456400</v>
      </c>
      <c r="J14" s="12" t="s">
        <v>2163</v>
      </c>
      <c r="K14" s="12">
        <v>939</v>
      </c>
      <c r="L14" s="12" t="s">
        <v>2164</v>
      </c>
      <c r="M14" s="10">
        <v>1720038900</v>
      </c>
      <c r="N14" s="10">
        <v>193881</v>
      </c>
      <c r="O14" s="12">
        <v>17</v>
      </c>
    </row>
    <row r="15" spans="1:15" ht="27" x14ac:dyDescent="0.3">
      <c r="A15" s="9">
        <v>43476</v>
      </c>
      <c r="B15" s="12">
        <v>94</v>
      </c>
      <c r="C15" s="11">
        <v>1.4E-2</v>
      </c>
      <c r="D15" s="12">
        <v>136</v>
      </c>
      <c r="E15" s="11">
        <v>7.0000000000000001E-3</v>
      </c>
      <c r="F15" s="10">
        <v>15041</v>
      </c>
      <c r="G15" s="11">
        <v>5.0000000000000001E-3</v>
      </c>
      <c r="H15" s="11">
        <v>6.4000000000000001E-2</v>
      </c>
      <c r="I15" s="10">
        <v>8497200</v>
      </c>
      <c r="J15" s="12" t="s">
        <v>2165</v>
      </c>
      <c r="K15" s="12">
        <v>967</v>
      </c>
      <c r="L15" s="12" t="s">
        <v>2166</v>
      </c>
      <c r="M15" s="10">
        <v>1728536100</v>
      </c>
      <c r="N15" s="10">
        <v>194848</v>
      </c>
      <c r="O15" s="12">
        <v>16</v>
      </c>
    </row>
    <row r="16" spans="1:15" ht="27" x14ac:dyDescent="0.3">
      <c r="A16" s="9">
        <v>43477</v>
      </c>
      <c r="B16" s="12">
        <v>83</v>
      </c>
      <c r="C16" s="11">
        <v>1.2E-2</v>
      </c>
      <c r="D16" s="12">
        <v>112</v>
      </c>
      <c r="E16" s="11">
        <v>6.0000000000000001E-3</v>
      </c>
      <c r="F16" s="10">
        <v>13026</v>
      </c>
      <c r="G16" s="11">
        <v>4.0000000000000001E-3</v>
      </c>
      <c r="H16" s="11">
        <v>9.8000000000000004E-2</v>
      </c>
      <c r="I16" s="10">
        <v>11181850</v>
      </c>
      <c r="J16" s="12" t="s">
        <v>2167</v>
      </c>
      <c r="K16" s="10">
        <v>1277</v>
      </c>
      <c r="L16" s="12" t="s">
        <v>2168</v>
      </c>
      <c r="M16" s="10">
        <v>1739717950</v>
      </c>
      <c r="N16" s="10">
        <v>196125</v>
      </c>
      <c r="O16" s="12">
        <v>19</v>
      </c>
    </row>
    <row r="17" spans="1:15" ht="27" x14ac:dyDescent="0.3">
      <c r="A17" s="9">
        <v>43478</v>
      </c>
      <c r="B17" s="12">
        <v>81</v>
      </c>
      <c r="C17" s="11">
        <v>1.2E-2</v>
      </c>
      <c r="D17" s="12">
        <v>113</v>
      </c>
      <c r="E17" s="11">
        <v>6.0000000000000001E-3</v>
      </c>
      <c r="F17" s="10">
        <v>12909</v>
      </c>
      <c r="G17" s="11">
        <v>4.0000000000000001E-3</v>
      </c>
      <c r="H17" s="11">
        <v>8.4000000000000005E-2</v>
      </c>
      <c r="I17" s="10">
        <v>9547300</v>
      </c>
      <c r="J17" s="12" t="s">
        <v>2169</v>
      </c>
      <c r="K17" s="10">
        <v>1086</v>
      </c>
      <c r="L17" s="12" t="s">
        <v>2170</v>
      </c>
      <c r="M17" s="10">
        <v>1749265250</v>
      </c>
      <c r="N17" s="10">
        <v>197211</v>
      </c>
      <c r="O17" s="12">
        <v>18</v>
      </c>
    </row>
    <row r="18" spans="1:15" ht="27" x14ac:dyDescent="0.3">
      <c r="A18" s="9">
        <v>43479</v>
      </c>
      <c r="B18" s="12">
        <v>72</v>
      </c>
      <c r="C18" s="11">
        <v>1.0999999999999999E-2</v>
      </c>
      <c r="D18" s="12">
        <v>94</v>
      </c>
      <c r="E18" s="11">
        <v>5.0000000000000001E-3</v>
      </c>
      <c r="F18" s="10">
        <v>10807</v>
      </c>
      <c r="G18" s="11">
        <v>4.0000000000000001E-3</v>
      </c>
      <c r="H18" s="11">
        <v>4.3999999999999997E-2</v>
      </c>
      <c r="I18" s="10">
        <v>3854300</v>
      </c>
      <c r="J18" s="12" t="s">
        <v>2171</v>
      </c>
      <c r="K18" s="12">
        <v>475</v>
      </c>
      <c r="L18" s="12" t="s">
        <v>2172</v>
      </c>
      <c r="M18" s="10">
        <v>1753119550</v>
      </c>
      <c r="N18" s="10">
        <v>197686</v>
      </c>
      <c r="O18" s="12">
        <v>21</v>
      </c>
    </row>
    <row r="19" spans="1:15" ht="27" x14ac:dyDescent="0.3">
      <c r="A19" s="9">
        <v>43480</v>
      </c>
      <c r="B19" s="12">
        <v>66</v>
      </c>
      <c r="C19" s="11">
        <v>0.01</v>
      </c>
      <c r="D19" s="12">
        <v>91</v>
      </c>
      <c r="E19" s="11">
        <v>5.0000000000000001E-3</v>
      </c>
      <c r="F19" s="10">
        <v>10695</v>
      </c>
      <c r="G19" s="11">
        <v>4.0000000000000001E-3</v>
      </c>
      <c r="H19" s="11">
        <v>4.1000000000000002E-2</v>
      </c>
      <c r="I19" s="10">
        <v>3475750</v>
      </c>
      <c r="J19" s="12" t="s">
        <v>2173</v>
      </c>
      <c r="K19" s="12">
        <v>434</v>
      </c>
      <c r="L19" s="12" t="s">
        <v>2174</v>
      </c>
      <c r="M19" s="10">
        <v>1756595300</v>
      </c>
      <c r="N19" s="10">
        <v>198120</v>
      </c>
      <c r="O19" s="12">
        <v>26</v>
      </c>
    </row>
    <row r="20" spans="1:15" ht="27" x14ac:dyDescent="0.3">
      <c r="A20" s="9">
        <v>43481</v>
      </c>
      <c r="B20" s="12">
        <v>14</v>
      </c>
      <c r="C20" s="11">
        <v>2E-3</v>
      </c>
      <c r="D20" s="12">
        <v>15</v>
      </c>
      <c r="E20" s="11">
        <v>1E-3</v>
      </c>
      <c r="F20" s="10">
        <v>1970</v>
      </c>
      <c r="G20" s="11">
        <v>1E-3</v>
      </c>
      <c r="H20" s="11">
        <v>2.3E-2</v>
      </c>
      <c r="I20" s="10">
        <v>276000</v>
      </c>
      <c r="J20" s="12" t="s">
        <v>2175</v>
      </c>
      <c r="K20" s="12">
        <v>45</v>
      </c>
      <c r="L20" s="12" t="s">
        <v>2176</v>
      </c>
      <c r="M20" s="10">
        <v>1756871300</v>
      </c>
      <c r="N20" s="10">
        <v>198165</v>
      </c>
      <c r="O20" s="12">
        <v>59</v>
      </c>
    </row>
    <row r="21" spans="1:15" ht="27" x14ac:dyDescent="0.3">
      <c r="A21" s="9">
        <v>43482</v>
      </c>
      <c r="B21" s="12">
        <v>6</v>
      </c>
      <c r="C21" s="11">
        <v>1E-3</v>
      </c>
      <c r="D21" s="12">
        <v>6</v>
      </c>
      <c r="E21" s="11">
        <v>0</v>
      </c>
      <c r="F21" s="12">
        <v>911</v>
      </c>
      <c r="G21" s="11">
        <v>0</v>
      </c>
      <c r="H21" s="11">
        <v>7.0000000000000001E-3</v>
      </c>
      <c r="I21" s="10">
        <v>9000</v>
      </c>
      <c r="J21" s="12" t="s">
        <v>2177</v>
      </c>
      <c r="K21" s="12">
        <v>6</v>
      </c>
      <c r="L21" s="12" t="s">
        <v>2178</v>
      </c>
      <c r="M21" s="10">
        <v>1756880300</v>
      </c>
      <c r="N21" s="10">
        <v>198171</v>
      </c>
      <c r="O21" s="12">
        <v>78</v>
      </c>
    </row>
    <row r="22" spans="1:15" ht="27" x14ac:dyDescent="0.3">
      <c r="A22" s="9">
        <v>43483</v>
      </c>
      <c r="B22" s="12">
        <v>8</v>
      </c>
      <c r="C22" s="11">
        <v>1E-3</v>
      </c>
      <c r="D22" s="12">
        <v>8</v>
      </c>
      <c r="E22" s="11">
        <v>0</v>
      </c>
      <c r="F22" s="10">
        <v>1392</v>
      </c>
      <c r="G22" s="11">
        <v>0</v>
      </c>
      <c r="H22" s="11">
        <v>1.2E-2</v>
      </c>
      <c r="I22" s="10">
        <v>81300</v>
      </c>
      <c r="J22" s="12" t="s">
        <v>2179</v>
      </c>
      <c r="K22" s="12">
        <v>17</v>
      </c>
      <c r="L22" s="12" t="s">
        <v>2180</v>
      </c>
      <c r="M22" s="10">
        <v>1756961600</v>
      </c>
      <c r="N22" s="10">
        <v>198188</v>
      </c>
      <c r="O22" s="12">
        <v>66</v>
      </c>
    </row>
    <row r="23" spans="1:15" ht="27" x14ac:dyDescent="0.3">
      <c r="A23" s="9">
        <v>43484</v>
      </c>
      <c r="B23" s="12">
        <v>8</v>
      </c>
      <c r="C23" s="11">
        <v>1E-3</v>
      </c>
      <c r="D23" s="12">
        <v>8</v>
      </c>
      <c r="E23" s="11">
        <v>0</v>
      </c>
      <c r="F23" s="10">
        <v>1144</v>
      </c>
      <c r="G23" s="11">
        <v>0</v>
      </c>
      <c r="H23" s="11">
        <v>1.7000000000000001E-2</v>
      </c>
      <c r="I23" s="10">
        <v>120650</v>
      </c>
      <c r="J23" s="12" t="s">
        <v>2181</v>
      </c>
      <c r="K23" s="12">
        <v>20</v>
      </c>
      <c r="L23" s="12" t="s">
        <v>2182</v>
      </c>
      <c r="M23" s="10">
        <v>1757082250</v>
      </c>
      <c r="N23" s="10">
        <v>198208</v>
      </c>
      <c r="O23" s="12">
        <v>69</v>
      </c>
    </row>
    <row r="24" spans="1:15" ht="27" x14ac:dyDescent="0.3">
      <c r="A24" s="9">
        <v>43485</v>
      </c>
      <c r="B24" s="12">
        <v>7</v>
      </c>
      <c r="C24" s="11">
        <v>1E-3</v>
      </c>
      <c r="D24" s="12">
        <v>7</v>
      </c>
      <c r="E24" s="11">
        <v>0</v>
      </c>
      <c r="F24" s="10">
        <v>1041</v>
      </c>
      <c r="G24" s="11">
        <v>0</v>
      </c>
      <c r="H24" s="11">
        <v>0.02</v>
      </c>
      <c r="I24" s="10">
        <v>125000</v>
      </c>
      <c r="J24" s="12" t="s">
        <v>2183</v>
      </c>
      <c r="K24" s="12">
        <v>21</v>
      </c>
      <c r="L24" s="12" t="s">
        <v>2184</v>
      </c>
      <c r="M24" s="10">
        <v>1757207250</v>
      </c>
      <c r="N24" s="10">
        <v>198229</v>
      </c>
      <c r="O24" s="12">
        <v>64</v>
      </c>
    </row>
    <row r="25" spans="1:15" ht="27" x14ac:dyDescent="0.3">
      <c r="A25" s="9">
        <v>43486</v>
      </c>
      <c r="B25" s="12">
        <v>6</v>
      </c>
      <c r="C25" s="11">
        <v>1E-3</v>
      </c>
      <c r="D25" s="12">
        <v>6</v>
      </c>
      <c r="E25" s="11">
        <v>0</v>
      </c>
      <c r="F25" s="12">
        <v>877</v>
      </c>
      <c r="G25" s="11">
        <v>0</v>
      </c>
      <c r="H25" s="11">
        <v>1.4E-2</v>
      </c>
      <c r="I25" s="10">
        <v>58000</v>
      </c>
      <c r="J25" s="12" t="s">
        <v>2185</v>
      </c>
      <c r="K25" s="12">
        <v>12</v>
      </c>
      <c r="L25" s="12" t="s">
        <v>2186</v>
      </c>
      <c r="M25" s="10">
        <v>1757265250</v>
      </c>
      <c r="N25" s="10">
        <v>198241</v>
      </c>
      <c r="O25" s="12">
        <v>65</v>
      </c>
    </row>
    <row r="26" spans="1:15" ht="27" x14ac:dyDescent="0.3">
      <c r="A26" s="9">
        <v>43487</v>
      </c>
      <c r="B26" s="12">
        <v>6</v>
      </c>
      <c r="C26" s="11">
        <v>1E-3</v>
      </c>
      <c r="D26" s="12">
        <v>6</v>
      </c>
      <c r="E26" s="11">
        <v>0</v>
      </c>
      <c r="F26" s="12">
        <v>904</v>
      </c>
      <c r="G26" s="11">
        <v>0</v>
      </c>
      <c r="H26" s="11">
        <v>1.0999999999999999E-2</v>
      </c>
      <c r="I26" s="10">
        <v>35000</v>
      </c>
      <c r="J26" s="12" t="s">
        <v>2187</v>
      </c>
      <c r="K26" s="12">
        <v>10</v>
      </c>
      <c r="L26" s="12" t="s">
        <v>2188</v>
      </c>
      <c r="M26" s="10">
        <v>1757300250</v>
      </c>
      <c r="N26" s="10">
        <v>198251</v>
      </c>
      <c r="O26" s="12">
        <v>75</v>
      </c>
    </row>
    <row r="27" spans="1:15" ht="27" x14ac:dyDescent="0.3">
      <c r="A27" s="9">
        <v>43488</v>
      </c>
      <c r="B27" s="12">
        <v>5</v>
      </c>
      <c r="C27" s="11">
        <v>1E-3</v>
      </c>
      <c r="D27" s="12">
        <v>5</v>
      </c>
      <c r="E27" s="11">
        <v>0</v>
      </c>
      <c r="F27" s="12">
        <v>764</v>
      </c>
      <c r="G27" s="11">
        <v>0</v>
      </c>
      <c r="H27" s="11">
        <v>7.0000000000000001E-3</v>
      </c>
      <c r="I27" s="10">
        <v>5000</v>
      </c>
      <c r="J27" s="12" t="s">
        <v>2189</v>
      </c>
      <c r="K27" s="12">
        <v>5</v>
      </c>
      <c r="L27" s="12" t="s">
        <v>2190</v>
      </c>
      <c r="M27" s="10">
        <v>1757305250</v>
      </c>
      <c r="N27" s="10">
        <v>198256</v>
      </c>
      <c r="O27" s="12">
        <v>78</v>
      </c>
    </row>
    <row r="28" spans="1:15" x14ac:dyDescent="0.3">
      <c r="A28" s="9">
        <v>43489</v>
      </c>
      <c r="B28" s="12">
        <v>5</v>
      </c>
      <c r="C28" s="11">
        <v>1E-3</v>
      </c>
      <c r="D28" s="12">
        <v>5</v>
      </c>
      <c r="E28" s="11">
        <v>0</v>
      </c>
      <c r="F28" s="12">
        <v>764</v>
      </c>
      <c r="G28" s="11">
        <v>0</v>
      </c>
      <c r="H28" s="11">
        <v>7.0000000000000001E-3</v>
      </c>
      <c r="I28" s="10">
        <v>5000</v>
      </c>
      <c r="J28" s="12" t="s">
        <v>292</v>
      </c>
      <c r="K28" s="12">
        <v>5</v>
      </c>
      <c r="L28" s="12" t="s">
        <v>292</v>
      </c>
      <c r="M28" s="10">
        <v>1757310250</v>
      </c>
      <c r="N28" s="10">
        <v>198261</v>
      </c>
      <c r="O28" s="12">
        <v>76</v>
      </c>
    </row>
    <row r="29" spans="1:15" x14ac:dyDescent="0.3">
      <c r="A29" s="9">
        <v>43490</v>
      </c>
      <c r="B29" s="12">
        <v>5</v>
      </c>
      <c r="C29" s="11">
        <v>1E-3</v>
      </c>
      <c r="D29" s="12">
        <v>5</v>
      </c>
      <c r="E29" s="11">
        <v>0</v>
      </c>
      <c r="F29" s="12">
        <v>764</v>
      </c>
      <c r="G29" s="11">
        <v>0</v>
      </c>
      <c r="H29" s="11">
        <v>7.0000000000000001E-3</v>
      </c>
      <c r="I29" s="10">
        <v>5000</v>
      </c>
      <c r="J29" s="12" t="s">
        <v>292</v>
      </c>
      <c r="K29" s="12">
        <v>5</v>
      </c>
      <c r="L29" s="12" t="s">
        <v>292</v>
      </c>
      <c r="M29" s="10">
        <v>1757315250</v>
      </c>
      <c r="N29" s="10">
        <v>198266</v>
      </c>
      <c r="O29" s="12">
        <v>69</v>
      </c>
    </row>
    <row r="30" spans="1:15" x14ac:dyDescent="0.3">
      <c r="A30" s="9">
        <v>43491</v>
      </c>
      <c r="B30" s="12">
        <v>5</v>
      </c>
      <c r="C30" s="11">
        <v>1E-3</v>
      </c>
      <c r="D30" s="12">
        <v>5</v>
      </c>
      <c r="E30" s="11">
        <v>0</v>
      </c>
      <c r="F30" s="12">
        <v>764</v>
      </c>
      <c r="G30" s="11">
        <v>0</v>
      </c>
      <c r="H30" s="11">
        <v>7.0000000000000001E-3</v>
      </c>
      <c r="I30" s="10">
        <v>5000</v>
      </c>
      <c r="J30" s="12" t="s">
        <v>292</v>
      </c>
      <c r="K30" s="12">
        <v>5</v>
      </c>
      <c r="L30" s="12" t="s">
        <v>292</v>
      </c>
      <c r="M30" s="10">
        <v>1757320250</v>
      </c>
      <c r="N30" s="10">
        <v>198271</v>
      </c>
      <c r="O30" s="12">
        <v>68</v>
      </c>
    </row>
    <row r="31" spans="1:15" x14ac:dyDescent="0.3">
      <c r="A31" s="9">
        <v>43492</v>
      </c>
      <c r="B31" s="12">
        <v>5</v>
      </c>
      <c r="C31" s="11">
        <v>1E-3</v>
      </c>
      <c r="D31" s="12">
        <v>5</v>
      </c>
      <c r="E31" s="11">
        <v>0</v>
      </c>
      <c r="F31" s="12">
        <v>764</v>
      </c>
      <c r="G31" s="11">
        <v>0</v>
      </c>
      <c r="H31" s="11">
        <v>7.0000000000000001E-3</v>
      </c>
      <c r="I31" s="10">
        <v>5000</v>
      </c>
      <c r="J31" s="12" t="s">
        <v>292</v>
      </c>
      <c r="K31" s="12">
        <v>5</v>
      </c>
      <c r="L31" s="12" t="s">
        <v>292</v>
      </c>
      <c r="M31" s="10">
        <v>1757325250</v>
      </c>
      <c r="N31" s="10">
        <v>198276</v>
      </c>
      <c r="O31" s="12">
        <v>63</v>
      </c>
    </row>
    <row r="32" spans="1:15" x14ac:dyDescent="0.3">
      <c r="A32" s="9">
        <v>43493</v>
      </c>
      <c r="B32" s="12">
        <v>5</v>
      </c>
      <c r="C32" s="11">
        <v>1E-3</v>
      </c>
      <c r="D32" s="12">
        <v>5</v>
      </c>
      <c r="E32" s="11">
        <v>0</v>
      </c>
      <c r="F32" s="12">
        <v>764</v>
      </c>
      <c r="G32" s="11">
        <v>0</v>
      </c>
      <c r="H32" s="11">
        <v>7.0000000000000001E-3</v>
      </c>
      <c r="I32" s="10">
        <v>5000</v>
      </c>
      <c r="J32" s="12" t="s">
        <v>292</v>
      </c>
      <c r="K32" s="12">
        <v>5</v>
      </c>
      <c r="L32" s="12" t="s">
        <v>292</v>
      </c>
      <c r="M32" s="10">
        <v>1757330250</v>
      </c>
      <c r="N32" s="10">
        <v>198281</v>
      </c>
      <c r="O32" s="12">
        <v>64</v>
      </c>
    </row>
    <row r="33" spans="1:15" ht="27" x14ac:dyDescent="0.3">
      <c r="A33" s="9">
        <v>43497</v>
      </c>
      <c r="B33" s="12">
        <v>1</v>
      </c>
      <c r="C33" s="11">
        <v>0</v>
      </c>
      <c r="D33" s="12">
        <v>3</v>
      </c>
      <c r="E33" s="11">
        <v>0</v>
      </c>
      <c r="F33" s="12">
        <v>600</v>
      </c>
      <c r="G33" s="11">
        <v>0</v>
      </c>
      <c r="H33" s="11">
        <v>0.13</v>
      </c>
      <c r="I33" s="10">
        <v>156000</v>
      </c>
      <c r="J33" s="12" t="s">
        <v>2191</v>
      </c>
      <c r="K33" s="12">
        <v>78</v>
      </c>
      <c r="L33" s="12" t="s">
        <v>1878</v>
      </c>
      <c r="M33" s="10">
        <v>1757486250</v>
      </c>
      <c r="N33" s="10">
        <v>198359</v>
      </c>
      <c r="O33" s="12">
        <v>34</v>
      </c>
    </row>
    <row r="34" spans="1:15" ht="27" x14ac:dyDescent="0.3">
      <c r="A34" s="9">
        <v>43498</v>
      </c>
      <c r="B34" s="12">
        <v>1</v>
      </c>
      <c r="C34" s="11">
        <v>0</v>
      </c>
      <c r="D34" s="12">
        <v>1</v>
      </c>
      <c r="E34" s="11">
        <v>0</v>
      </c>
      <c r="F34" s="12">
        <v>200</v>
      </c>
      <c r="G34" s="11">
        <v>0</v>
      </c>
      <c r="H34" s="11">
        <v>0.09</v>
      </c>
      <c r="I34" s="10">
        <v>42000</v>
      </c>
      <c r="J34" s="12" t="s">
        <v>2192</v>
      </c>
      <c r="K34" s="12">
        <v>18</v>
      </c>
      <c r="L34" s="12" t="s">
        <v>2193</v>
      </c>
      <c r="M34" s="10">
        <v>1757528250</v>
      </c>
      <c r="N34" s="10">
        <v>198377</v>
      </c>
      <c r="O34" s="12">
        <v>64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6F97B-4334-46DA-B48C-391F6AFDAAF8}">
  <dimension ref="A1:O87"/>
  <sheetViews>
    <sheetView workbookViewId="0">
      <selection activeCell="A5" sqref="A5:O16"/>
    </sheetView>
  </sheetViews>
  <sheetFormatPr defaultRowHeight="16.5" x14ac:dyDescent="0.3"/>
  <sheetData>
    <row r="1" spans="1:15" ht="19.5" x14ac:dyDescent="0.3">
      <c r="A1" s="197" t="s">
        <v>2194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43481</v>
      </c>
      <c r="B5" s="12">
        <v>612</v>
      </c>
      <c r="C5" s="11">
        <v>8.5999999999999993E-2</v>
      </c>
      <c r="D5" s="10">
        <v>1470</v>
      </c>
      <c r="E5" s="11">
        <v>8.1000000000000003E-2</v>
      </c>
      <c r="F5" s="10">
        <v>218775</v>
      </c>
      <c r="G5" s="11">
        <v>7.6999999999999999E-2</v>
      </c>
      <c r="H5" s="11">
        <v>8.5999999999999993E-2</v>
      </c>
      <c r="I5" s="10">
        <v>139539100</v>
      </c>
      <c r="J5" s="12" t="s">
        <v>2195</v>
      </c>
      <c r="K5" s="10">
        <v>18781</v>
      </c>
      <c r="L5" s="12" t="s">
        <v>2196</v>
      </c>
      <c r="M5" s="10">
        <v>311187100</v>
      </c>
      <c r="N5" s="10">
        <v>38379</v>
      </c>
      <c r="O5" s="12">
        <v>4</v>
      </c>
    </row>
    <row r="6" spans="1:15" ht="27" x14ac:dyDescent="0.3">
      <c r="A6" s="9">
        <v>43482</v>
      </c>
      <c r="B6" s="12">
        <v>580</v>
      </c>
      <c r="C6" s="11">
        <v>0.08</v>
      </c>
      <c r="D6" s="10">
        <v>1304</v>
      </c>
      <c r="E6" s="11">
        <v>7.0999999999999994E-2</v>
      </c>
      <c r="F6" s="10">
        <v>189184</v>
      </c>
      <c r="G6" s="11">
        <v>6.6000000000000003E-2</v>
      </c>
      <c r="H6" s="11">
        <v>7.2999999999999995E-2</v>
      </c>
      <c r="I6" s="10">
        <v>98198480</v>
      </c>
      <c r="J6" s="12" t="s">
        <v>2197</v>
      </c>
      <c r="K6" s="10">
        <v>13756</v>
      </c>
      <c r="L6" s="12" t="s">
        <v>2198</v>
      </c>
      <c r="M6" s="10">
        <v>409385580</v>
      </c>
      <c r="N6" s="10">
        <v>52135</v>
      </c>
      <c r="O6" s="12">
        <v>5</v>
      </c>
    </row>
    <row r="7" spans="1:15" ht="27" x14ac:dyDescent="0.3">
      <c r="A7" s="9">
        <v>43483</v>
      </c>
      <c r="B7" s="12">
        <v>571</v>
      </c>
      <c r="C7" s="11">
        <v>7.8E-2</v>
      </c>
      <c r="D7" s="10">
        <v>1175</v>
      </c>
      <c r="E7" s="11">
        <v>6.4000000000000001E-2</v>
      </c>
      <c r="F7" s="10">
        <v>168935</v>
      </c>
      <c r="G7" s="11">
        <v>5.8000000000000003E-2</v>
      </c>
      <c r="H7" s="11">
        <v>7.8E-2</v>
      </c>
      <c r="I7" s="10">
        <v>100998750</v>
      </c>
      <c r="J7" s="12" t="s">
        <v>2199</v>
      </c>
      <c r="K7" s="10">
        <v>13236</v>
      </c>
      <c r="L7" s="12" t="s">
        <v>2200</v>
      </c>
      <c r="M7" s="10">
        <v>510384330</v>
      </c>
      <c r="N7" s="10">
        <v>65371</v>
      </c>
      <c r="O7" s="12">
        <v>5</v>
      </c>
    </row>
    <row r="8" spans="1:15" ht="27" x14ac:dyDescent="0.3">
      <c r="A8" s="9">
        <v>43484</v>
      </c>
      <c r="B8" s="12">
        <v>608</v>
      </c>
      <c r="C8" s="11">
        <v>7.8E-2</v>
      </c>
      <c r="D8" s="10">
        <v>1143</v>
      </c>
      <c r="E8" s="11">
        <v>5.8999999999999997E-2</v>
      </c>
      <c r="F8" s="10">
        <v>159070</v>
      </c>
      <c r="G8" s="11">
        <v>5.2999999999999999E-2</v>
      </c>
      <c r="H8" s="11">
        <v>0.19</v>
      </c>
      <c r="I8" s="10">
        <v>240895780</v>
      </c>
      <c r="J8" s="12" t="s">
        <v>2201</v>
      </c>
      <c r="K8" s="10">
        <v>30172</v>
      </c>
      <c r="L8" s="12" t="s">
        <v>2202</v>
      </c>
      <c r="M8" s="10">
        <v>751280110</v>
      </c>
      <c r="N8" s="10">
        <v>95543</v>
      </c>
      <c r="O8" s="12">
        <v>5</v>
      </c>
    </row>
    <row r="9" spans="1:15" ht="27" x14ac:dyDescent="0.3">
      <c r="A9" s="9">
        <v>43485</v>
      </c>
      <c r="B9" s="12">
        <v>596</v>
      </c>
      <c r="C9" s="11">
        <v>7.8E-2</v>
      </c>
      <c r="D9" s="10">
        <v>1101</v>
      </c>
      <c r="E9" s="11">
        <v>5.8000000000000003E-2</v>
      </c>
      <c r="F9" s="10">
        <v>152258</v>
      </c>
      <c r="G9" s="11">
        <v>5.1999999999999998E-2</v>
      </c>
      <c r="H9" s="11">
        <v>0.17799999999999999</v>
      </c>
      <c r="I9" s="10">
        <v>217749010</v>
      </c>
      <c r="J9" s="12" t="s">
        <v>2203</v>
      </c>
      <c r="K9" s="10">
        <v>27030</v>
      </c>
      <c r="L9" s="12" t="s">
        <v>2204</v>
      </c>
      <c r="M9" s="10">
        <v>969029120</v>
      </c>
      <c r="N9" s="10">
        <v>122573</v>
      </c>
      <c r="O9" s="12">
        <v>5</v>
      </c>
    </row>
    <row r="10" spans="1:15" ht="40.5" x14ac:dyDescent="0.3">
      <c r="A10" s="9">
        <v>43486</v>
      </c>
      <c r="B10" s="12">
        <v>526</v>
      </c>
      <c r="C10" s="11">
        <v>7.5999999999999998E-2</v>
      </c>
      <c r="D10" s="12">
        <v>900</v>
      </c>
      <c r="E10" s="11">
        <v>5.1999999999999998E-2</v>
      </c>
      <c r="F10" s="10">
        <v>121181</v>
      </c>
      <c r="G10" s="11">
        <v>4.3999999999999997E-2</v>
      </c>
      <c r="H10" s="11">
        <v>6.8000000000000005E-2</v>
      </c>
      <c r="I10" s="10">
        <v>59622480</v>
      </c>
      <c r="J10" s="12" t="s">
        <v>2205</v>
      </c>
      <c r="K10" s="10">
        <v>8256</v>
      </c>
      <c r="L10" s="12" t="s">
        <v>2206</v>
      </c>
      <c r="M10" s="10">
        <v>1028651600</v>
      </c>
      <c r="N10" s="10">
        <v>130829</v>
      </c>
      <c r="O10" s="12">
        <v>5</v>
      </c>
    </row>
    <row r="11" spans="1:15" ht="27" x14ac:dyDescent="0.3">
      <c r="A11" s="9">
        <v>43487</v>
      </c>
      <c r="B11" s="12">
        <v>541</v>
      </c>
      <c r="C11" s="11">
        <v>7.5999999999999998E-2</v>
      </c>
      <c r="D11" s="12">
        <v>927</v>
      </c>
      <c r="E11" s="11">
        <v>5.2999999999999999E-2</v>
      </c>
      <c r="F11" s="10">
        <v>125478</v>
      </c>
      <c r="G11" s="11">
        <v>4.5999999999999999E-2</v>
      </c>
      <c r="H11" s="11">
        <v>8.6999999999999994E-2</v>
      </c>
      <c r="I11" s="10">
        <v>78437890</v>
      </c>
      <c r="J11" s="12" t="s">
        <v>2207</v>
      </c>
      <c r="K11" s="10">
        <v>10965</v>
      </c>
      <c r="L11" s="12" t="s">
        <v>2208</v>
      </c>
      <c r="M11" s="10">
        <v>1107089490</v>
      </c>
      <c r="N11" s="10">
        <v>141794</v>
      </c>
      <c r="O11" s="12">
        <v>5</v>
      </c>
    </row>
    <row r="12" spans="1:15" ht="27" x14ac:dyDescent="0.3">
      <c r="A12" s="9">
        <v>43488</v>
      </c>
      <c r="B12" s="12">
        <v>297</v>
      </c>
      <c r="C12" s="11">
        <v>4.9000000000000002E-2</v>
      </c>
      <c r="D12" s="12">
        <v>367</v>
      </c>
      <c r="E12" s="11">
        <v>0.02</v>
      </c>
      <c r="F12" s="10">
        <v>43442</v>
      </c>
      <c r="G12" s="11">
        <v>1.4999999999999999E-2</v>
      </c>
      <c r="H12" s="11">
        <v>0.12</v>
      </c>
      <c r="I12" s="10">
        <v>34788350</v>
      </c>
      <c r="J12" s="12" t="s">
        <v>2209</v>
      </c>
      <c r="K12" s="10">
        <v>5196</v>
      </c>
      <c r="L12" s="12" t="s">
        <v>2210</v>
      </c>
      <c r="M12" s="10">
        <v>1141877840</v>
      </c>
      <c r="N12" s="10">
        <v>146990</v>
      </c>
      <c r="O12" s="12">
        <v>6</v>
      </c>
    </row>
    <row r="13" spans="1:15" ht="27" x14ac:dyDescent="0.3">
      <c r="A13" s="9">
        <v>43489</v>
      </c>
      <c r="B13" s="12">
        <v>287</v>
      </c>
      <c r="C13" s="11">
        <v>4.4999999999999998E-2</v>
      </c>
      <c r="D13" s="12">
        <v>346</v>
      </c>
      <c r="E13" s="11">
        <v>1.9E-2</v>
      </c>
      <c r="F13" s="10">
        <v>40959</v>
      </c>
      <c r="G13" s="11">
        <v>1.4E-2</v>
      </c>
      <c r="H13" s="11">
        <v>0.13800000000000001</v>
      </c>
      <c r="I13" s="10">
        <v>38759500</v>
      </c>
      <c r="J13" s="12" t="s">
        <v>2211</v>
      </c>
      <c r="K13" s="10">
        <v>5657</v>
      </c>
      <c r="L13" s="12" t="s">
        <v>2212</v>
      </c>
      <c r="M13" s="10">
        <v>1180637340</v>
      </c>
      <c r="N13" s="10">
        <v>152647</v>
      </c>
      <c r="O13" s="12">
        <v>7</v>
      </c>
    </row>
    <row r="14" spans="1:15" ht="27" x14ac:dyDescent="0.3">
      <c r="A14" s="9">
        <v>43490</v>
      </c>
      <c r="B14" s="12">
        <v>286</v>
      </c>
      <c r="C14" s="11">
        <v>4.4999999999999998E-2</v>
      </c>
      <c r="D14" s="12">
        <v>340</v>
      </c>
      <c r="E14" s="11">
        <v>1.7999999999999999E-2</v>
      </c>
      <c r="F14" s="10">
        <v>40618</v>
      </c>
      <c r="G14" s="11">
        <v>1.4E-2</v>
      </c>
      <c r="H14" s="11">
        <v>0.13800000000000001</v>
      </c>
      <c r="I14" s="10">
        <v>39507130</v>
      </c>
      <c r="J14" s="12" t="s">
        <v>2213</v>
      </c>
      <c r="K14" s="10">
        <v>5597</v>
      </c>
      <c r="L14" s="12" t="s">
        <v>2214</v>
      </c>
      <c r="M14" s="10">
        <v>1220144470</v>
      </c>
      <c r="N14" s="10">
        <v>158244</v>
      </c>
      <c r="O14" s="12">
        <v>6</v>
      </c>
    </row>
    <row r="15" spans="1:15" ht="27" x14ac:dyDescent="0.3">
      <c r="A15" s="9">
        <v>43491</v>
      </c>
      <c r="B15" s="12">
        <v>293</v>
      </c>
      <c r="C15" s="11">
        <v>4.3999999999999997E-2</v>
      </c>
      <c r="D15" s="12">
        <v>344</v>
      </c>
      <c r="E15" s="11">
        <v>1.7000000000000001E-2</v>
      </c>
      <c r="F15" s="10">
        <v>38699</v>
      </c>
      <c r="G15" s="11">
        <v>1.2E-2</v>
      </c>
      <c r="H15" s="11">
        <v>0.24299999999999999</v>
      </c>
      <c r="I15" s="10">
        <v>72379790</v>
      </c>
      <c r="J15" s="12" t="s">
        <v>2215</v>
      </c>
      <c r="K15" s="10">
        <v>9406</v>
      </c>
      <c r="L15" s="12" t="s">
        <v>2216</v>
      </c>
      <c r="M15" s="10">
        <v>1292524260</v>
      </c>
      <c r="N15" s="10">
        <v>167650</v>
      </c>
      <c r="O15" s="12">
        <v>8</v>
      </c>
    </row>
    <row r="16" spans="1:15" ht="27" x14ac:dyDescent="0.3">
      <c r="A16" s="9">
        <v>43492</v>
      </c>
      <c r="B16" s="12">
        <v>292</v>
      </c>
      <c r="C16" s="11">
        <v>4.4999999999999998E-2</v>
      </c>
      <c r="D16" s="12">
        <v>344</v>
      </c>
      <c r="E16" s="11">
        <v>1.7999999999999999E-2</v>
      </c>
      <c r="F16" s="10">
        <v>38783</v>
      </c>
      <c r="G16" s="11">
        <v>1.2999999999999999E-2</v>
      </c>
      <c r="H16" s="11">
        <v>0.23699999999999999</v>
      </c>
      <c r="I16" s="10">
        <v>73197660</v>
      </c>
      <c r="J16" s="12" t="s">
        <v>2217</v>
      </c>
      <c r="K16" s="10">
        <v>9187</v>
      </c>
      <c r="L16" s="12" t="s">
        <v>2218</v>
      </c>
      <c r="M16" s="10">
        <v>1365721920</v>
      </c>
      <c r="N16" s="10">
        <v>176837</v>
      </c>
      <c r="O16" s="12">
        <v>7</v>
      </c>
    </row>
    <row r="17" spans="1:15" ht="27" x14ac:dyDescent="0.3">
      <c r="A17" s="9">
        <v>43493</v>
      </c>
      <c r="B17" s="12">
        <v>229</v>
      </c>
      <c r="C17" s="11">
        <v>3.9E-2</v>
      </c>
      <c r="D17" s="12">
        <v>275</v>
      </c>
      <c r="E17" s="11">
        <v>1.4999999999999999E-2</v>
      </c>
      <c r="F17" s="10">
        <v>31411</v>
      </c>
      <c r="G17" s="11">
        <v>1.0999999999999999E-2</v>
      </c>
      <c r="H17" s="11">
        <v>7.5999999999999998E-2</v>
      </c>
      <c r="I17" s="10">
        <v>16522700</v>
      </c>
      <c r="J17" s="12" t="s">
        <v>2219</v>
      </c>
      <c r="K17" s="10">
        <v>2375</v>
      </c>
      <c r="L17" s="12" t="s">
        <v>2220</v>
      </c>
      <c r="M17" s="10">
        <v>1382244620</v>
      </c>
      <c r="N17" s="10">
        <v>179212</v>
      </c>
      <c r="O17" s="12">
        <v>12</v>
      </c>
    </row>
    <row r="18" spans="1:15" ht="27" x14ac:dyDescent="0.3">
      <c r="A18" s="9">
        <v>43494</v>
      </c>
      <c r="B18" s="12">
        <v>225</v>
      </c>
      <c r="C18" s="11">
        <v>3.6999999999999998E-2</v>
      </c>
      <c r="D18" s="12">
        <v>270</v>
      </c>
      <c r="E18" s="11">
        <v>1.4999999999999999E-2</v>
      </c>
      <c r="F18" s="10">
        <v>30367</v>
      </c>
      <c r="G18" s="11">
        <v>0.01</v>
      </c>
      <c r="H18" s="11">
        <v>9.7000000000000003E-2</v>
      </c>
      <c r="I18" s="10">
        <v>20183610</v>
      </c>
      <c r="J18" s="12" t="s">
        <v>2221</v>
      </c>
      <c r="K18" s="10">
        <v>2959</v>
      </c>
      <c r="L18" s="12" t="s">
        <v>2222</v>
      </c>
      <c r="M18" s="10">
        <v>1402428230</v>
      </c>
      <c r="N18" s="10">
        <v>182171</v>
      </c>
      <c r="O18" s="12">
        <v>11</v>
      </c>
    </row>
    <row r="19" spans="1:15" ht="27" x14ac:dyDescent="0.3">
      <c r="A19" s="9">
        <v>43495</v>
      </c>
      <c r="B19" s="12">
        <v>30</v>
      </c>
      <c r="C19" s="11">
        <v>6.0000000000000001E-3</v>
      </c>
      <c r="D19" s="12">
        <v>35</v>
      </c>
      <c r="E19" s="11">
        <v>2E-3</v>
      </c>
      <c r="F19" s="10">
        <v>3777</v>
      </c>
      <c r="G19" s="11">
        <v>1E-3</v>
      </c>
      <c r="H19" s="11">
        <v>0.33300000000000002</v>
      </c>
      <c r="I19" s="10">
        <v>7949600</v>
      </c>
      <c r="J19" s="12" t="s">
        <v>2223</v>
      </c>
      <c r="K19" s="10">
        <v>1259</v>
      </c>
      <c r="L19" s="12" t="s">
        <v>2224</v>
      </c>
      <c r="M19" s="10">
        <v>1410377830</v>
      </c>
      <c r="N19" s="10">
        <v>183430</v>
      </c>
      <c r="O19" s="12">
        <v>12</v>
      </c>
    </row>
    <row r="20" spans="1:15" ht="27" x14ac:dyDescent="0.3">
      <c r="A20" s="9">
        <v>43496</v>
      </c>
      <c r="B20" s="12">
        <v>18</v>
      </c>
      <c r="C20" s="11">
        <v>3.0000000000000001E-3</v>
      </c>
      <c r="D20" s="12">
        <v>20</v>
      </c>
      <c r="E20" s="11">
        <v>1E-3</v>
      </c>
      <c r="F20" s="10">
        <v>1734</v>
      </c>
      <c r="G20" s="11">
        <v>1E-3</v>
      </c>
      <c r="H20" s="11">
        <v>0.29699999999999999</v>
      </c>
      <c r="I20" s="10">
        <v>2995800</v>
      </c>
      <c r="J20" s="12" t="s">
        <v>2225</v>
      </c>
      <c r="K20" s="12">
        <v>515</v>
      </c>
      <c r="L20" s="12" t="s">
        <v>2226</v>
      </c>
      <c r="M20" s="10">
        <v>1413373630</v>
      </c>
      <c r="N20" s="10">
        <v>183945</v>
      </c>
      <c r="O20" s="12">
        <v>22</v>
      </c>
    </row>
    <row r="21" spans="1:15" ht="27" x14ac:dyDescent="0.3">
      <c r="A21" s="9">
        <v>43497</v>
      </c>
      <c r="B21" s="12">
        <v>13</v>
      </c>
      <c r="C21" s="11">
        <v>2E-3</v>
      </c>
      <c r="D21" s="12">
        <v>14</v>
      </c>
      <c r="E21" s="11">
        <v>1E-3</v>
      </c>
      <c r="F21" s="10">
        <v>1662</v>
      </c>
      <c r="G21" s="11">
        <v>1E-3</v>
      </c>
      <c r="H21" s="11">
        <v>0.26700000000000002</v>
      </c>
      <c r="I21" s="10">
        <v>3075400</v>
      </c>
      <c r="J21" s="12" t="s">
        <v>2227</v>
      </c>
      <c r="K21" s="12">
        <v>443</v>
      </c>
      <c r="L21" s="12" t="s">
        <v>2228</v>
      </c>
      <c r="M21" s="10">
        <v>1416449030</v>
      </c>
      <c r="N21" s="10">
        <v>184388</v>
      </c>
      <c r="O21" s="12">
        <v>16</v>
      </c>
    </row>
    <row r="22" spans="1:15" ht="27" x14ac:dyDescent="0.3">
      <c r="A22" s="9">
        <v>43498</v>
      </c>
      <c r="B22" s="12">
        <v>18</v>
      </c>
      <c r="C22" s="11">
        <v>3.0000000000000001E-3</v>
      </c>
      <c r="D22" s="12">
        <v>21</v>
      </c>
      <c r="E22" s="11">
        <v>1E-3</v>
      </c>
      <c r="F22" s="10">
        <v>3260</v>
      </c>
      <c r="G22" s="11">
        <v>1E-3</v>
      </c>
      <c r="H22" s="11">
        <v>0.17899999999999999</v>
      </c>
      <c r="I22" s="10">
        <v>4334200</v>
      </c>
      <c r="J22" s="12" t="s">
        <v>2229</v>
      </c>
      <c r="K22" s="12">
        <v>584</v>
      </c>
      <c r="L22" s="12" t="s">
        <v>2230</v>
      </c>
      <c r="M22" s="10">
        <v>1420783230</v>
      </c>
      <c r="N22" s="10">
        <v>184972</v>
      </c>
      <c r="O22" s="12">
        <v>19</v>
      </c>
    </row>
    <row r="23" spans="1:15" ht="27" x14ac:dyDescent="0.3">
      <c r="A23" s="9">
        <v>43499</v>
      </c>
      <c r="B23" s="12">
        <v>16</v>
      </c>
      <c r="C23" s="11">
        <v>3.0000000000000001E-3</v>
      </c>
      <c r="D23" s="12">
        <v>17</v>
      </c>
      <c r="E23" s="11">
        <v>1E-3</v>
      </c>
      <c r="F23" s="10">
        <v>2813</v>
      </c>
      <c r="G23" s="11">
        <v>1E-3</v>
      </c>
      <c r="H23" s="11">
        <v>0.187</v>
      </c>
      <c r="I23" s="10">
        <v>4458200</v>
      </c>
      <c r="J23" s="12" t="s">
        <v>2231</v>
      </c>
      <c r="K23" s="12">
        <v>526</v>
      </c>
      <c r="L23" s="12" t="s">
        <v>2232</v>
      </c>
      <c r="M23" s="10">
        <v>1425241430</v>
      </c>
      <c r="N23" s="10">
        <v>185498</v>
      </c>
      <c r="O23" s="12">
        <v>19</v>
      </c>
    </row>
    <row r="24" spans="1:15" ht="27" x14ac:dyDescent="0.3">
      <c r="A24" s="9">
        <v>43500</v>
      </c>
      <c r="B24" s="12">
        <v>11</v>
      </c>
      <c r="C24" s="11">
        <v>2E-3</v>
      </c>
      <c r="D24" s="12">
        <v>14</v>
      </c>
      <c r="E24" s="11">
        <v>1E-3</v>
      </c>
      <c r="F24" s="10">
        <v>1439</v>
      </c>
      <c r="G24" s="11">
        <v>0</v>
      </c>
      <c r="H24" s="11">
        <v>0.27300000000000002</v>
      </c>
      <c r="I24" s="10">
        <v>3197700</v>
      </c>
      <c r="J24" s="12" t="s">
        <v>2233</v>
      </c>
      <c r="K24" s="12">
        <v>393</v>
      </c>
      <c r="L24" s="12" t="s">
        <v>2234</v>
      </c>
      <c r="M24" s="10">
        <v>1428439130</v>
      </c>
      <c r="N24" s="10">
        <v>185891</v>
      </c>
      <c r="O24" s="12">
        <v>19</v>
      </c>
    </row>
    <row r="25" spans="1:15" ht="27" x14ac:dyDescent="0.3">
      <c r="A25" s="9">
        <v>43501</v>
      </c>
      <c r="B25" s="12">
        <v>6</v>
      </c>
      <c r="C25" s="11">
        <v>1E-3</v>
      </c>
      <c r="D25" s="12">
        <v>10</v>
      </c>
      <c r="E25" s="11">
        <v>0</v>
      </c>
      <c r="F25" s="12">
        <v>888</v>
      </c>
      <c r="G25" s="11">
        <v>0</v>
      </c>
      <c r="H25" s="11">
        <v>0.214</v>
      </c>
      <c r="I25" s="10">
        <v>1410500</v>
      </c>
      <c r="J25" s="12" t="s">
        <v>2235</v>
      </c>
      <c r="K25" s="12">
        <v>190</v>
      </c>
      <c r="L25" s="12" t="s">
        <v>2236</v>
      </c>
      <c r="M25" s="10">
        <v>1429849630</v>
      </c>
      <c r="N25" s="10">
        <v>186081</v>
      </c>
      <c r="O25" s="12">
        <v>21</v>
      </c>
    </row>
    <row r="26" spans="1:15" ht="27" x14ac:dyDescent="0.3">
      <c r="A26" s="9">
        <v>43502</v>
      </c>
      <c r="B26" s="12">
        <v>5</v>
      </c>
      <c r="C26" s="11">
        <v>1E-3</v>
      </c>
      <c r="D26" s="12">
        <v>7</v>
      </c>
      <c r="E26" s="11">
        <v>0</v>
      </c>
      <c r="F26" s="12">
        <v>951</v>
      </c>
      <c r="G26" s="11">
        <v>0</v>
      </c>
      <c r="H26" s="11">
        <v>0.26100000000000001</v>
      </c>
      <c r="I26" s="10">
        <v>2468500</v>
      </c>
      <c r="J26" s="12" t="s">
        <v>2237</v>
      </c>
      <c r="K26" s="12">
        <v>248</v>
      </c>
      <c r="L26" s="12" t="s">
        <v>2238</v>
      </c>
      <c r="M26" s="10">
        <v>1432318130</v>
      </c>
      <c r="N26" s="10">
        <v>186329</v>
      </c>
      <c r="O26" s="12">
        <v>24</v>
      </c>
    </row>
    <row r="27" spans="1:15" ht="27" x14ac:dyDescent="0.3">
      <c r="A27" s="9">
        <v>43503</v>
      </c>
      <c r="B27" s="12">
        <v>6</v>
      </c>
      <c r="C27" s="11">
        <v>1E-3</v>
      </c>
      <c r="D27" s="12">
        <v>6</v>
      </c>
      <c r="E27" s="11">
        <v>0</v>
      </c>
      <c r="F27" s="12">
        <v>936</v>
      </c>
      <c r="G27" s="11">
        <v>0</v>
      </c>
      <c r="H27" s="11">
        <v>0.214</v>
      </c>
      <c r="I27" s="10">
        <v>1051000</v>
      </c>
      <c r="J27" s="12" t="s">
        <v>2239</v>
      </c>
      <c r="K27" s="12">
        <v>200</v>
      </c>
      <c r="L27" s="12" t="s">
        <v>2240</v>
      </c>
      <c r="M27" s="10">
        <v>1433369130</v>
      </c>
      <c r="N27" s="10">
        <v>186529</v>
      </c>
      <c r="O27" s="12">
        <v>23</v>
      </c>
    </row>
    <row r="28" spans="1:15" ht="27" x14ac:dyDescent="0.3">
      <c r="A28" s="9">
        <v>43504</v>
      </c>
      <c r="B28" s="12">
        <v>10</v>
      </c>
      <c r="C28" s="11">
        <v>2E-3</v>
      </c>
      <c r="D28" s="12">
        <v>10</v>
      </c>
      <c r="E28" s="11">
        <v>1E-3</v>
      </c>
      <c r="F28" s="10">
        <v>1082</v>
      </c>
      <c r="G28" s="11">
        <v>0</v>
      </c>
      <c r="H28" s="11">
        <v>0.251</v>
      </c>
      <c r="I28" s="10">
        <v>1499000</v>
      </c>
      <c r="J28" s="12" t="s">
        <v>2241</v>
      </c>
      <c r="K28" s="12">
        <v>272</v>
      </c>
      <c r="L28" s="12" t="s">
        <v>2242</v>
      </c>
      <c r="M28" s="10">
        <v>1434868130</v>
      </c>
      <c r="N28" s="10">
        <v>186801</v>
      </c>
      <c r="O28" s="12">
        <v>25</v>
      </c>
    </row>
    <row r="29" spans="1:15" ht="27" x14ac:dyDescent="0.3">
      <c r="A29" s="9">
        <v>43505</v>
      </c>
      <c r="B29" s="12">
        <v>7</v>
      </c>
      <c r="C29" s="11">
        <v>1E-3</v>
      </c>
      <c r="D29" s="12">
        <v>8</v>
      </c>
      <c r="E29" s="11">
        <v>0</v>
      </c>
      <c r="F29" s="10">
        <v>1106</v>
      </c>
      <c r="G29" s="11">
        <v>0</v>
      </c>
      <c r="H29" s="11">
        <v>0.42099999999999999</v>
      </c>
      <c r="I29" s="10">
        <v>4466000</v>
      </c>
      <c r="J29" s="12" t="s">
        <v>2243</v>
      </c>
      <c r="K29" s="12">
        <v>466</v>
      </c>
      <c r="L29" s="12" t="s">
        <v>2244</v>
      </c>
      <c r="M29" s="10">
        <v>1439334130</v>
      </c>
      <c r="N29" s="10">
        <v>187267</v>
      </c>
      <c r="O29" s="12">
        <v>21</v>
      </c>
    </row>
    <row r="30" spans="1:15" ht="27" x14ac:dyDescent="0.3">
      <c r="A30" s="9">
        <v>43506</v>
      </c>
      <c r="B30" s="12">
        <v>6</v>
      </c>
      <c r="C30" s="11">
        <v>1E-3</v>
      </c>
      <c r="D30" s="12">
        <v>7</v>
      </c>
      <c r="E30" s="11">
        <v>0</v>
      </c>
      <c r="F30" s="10">
        <v>2148</v>
      </c>
      <c r="G30" s="11">
        <v>1E-3</v>
      </c>
      <c r="H30" s="11">
        <v>8.3000000000000004E-2</v>
      </c>
      <c r="I30" s="10">
        <v>1184700</v>
      </c>
      <c r="J30" s="12" t="s">
        <v>2245</v>
      </c>
      <c r="K30" s="12">
        <v>179</v>
      </c>
      <c r="L30" s="12" t="s">
        <v>2246</v>
      </c>
      <c r="M30" s="10">
        <v>1440518830</v>
      </c>
      <c r="N30" s="10">
        <v>187446</v>
      </c>
      <c r="O30" s="12">
        <v>27</v>
      </c>
    </row>
    <row r="31" spans="1:15" ht="27" x14ac:dyDescent="0.3">
      <c r="A31" s="9">
        <v>43507</v>
      </c>
      <c r="B31" s="12">
        <v>4</v>
      </c>
      <c r="C31" s="11">
        <v>1E-3</v>
      </c>
      <c r="D31" s="12">
        <v>5</v>
      </c>
      <c r="E31" s="11">
        <v>0</v>
      </c>
      <c r="F31" s="12">
        <v>625</v>
      </c>
      <c r="G31" s="11">
        <v>0</v>
      </c>
      <c r="H31" s="11">
        <v>0.21099999999999999</v>
      </c>
      <c r="I31" s="10">
        <v>775600</v>
      </c>
      <c r="J31" s="12" t="s">
        <v>2247</v>
      </c>
      <c r="K31" s="12">
        <v>132</v>
      </c>
      <c r="L31" s="12" t="s">
        <v>2248</v>
      </c>
      <c r="M31" s="10">
        <v>1441294430</v>
      </c>
      <c r="N31" s="10">
        <v>187578</v>
      </c>
      <c r="O31" s="12">
        <v>28</v>
      </c>
    </row>
    <row r="32" spans="1:15" ht="27" x14ac:dyDescent="0.3">
      <c r="A32" s="9">
        <v>43508</v>
      </c>
      <c r="B32" s="12">
        <v>5</v>
      </c>
      <c r="C32" s="11">
        <v>1E-3</v>
      </c>
      <c r="D32" s="12">
        <v>6</v>
      </c>
      <c r="E32" s="11">
        <v>0</v>
      </c>
      <c r="F32" s="12">
        <v>589</v>
      </c>
      <c r="G32" s="11">
        <v>0</v>
      </c>
      <c r="H32" s="11">
        <v>0.18</v>
      </c>
      <c r="I32" s="10">
        <v>663300</v>
      </c>
      <c r="J32" s="12" t="s">
        <v>2249</v>
      </c>
      <c r="K32" s="12">
        <v>106</v>
      </c>
      <c r="L32" s="12" t="s">
        <v>2250</v>
      </c>
      <c r="M32" s="10">
        <v>1441957730</v>
      </c>
      <c r="N32" s="10">
        <v>187684</v>
      </c>
      <c r="O32" s="12">
        <v>37</v>
      </c>
    </row>
    <row r="33" spans="1:15" ht="27" x14ac:dyDescent="0.3">
      <c r="A33" s="9">
        <v>43509</v>
      </c>
      <c r="B33" s="12">
        <v>4</v>
      </c>
      <c r="C33" s="11">
        <v>1E-3</v>
      </c>
      <c r="D33" s="12">
        <v>5</v>
      </c>
      <c r="E33" s="11">
        <v>0</v>
      </c>
      <c r="F33" s="12">
        <v>640</v>
      </c>
      <c r="G33" s="11">
        <v>0</v>
      </c>
      <c r="H33" s="11">
        <v>0.17499999999999999</v>
      </c>
      <c r="I33" s="10">
        <v>699600</v>
      </c>
      <c r="J33" s="12" t="s">
        <v>2251</v>
      </c>
      <c r="K33" s="12">
        <v>112</v>
      </c>
      <c r="L33" s="12" t="s">
        <v>2252</v>
      </c>
      <c r="M33" s="10">
        <v>1442657330</v>
      </c>
      <c r="N33" s="10">
        <v>187796</v>
      </c>
      <c r="O33" s="12">
        <v>46</v>
      </c>
    </row>
    <row r="34" spans="1:15" ht="27" x14ac:dyDescent="0.3">
      <c r="A34" s="9">
        <v>43510</v>
      </c>
      <c r="B34" s="12">
        <v>4</v>
      </c>
      <c r="C34" s="11">
        <v>1E-3</v>
      </c>
      <c r="D34" s="12">
        <v>5</v>
      </c>
      <c r="E34" s="11">
        <v>0</v>
      </c>
      <c r="F34" s="12">
        <v>565</v>
      </c>
      <c r="G34" s="11">
        <v>0</v>
      </c>
      <c r="H34" s="11">
        <v>0.14000000000000001</v>
      </c>
      <c r="I34" s="10">
        <v>438000</v>
      </c>
      <c r="J34" s="12" t="s">
        <v>2253</v>
      </c>
      <c r="K34" s="12">
        <v>79</v>
      </c>
      <c r="L34" s="12" t="s">
        <v>2254</v>
      </c>
      <c r="M34" s="10">
        <v>1443095330</v>
      </c>
      <c r="N34" s="10">
        <v>187875</v>
      </c>
      <c r="O34" s="12">
        <v>50</v>
      </c>
    </row>
    <row r="35" spans="1:15" ht="27" x14ac:dyDescent="0.3">
      <c r="A35" s="9">
        <v>43511</v>
      </c>
      <c r="B35" s="12">
        <v>3</v>
      </c>
      <c r="C35" s="11">
        <v>0</v>
      </c>
      <c r="D35" s="12">
        <v>4</v>
      </c>
      <c r="E35" s="11">
        <v>0</v>
      </c>
      <c r="F35" s="12">
        <v>479</v>
      </c>
      <c r="G35" s="11">
        <v>0</v>
      </c>
      <c r="H35" s="11">
        <v>0.18</v>
      </c>
      <c r="I35" s="10">
        <v>513000</v>
      </c>
      <c r="J35" s="12" t="s">
        <v>2255</v>
      </c>
      <c r="K35" s="12">
        <v>86</v>
      </c>
      <c r="L35" s="12" t="s">
        <v>2256</v>
      </c>
      <c r="M35" s="10">
        <v>1443608330</v>
      </c>
      <c r="N35" s="10">
        <v>187961</v>
      </c>
      <c r="O35" s="12">
        <v>36</v>
      </c>
    </row>
    <row r="36" spans="1:15" ht="27" x14ac:dyDescent="0.3">
      <c r="A36" s="9">
        <v>43512</v>
      </c>
      <c r="B36" s="12">
        <v>4</v>
      </c>
      <c r="C36" s="11">
        <v>1E-3</v>
      </c>
      <c r="D36" s="12">
        <v>4</v>
      </c>
      <c r="E36" s="11">
        <v>0</v>
      </c>
      <c r="F36" s="12">
        <v>496</v>
      </c>
      <c r="G36" s="11">
        <v>0</v>
      </c>
      <c r="H36" s="11">
        <v>0.16500000000000001</v>
      </c>
      <c r="I36" s="10">
        <v>629000</v>
      </c>
      <c r="J36" s="12" t="s">
        <v>2257</v>
      </c>
      <c r="K36" s="12">
        <v>82</v>
      </c>
      <c r="L36" s="12" t="s">
        <v>2258</v>
      </c>
      <c r="M36" s="10">
        <v>1444237330</v>
      </c>
      <c r="N36" s="10">
        <v>188043</v>
      </c>
      <c r="O36" s="12">
        <v>39</v>
      </c>
    </row>
    <row r="37" spans="1:15" ht="27" x14ac:dyDescent="0.3">
      <c r="A37" s="9">
        <v>43513</v>
      </c>
      <c r="B37" s="12">
        <v>5</v>
      </c>
      <c r="C37" s="11">
        <v>1E-3</v>
      </c>
      <c r="D37" s="12">
        <v>5</v>
      </c>
      <c r="E37" s="11">
        <v>0</v>
      </c>
      <c r="F37" s="12">
        <v>893</v>
      </c>
      <c r="G37" s="11">
        <v>0</v>
      </c>
      <c r="H37" s="11">
        <v>7.8E-2</v>
      </c>
      <c r="I37" s="10">
        <v>470000</v>
      </c>
      <c r="J37" s="12" t="s">
        <v>2259</v>
      </c>
      <c r="K37" s="12">
        <v>70</v>
      </c>
      <c r="L37" s="12" t="s">
        <v>2260</v>
      </c>
      <c r="M37" s="10">
        <v>1444707330</v>
      </c>
      <c r="N37" s="10">
        <v>188113</v>
      </c>
      <c r="O37" s="12">
        <v>45</v>
      </c>
    </row>
    <row r="38" spans="1:15" ht="27" x14ac:dyDescent="0.3">
      <c r="A38" s="9">
        <v>43514</v>
      </c>
      <c r="B38" s="12">
        <v>4</v>
      </c>
      <c r="C38" s="11">
        <v>1E-3</v>
      </c>
      <c r="D38" s="12">
        <v>4</v>
      </c>
      <c r="E38" s="11">
        <v>0</v>
      </c>
      <c r="F38" s="12">
        <v>496</v>
      </c>
      <c r="G38" s="11">
        <v>0</v>
      </c>
      <c r="H38" s="11">
        <v>0.121</v>
      </c>
      <c r="I38" s="10">
        <v>305000</v>
      </c>
      <c r="J38" s="12" t="s">
        <v>2261</v>
      </c>
      <c r="K38" s="12">
        <v>60</v>
      </c>
      <c r="L38" s="12" t="s">
        <v>2262</v>
      </c>
      <c r="M38" s="10">
        <v>1445012330</v>
      </c>
      <c r="N38" s="10">
        <v>188173</v>
      </c>
      <c r="O38" s="12">
        <v>43</v>
      </c>
    </row>
    <row r="39" spans="1:15" ht="27" x14ac:dyDescent="0.3">
      <c r="A39" s="9">
        <v>43515</v>
      </c>
      <c r="B39" s="12">
        <v>5</v>
      </c>
      <c r="C39" s="11">
        <v>1E-3</v>
      </c>
      <c r="D39" s="12">
        <v>5</v>
      </c>
      <c r="E39" s="11">
        <v>0</v>
      </c>
      <c r="F39" s="12">
        <v>619</v>
      </c>
      <c r="G39" s="11">
        <v>0</v>
      </c>
      <c r="H39" s="11">
        <v>0.318</v>
      </c>
      <c r="I39" s="10">
        <v>1223000</v>
      </c>
      <c r="J39" s="12" t="s">
        <v>2263</v>
      </c>
      <c r="K39" s="12">
        <v>197</v>
      </c>
      <c r="L39" s="12" t="s">
        <v>2264</v>
      </c>
      <c r="M39" s="10">
        <v>1446235330</v>
      </c>
      <c r="N39" s="10">
        <v>188370</v>
      </c>
      <c r="O39" s="12">
        <v>34</v>
      </c>
    </row>
    <row r="40" spans="1:15" ht="27" x14ac:dyDescent="0.3">
      <c r="A40" s="9">
        <v>43516</v>
      </c>
      <c r="B40" s="12">
        <v>3</v>
      </c>
      <c r="C40" s="11">
        <v>0</v>
      </c>
      <c r="D40" s="12">
        <v>4</v>
      </c>
      <c r="E40" s="11">
        <v>0</v>
      </c>
      <c r="F40" s="12">
        <v>542</v>
      </c>
      <c r="G40" s="11">
        <v>0</v>
      </c>
      <c r="H40" s="11">
        <v>7.0000000000000007E-2</v>
      </c>
      <c r="I40" s="10">
        <v>262000</v>
      </c>
      <c r="J40" s="12" t="s">
        <v>2265</v>
      </c>
      <c r="K40" s="12">
        <v>38</v>
      </c>
      <c r="L40" s="12" t="s">
        <v>2266</v>
      </c>
      <c r="M40" s="10">
        <v>1446497330</v>
      </c>
      <c r="N40" s="10">
        <v>188408</v>
      </c>
      <c r="O40" s="12">
        <v>58</v>
      </c>
    </row>
    <row r="41" spans="1:15" ht="27" x14ac:dyDescent="0.3">
      <c r="A41" s="9">
        <v>43517</v>
      </c>
      <c r="B41" s="12">
        <v>2</v>
      </c>
      <c r="C41" s="11">
        <v>0</v>
      </c>
      <c r="D41" s="12">
        <v>2</v>
      </c>
      <c r="E41" s="11">
        <v>0</v>
      </c>
      <c r="F41" s="12">
        <v>207</v>
      </c>
      <c r="G41" s="11">
        <v>0</v>
      </c>
      <c r="H41" s="11">
        <v>0.159</v>
      </c>
      <c r="I41" s="10">
        <v>194000</v>
      </c>
      <c r="J41" s="12" t="s">
        <v>2267</v>
      </c>
      <c r="K41" s="12">
        <v>33</v>
      </c>
      <c r="L41" s="12" t="s">
        <v>2268</v>
      </c>
      <c r="M41" s="10">
        <v>1446691330</v>
      </c>
      <c r="N41" s="10">
        <v>188441</v>
      </c>
      <c r="O41" s="12">
        <v>67</v>
      </c>
    </row>
    <row r="42" spans="1:15" ht="27" x14ac:dyDescent="0.3">
      <c r="A42" s="9">
        <v>43518</v>
      </c>
      <c r="B42" s="12">
        <v>3</v>
      </c>
      <c r="C42" s="11">
        <v>0</v>
      </c>
      <c r="D42" s="12">
        <v>3</v>
      </c>
      <c r="E42" s="11">
        <v>0</v>
      </c>
      <c r="F42" s="12">
        <v>593</v>
      </c>
      <c r="G42" s="11">
        <v>0</v>
      </c>
      <c r="H42" s="11">
        <v>3.2000000000000001E-2</v>
      </c>
      <c r="I42" s="10">
        <v>108000</v>
      </c>
      <c r="J42" s="12" t="s">
        <v>2269</v>
      </c>
      <c r="K42" s="12">
        <v>19</v>
      </c>
      <c r="L42" s="12" t="s">
        <v>2270</v>
      </c>
      <c r="M42" s="10">
        <v>1446799330</v>
      </c>
      <c r="N42" s="10">
        <v>188460</v>
      </c>
      <c r="O42" s="12">
        <v>64</v>
      </c>
    </row>
    <row r="43" spans="1:15" ht="27" x14ac:dyDescent="0.3">
      <c r="A43" s="9">
        <v>43519</v>
      </c>
      <c r="B43" s="12">
        <v>3</v>
      </c>
      <c r="C43" s="11">
        <v>0</v>
      </c>
      <c r="D43" s="12">
        <v>3</v>
      </c>
      <c r="E43" s="11">
        <v>0</v>
      </c>
      <c r="F43" s="12">
        <v>434</v>
      </c>
      <c r="G43" s="11">
        <v>0</v>
      </c>
      <c r="H43" s="11">
        <v>0.48199999999999998</v>
      </c>
      <c r="I43" s="10">
        <v>1336000</v>
      </c>
      <c r="J43" s="12" t="s">
        <v>2271</v>
      </c>
      <c r="K43" s="12">
        <v>209</v>
      </c>
      <c r="L43" s="12" t="s">
        <v>2272</v>
      </c>
      <c r="M43" s="10">
        <v>1448135330</v>
      </c>
      <c r="N43" s="10">
        <v>188669</v>
      </c>
      <c r="O43" s="12">
        <v>41</v>
      </c>
    </row>
    <row r="44" spans="1:15" ht="27" x14ac:dyDescent="0.3">
      <c r="A44" s="9">
        <v>43520</v>
      </c>
      <c r="B44" s="12">
        <v>5</v>
      </c>
      <c r="C44" s="11">
        <v>1E-3</v>
      </c>
      <c r="D44" s="12">
        <v>6</v>
      </c>
      <c r="E44" s="11">
        <v>0</v>
      </c>
      <c r="F44" s="10">
        <v>1365</v>
      </c>
      <c r="G44" s="11">
        <v>0</v>
      </c>
      <c r="H44" s="11">
        <v>0.16300000000000001</v>
      </c>
      <c r="I44" s="10">
        <v>2323000</v>
      </c>
      <c r="J44" s="12" t="s">
        <v>2273</v>
      </c>
      <c r="K44" s="12">
        <v>223</v>
      </c>
      <c r="L44" s="12" t="s">
        <v>2274</v>
      </c>
      <c r="M44" s="10">
        <v>1450458330</v>
      </c>
      <c r="N44" s="10">
        <v>188892</v>
      </c>
      <c r="O44" s="12">
        <v>38</v>
      </c>
    </row>
    <row r="45" spans="1:15" ht="27" x14ac:dyDescent="0.3">
      <c r="A45" s="9">
        <v>43521</v>
      </c>
      <c r="B45" s="12">
        <v>3</v>
      </c>
      <c r="C45" s="11">
        <v>0</v>
      </c>
      <c r="D45" s="12">
        <v>3</v>
      </c>
      <c r="E45" s="11">
        <v>0</v>
      </c>
      <c r="F45" s="12">
        <v>434</v>
      </c>
      <c r="G45" s="11">
        <v>0</v>
      </c>
      <c r="H45" s="11">
        <v>5.0999999999999997E-2</v>
      </c>
      <c r="I45" s="10">
        <v>133000</v>
      </c>
      <c r="J45" s="12" t="s">
        <v>2275</v>
      </c>
      <c r="K45" s="12">
        <v>22</v>
      </c>
      <c r="L45" s="12" t="s">
        <v>2276</v>
      </c>
      <c r="M45" s="10">
        <v>1450591330</v>
      </c>
      <c r="N45" s="10">
        <v>188914</v>
      </c>
      <c r="O45" s="12">
        <v>65</v>
      </c>
    </row>
    <row r="46" spans="1:15" ht="27" x14ac:dyDescent="0.3">
      <c r="A46" s="9">
        <v>43522</v>
      </c>
      <c r="B46" s="12">
        <v>15</v>
      </c>
      <c r="C46" s="11">
        <v>2E-3</v>
      </c>
      <c r="D46" s="12">
        <v>15</v>
      </c>
      <c r="E46" s="11">
        <v>1E-3</v>
      </c>
      <c r="F46" s="10">
        <v>2332</v>
      </c>
      <c r="G46" s="11">
        <v>1E-3</v>
      </c>
      <c r="H46" s="11">
        <v>0.13400000000000001</v>
      </c>
      <c r="I46" s="10">
        <v>1639000</v>
      </c>
      <c r="J46" s="12" t="s">
        <v>2277</v>
      </c>
      <c r="K46" s="12">
        <v>312</v>
      </c>
      <c r="L46" s="12" t="s">
        <v>2278</v>
      </c>
      <c r="M46" s="10">
        <v>1452230330</v>
      </c>
      <c r="N46" s="10">
        <v>189226</v>
      </c>
      <c r="O46" s="12">
        <v>39</v>
      </c>
    </row>
    <row r="47" spans="1:15" ht="27" x14ac:dyDescent="0.3">
      <c r="A47" s="9">
        <v>43523</v>
      </c>
      <c r="B47" s="12">
        <v>9</v>
      </c>
      <c r="C47" s="11">
        <v>1E-3</v>
      </c>
      <c r="D47" s="12">
        <v>9</v>
      </c>
      <c r="E47" s="11">
        <v>0</v>
      </c>
      <c r="F47" s="10">
        <v>1554</v>
      </c>
      <c r="G47" s="11">
        <v>1E-3</v>
      </c>
      <c r="H47" s="11">
        <v>0.16</v>
      </c>
      <c r="I47" s="10">
        <v>1333000</v>
      </c>
      <c r="J47" s="12" t="s">
        <v>2279</v>
      </c>
      <c r="K47" s="12">
        <v>249</v>
      </c>
      <c r="L47" s="12" t="s">
        <v>2280</v>
      </c>
      <c r="M47" s="10">
        <v>1453563330</v>
      </c>
      <c r="N47" s="10">
        <v>189475</v>
      </c>
      <c r="O47" s="12">
        <v>39</v>
      </c>
    </row>
    <row r="48" spans="1:15" ht="27" x14ac:dyDescent="0.3">
      <c r="A48" s="9">
        <v>43524</v>
      </c>
      <c r="B48" s="12">
        <v>4</v>
      </c>
      <c r="C48" s="11">
        <v>1E-3</v>
      </c>
      <c r="D48" s="12">
        <v>4</v>
      </c>
      <c r="E48" s="11">
        <v>0</v>
      </c>
      <c r="F48" s="12">
        <v>836</v>
      </c>
      <c r="G48" s="11">
        <v>0</v>
      </c>
      <c r="H48" s="11">
        <v>1.2999999999999999E-2</v>
      </c>
      <c r="I48" s="10">
        <v>58000</v>
      </c>
      <c r="J48" s="12" t="s">
        <v>2281</v>
      </c>
      <c r="K48" s="12">
        <v>11</v>
      </c>
      <c r="L48" s="12" t="s">
        <v>2282</v>
      </c>
      <c r="M48" s="10">
        <v>1453621330</v>
      </c>
      <c r="N48" s="10">
        <v>189486</v>
      </c>
      <c r="O48" s="12">
        <v>82</v>
      </c>
    </row>
    <row r="49" spans="1:15" ht="27" x14ac:dyDescent="0.3">
      <c r="A49" s="9">
        <v>43525</v>
      </c>
      <c r="B49" s="12">
        <v>4</v>
      </c>
      <c r="C49" s="11">
        <v>1E-3</v>
      </c>
      <c r="D49" s="12">
        <v>4</v>
      </c>
      <c r="E49" s="11">
        <v>0</v>
      </c>
      <c r="F49" s="12">
        <v>493</v>
      </c>
      <c r="G49" s="11">
        <v>0</v>
      </c>
      <c r="H49" s="11">
        <v>9.0999999999999998E-2</v>
      </c>
      <c r="I49" s="10">
        <v>289000</v>
      </c>
      <c r="J49" s="12" t="s">
        <v>2283</v>
      </c>
      <c r="K49" s="12">
        <v>45</v>
      </c>
      <c r="L49" s="12" t="s">
        <v>2284</v>
      </c>
      <c r="M49" s="10">
        <v>1453910330</v>
      </c>
      <c r="N49" s="10">
        <v>189531</v>
      </c>
      <c r="O49" s="12">
        <v>58</v>
      </c>
    </row>
    <row r="50" spans="1:15" ht="27" x14ac:dyDescent="0.3">
      <c r="A50" s="9">
        <v>43526</v>
      </c>
      <c r="B50" s="12">
        <v>4</v>
      </c>
      <c r="C50" s="11">
        <v>1E-3</v>
      </c>
      <c r="D50" s="12">
        <v>4</v>
      </c>
      <c r="E50" s="11">
        <v>0</v>
      </c>
      <c r="F50" s="12">
        <v>839</v>
      </c>
      <c r="G50" s="11">
        <v>0</v>
      </c>
      <c r="H50" s="11">
        <v>0.06</v>
      </c>
      <c r="I50" s="10">
        <v>310000</v>
      </c>
      <c r="J50" s="12" t="s">
        <v>2285</v>
      </c>
      <c r="K50" s="12">
        <v>50</v>
      </c>
      <c r="L50" s="12" t="s">
        <v>2286</v>
      </c>
      <c r="M50" s="10">
        <v>1454220330</v>
      </c>
      <c r="N50" s="10">
        <v>189581</v>
      </c>
      <c r="O50" s="12">
        <v>61</v>
      </c>
    </row>
    <row r="51" spans="1:15" ht="27" x14ac:dyDescent="0.3">
      <c r="A51" s="9">
        <v>43527</v>
      </c>
      <c r="B51" s="12">
        <v>6</v>
      </c>
      <c r="C51" s="11">
        <v>1E-3</v>
      </c>
      <c r="D51" s="12">
        <v>7</v>
      </c>
      <c r="E51" s="11">
        <v>0</v>
      </c>
      <c r="F51" s="10">
        <v>1475</v>
      </c>
      <c r="G51" s="11">
        <v>0</v>
      </c>
      <c r="H51" s="11">
        <v>1.6E-2</v>
      </c>
      <c r="I51" s="10">
        <v>176000</v>
      </c>
      <c r="J51" s="12" t="s">
        <v>2287</v>
      </c>
      <c r="K51" s="12">
        <v>24</v>
      </c>
      <c r="L51" s="12" t="s">
        <v>2288</v>
      </c>
      <c r="M51" s="10">
        <v>1454396330</v>
      </c>
      <c r="N51" s="10">
        <v>189605</v>
      </c>
      <c r="O51" s="12">
        <v>61</v>
      </c>
    </row>
    <row r="52" spans="1:15" ht="27" x14ac:dyDescent="0.3">
      <c r="A52" s="9">
        <v>43528</v>
      </c>
      <c r="B52" s="12">
        <v>3</v>
      </c>
      <c r="C52" s="11">
        <v>1E-3</v>
      </c>
      <c r="D52" s="12">
        <v>3</v>
      </c>
      <c r="E52" s="11">
        <v>0</v>
      </c>
      <c r="F52" s="12">
        <v>482</v>
      </c>
      <c r="G52" s="11">
        <v>0</v>
      </c>
      <c r="H52" s="11">
        <v>8.0000000000000002E-3</v>
      </c>
      <c r="I52" s="10">
        <v>29000</v>
      </c>
      <c r="J52" s="12" t="s">
        <v>2289</v>
      </c>
      <c r="K52" s="12">
        <v>4</v>
      </c>
      <c r="L52" s="12" t="s">
        <v>2290</v>
      </c>
      <c r="M52" s="10">
        <v>1454425330</v>
      </c>
      <c r="N52" s="10">
        <v>189609</v>
      </c>
      <c r="O52" s="12">
        <v>68</v>
      </c>
    </row>
    <row r="53" spans="1:15" ht="27" x14ac:dyDescent="0.3">
      <c r="A53" s="9">
        <v>43529</v>
      </c>
      <c r="B53" s="12">
        <v>4</v>
      </c>
      <c r="C53" s="11">
        <v>1E-3</v>
      </c>
      <c r="D53" s="12">
        <v>5</v>
      </c>
      <c r="E53" s="11">
        <v>0</v>
      </c>
      <c r="F53" s="12">
        <v>602</v>
      </c>
      <c r="G53" s="11">
        <v>0</v>
      </c>
      <c r="H53" s="11">
        <v>1.4999999999999999E-2</v>
      </c>
      <c r="I53" s="10">
        <v>70000</v>
      </c>
      <c r="J53" s="12" t="s">
        <v>2291</v>
      </c>
      <c r="K53" s="12">
        <v>9</v>
      </c>
      <c r="L53" s="12" t="s">
        <v>2292</v>
      </c>
      <c r="M53" s="10">
        <v>1454495330</v>
      </c>
      <c r="N53" s="10">
        <v>189618</v>
      </c>
      <c r="O53" s="12">
        <v>69</v>
      </c>
    </row>
    <row r="54" spans="1:15" ht="27" x14ac:dyDescent="0.3">
      <c r="A54" s="9">
        <v>43530</v>
      </c>
      <c r="B54" s="12">
        <v>5</v>
      </c>
      <c r="C54" s="11">
        <v>1E-3</v>
      </c>
      <c r="D54" s="12">
        <v>5</v>
      </c>
      <c r="E54" s="11">
        <v>0</v>
      </c>
      <c r="F54" s="12">
        <v>764</v>
      </c>
      <c r="G54" s="11">
        <v>0</v>
      </c>
      <c r="H54" s="11">
        <v>1.4E-2</v>
      </c>
      <c r="I54" s="10">
        <v>88000</v>
      </c>
      <c r="J54" s="12" t="s">
        <v>2293</v>
      </c>
      <c r="K54" s="12">
        <v>11</v>
      </c>
      <c r="L54" s="12" t="s">
        <v>1299</v>
      </c>
      <c r="M54" s="10">
        <v>1454583330</v>
      </c>
      <c r="N54" s="10">
        <v>189629</v>
      </c>
      <c r="O54" s="12">
        <v>64</v>
      </c>
    </row>
    <row r="55" spans="1:15" ht="27" x14ac:dyDescent="0.3">
      <c r="A55" s="9">
        <v>43531</v>
      </c>
      <c r="B55" s="12">
        <v>4</v>
      </c>
      <c r="C55" s="11">
        <v>1E-3</v>
      </c>
      <c r="D55" s="12">
        <v>4</v>
      </c>
      <c r="E55" s="11">
        <v>0</v>
      </c>
      <c r="F55" s="12">
        <v>721</v>
      </c>
      <c r="G55" s="11">
        <v>0</v>
      </c>
      <c r="H55" s="11">
        <v>8.0000000000000002E-3</v>
      </c>
      <c r="I55" s="10">
        <v>41000</v>
      </c>
      <c r="J55" s="12" t="s">
        <v>2294</v>
      </c>
      <c r="K55" s="12">
        <v>6</v>
      </c>
      <c r="L55" s="12" t="s">
        <v>2295</v>
      </c>
      <c r="M55" s="10">
        <v>1454624330</v>
      </c>
      <c r="N55" s="10">
        <v>189635</v>
      </c>
      <c r="O55" s="12">
        <v>66</v>
      </c>
    </row>
    <row r="56" spans="1:15" ht="27" x14ac:dyDescent="0.3">
      <c r="A56" s="9">
        <v>43532</v>
      </c>
      <c r="B56" s="12">
        <v>3</v>
      </c>
      <c r="C56" s="11">
        <v>1E-3</v>
      </c>
      <c r="D56" s="12">
        <v>3</v>
      </c>
      <c r="E56" s="11">
        <v>0</v>
      </c>
      <c r="F56" s="12">
        <v>511</v>
      </c>
      <c r="G56" s="11">
        <v>0</v>
      </c>
      <c r="H56" s="11">
        <v>1.4E-2</v>
      </c>
      <c r="I56" s="10">
        <v>46000</v>
      </c>
      <c r="J56" s="12" t="s">
        <v>2296</v>
      </c>
      <c r="K56" s="12">
        <v>7</v>
      </c>
      <c r="L56" s="12" t="s">
        <v>2297</v>
      </c>
      <c r="M56" s="10">
        <v>1454670330</v>
      </c>
      <c r="N56" s="10">
        <v>189642</v>
      </c>
      <c r="O56" s="12">
        <v>65</v>
      </c>
    </row>
    <row r="57" spans="1:15" ht="27" x14ac:dyDescent="0.3">
      <c r="A57" s="9">
        <v>43533</v>
      </c>
      <c r="B57" s="12">
        <v>5</v>
      </c>
      <c r="C57" s="11">
        <v>1E-3</v>
      </c>
      <c r="D57" s="12">
        <v>5</v>
      </c>
      <c r="E57" s="11">
        <v>0</v>
      </c>
      <c r="F57" s="12">
        <v>999</v>
      </c>
      <c r="G57" s="11">
        <v>0</v>
      </c>
      <c r="H57" s="11">
        <v>0.309</v>
      </c>
      <c r="I57" s="10">
        <v>2466000</v>
      </c>
      <c r="J57" s="12" t="s">
        <v>2298</v>
      </c>
      <c r="K57" s="12">
        <v>309</v>
      </c>
      <c r="L57" s="12" t="s">
        <v>2299</v>
      </c>
      <c r="M57" s="10">
        <v>1457136330</v>
      </c>
      <c r="N57" s="10">
        <v>189951</v>
      </c>
      <c r="O57" s="12">
        <v>23</v>
      </c>
    </row>
    <row r="58" spans="1:15" ht="27" x14ac:dyDescent="0.3">
      <c r="A58" s="9">
        <v>43534</v>
      </c>
      <c r="B58" s="12">
        <v>4</v>
      </c>
      <c r="C58" s="11">
        <v>1E-3</v>
      </c>
      <c r="D58" s="12">
        <v>4</v>
      </c>
      <c r="E58" s="11">
        <v>0</v>
      </c>
      <c r="F58" s="12">
        <v>735</v>
      </c>
      <c r="G58" s="11">
        <v>0</v>
      </c>
      <c r="H58" s="11">
        <v>1.0999999999999999E-2</v>
      </c>
      <c r="I58" s="10">
        <v>56000</v>
      </c>
      <c r="J58" s="12" t="s">
        <v>2300</v>
      </c>
      <c r="K58" s="12">
        <v>8</v>
      </c>
      <c r="L58" s="12" t="s">
        <v>2301</v>
      </c>
      <c r="M58" s="10">
        <v>1457192330</v>
      </c>
      <c r="N58" s="10">
        <v>189959</v>
      </c>
      <c r="O58" s="12">
        <v>69</v>
      </c>
    </row>
    <row r="59" spans="1:15" ht="27" x14ac:dyDescent="0.3">
      <c r="A59" s="9">
        <v>43535</v>
      </c>
      <c r="B59" s="12">
        <v>4</v>
      </c>
      <c r="C59" s="11">
        <v>1E-3</v>
      </c>
      <c r="D59" s="12">
        <v>4</v>
      </c>
      <c r="E59" s="11">
        <v>0</v>
      </c>
      <c r="F59" s="12">
        <v>559</v>
      </c>
      <c r="G59" s="11">
        <v>0</v>
      </c>
      <c r="H59" s="11">
        <v>7.0000000000000001E-3</v>
      </c>
      <c r="I59" s="10">
        <v>29000</v>
      </c>
      <c r="J59" s="12" t="s">
        <v>2302</v>
      </c>
      <c r="K59" s="12">
        <v>4</v>
      </c>
      <c r="L59" s="12" t="s">
        <v>2303</v>
      </c>
      <c r="M59" s="10">
        <v>1457221330</v>
      </c>
      <c r="N59" s="10">
        <v>189963</v>
      </c>
      <c r="O59" s="12">
        <v>59</v>
      </c>
    </row>
    <row r="60" spans="1:15" ht="27" x14ac:dyDescent="0.3">
      <c r="A60" s="9">
        <v>43536</v>
      </c>
      <c r="B60" s="12">
        <v>1</v>
      </c>
      <c r="C60" s="11">
        <v>0</v>
      </c>
      <c r="D60" s="12">
        <v>1</v>
      </c>
      <c r="E60" s="11">
        <v>0</v>
      </c>
      <c r="F60" s="12">
        <v>40</v>
      </c>
      <c r="G60" s="11">
        <v>0</v>
      </c>
      <c r="H60" s="11">
        <v>0.05</v>
      </c>
      <c r="I60" s="10">
        <v>17000</v>
      </c>
      <c r="J60" s="12" t="s">
        <v>2304</v>
      </c>
      <c r="K60" s="12">
        <v>2</v>
      </c>
      <c r="L60" s="12" t="s">
        <v>306</v>
      </c>
      <c r="M60" s="10">
        <v>1457238330</v>
      </c>
      <c r="N60" s="10">
        <v>189965</v>
      </c>
      <c r="O60" s="12">
        <v>79</v>
      </c>
    </row>
    <row r="61" spans="1:15" ht="27" x14ac:dyDescent="0.3">
      <c r="A61" s="9">
        <v>43537</v>
      </c>
      <c r="B61" s="12">
        <v>2</v>
      </c>
      <c r="C61" s="11">
        <v>0</v>
      </c>
      <c r="D61" s="12">
        <v>2</v>
      </c>
      <c r="E61" s="11">
        <v>0</v>
      </c>
      <c r="F61" s="12">
        <v>363</v>
      </c>
      <c r="G61" s="11">
        <v>0</v>
      </c>
      <c r="H61" s="11">
        <v>0.435</v>
      </c>
      <c r="I61" s="10">
        <v>1261000</v>
      </c>
      <c r="J61" s="12" t="s">
        <v>2305</v>
      </c>
      <c r="K61" s="12">
        <v>158</v>
      </c>
      <c r="L61" s="12" t="s">
        <v>2306</v>
      </c>
      <c r="M61" s="10">
        <v>1458499330</v>
      </c>
      <c r="N61" s="10">
        <v>190123</v>
      </c>
      <c r="O61" s="12">
        <v>29</v>
      </c>
    </row>
    <row r="62" spans="1:15" ht="27" x14ac:dyDescent="0.3">
      <c r="A62" s="9">
        <v>43538</v>
      </c>
      <c r="B62" s="12">
        <v>1</v>
      </c>
      <c r="C62" s="11">
        <v>0</v>
      </c>
      <c r="D62" s="12">
        <v>2</v>
      </c>
      <c r="E62" s="11">
        <v>0</v>
      </c>
      <c r="F62" s="12">
        <v>80</v>
      </c>
      <c r="G62" s="11">
        <v>0</v>
      </c>
      <c r="H62" s="11">
        <v>6.3E-2</v>
      </c>
      <c r="I62" s="10">
        <v>43000</v>
      </c>
      <c r="J62" s="12" t="s">
        <v>2307</v>
      </c>
      <c r="K62" s="12">
        <v>5</v>
      </c>
      <c r="L62" s="12" t="s">
        <v>2308</v>
      </c>
      <c r="M62" s="10">
        <v>1458542330</v>
      </c>
      <c r="N62" s="10">
        <v>190128</v>
      </c>
      <c r="O62" s="12">
        <v>79</v>
      </c>
    </row>
    <row r="63" spans="1:15" ht="27" x14ac:dyDescent="0.3">
      <c r="A63" s="9">
        <v>43539</v>
      </c>
      <c r="B63" s="12">
        <v>2</v>
      </c>
      <c r="C63" s="11">
        <v>0</v>
      </c>
      <c r="D63" s="12">
        <v>2</v>
      </c>
      <c r="E63" s="11">
        <v>0</v>
      </c>
      <c r="F63" s="12">
        <v>596</v>
      </c>
      <c r="G63" s="11">
        <v>0</v>
      </c>
      <c r="H63" s="11">
        <v>5.0000000000000001E-3</v>
      </c>
      <c r="I63" s="10">
        <v>19000</v>
      </c>
      <c r="J63" s="12" t="s">
        <v>2309</v>
      </c>
      <c r="K63" s="12">
        <v>3</v>
      </c>
      <c r="L63" s="12" t="s">
        <v>2310</v>
      </c>
      <c r="M63" s="10">
        <v>1458561330</v>
      </c>
      <c r="N63" s="10">
        <v>190131</v>
      </c>
      <c r="O63" s="12">
        <v>81</v>
      </c>
    </row>
    <row r="64" spans="1:15" ht="27" x14ac:dyDescent="0.3">
      <c r="A64" s="9">
        <v>43540</v>
      </c>
      <c r="B64" s="12">
        <v>3</v>
      </c>
      <c r="C64" s="11">
        <v>0</v>
      </c>
      <c r="D64" s="12">
        <v>3</v>
      </c>
      <c r="E64" s="11">
        <v>0</v>
      </c>
      <c r="F64" s="12">
        <v>553</v>
      </c>
      <c r="G64" s="11">
        <v>0</v>
      </c>
      <c r="H64" s="11">
        <v>0.624</v>
      </c>
      <c r="I64" s="10">
        <v>2760000</v>
      </c>
      <c r="J64" s="12" t="s">
        <v>2311</v>
      </c>
      <c r="K64" s="12">
        <v>345</v>
      </c>
      <c r="L64" s="12" t="s">
        <v>2312</v>
      </c>
      <c r="M64" s="10">
        <v>1461321330</v>
      </c>
      <c r="N64" s="10">
        <v>190476</v>
      </c>
      <c r="O64" s="12">
        <v>27</v>
      </c>
    </row>
    <row r="65" spans="1:15" ht="27" x14ac:dyDescent="0.3">
      <c r="A65" s="9">
        <v>43541</v>
      </c>
      <c r="B65" s="12">
        <v>1</v>
      </c>
      <c r="C65" s="11">
        <v>0</v>
      </c>
      <c r="D65" s="12">
        <v>1</v>
      </c>
      <c r="E65" s="11">
        <v>0</v>
      </c>
      <c r="F65" s="12">
        <v>40</v>
      </c>
      <c r="G65" s="11">
        <v>0</v>
      </c>
      <c r="H65" s="11">
        <v>0.22500000000000001</v>
      </c>
      <c r="I65" s="10">
        <v>63000</v>
      </c>
      <c r="J65" s="12" t="s">
        <v>2313</v>
      </c>
      <c r="K65" s="12">
        <v>9</v>
      </c>
      <c r="L65" s="12" t="s">
        <v>2314</v>
      </c>
      <c r="M65" s="10">
        <v>1461384330</v>
      </c>
      <c r="N65" s="10">
        <v>190485</v>
      </c>
      <c r="O65" s="12">
        <v>87</v>
      </c>
    </row>
    <row r="66" spans="1:15" ht="27" x14ac:dyDescent="0.3">
      <c r="A66" s="9">
        <v>43543</v>
      </c>
      <c r="B66" s="12">
        <v>1</v>
      </c>
      <c r="C66" s="11">
        <v>0</v>
      </c>
      <c r="D66" s="12">
        <v>1</v>
      </c>
      <c r="E66" s="11">
        <v>0</v>
      </c>
      <c r="F66" s="12">
        <v>210</v>
      </c>
      <c r="G66" s="11">
        <v>0</v>
      </c>
      <c r="H66" s="11">
        <v>5.0000000000000001E-3</v>
      </c>
      <c r="I66" s="10">
        <v>8000</v>
      </c>
      <c r="J66" s="12" t="s">
        <v>1406</v>
      </c>
      <c r="K66" s="12">
        <v>1</v>
      </c>
      <c r="L66" s="12" t="s">
        <v>312</v>
      </c>
      <c r="M66" s="10">
        <v>1461392330</v>
      </c>
      <c r="N66" s="10">
        <v>190486</v>
      </c>
      <c r="O66" s="12">
        <v>90</v>
      </c>
    </row>
    <row r="67" spans="1:15" ht="27" x14ac:dyDescent="0.3">
      <c r="A67" s="9">
        <v>43544</v>
      </c>
      <c r="B67" s="12">
        <v>2</v>
      </c>
      <c r="C67" s="11">
        <v>0</v>
      </c>
      <c r="D67" s="12">
        <v>2</v>
      </c>
      <c r="E67" s="11">
        <v>0</v>
      </c>
      <c r="F67" s="12">
        <v>325</v>
      </c>
      <c r="G67" s="11">
        <v>0</v>
      </c>
      <c r="H67" s="11">
        <v>1</v>
      </c>
      <c r="I67" s="10">
        <v>1950000</v>
      </c>
      <c r="J67" s="12" t="s">
        <v>2315</v>
      </c>
      <c r="K67" s="12">
        <v>325</v>
      </c>
      <c r="L67" s="12" t="s">
        <v>2316</v>
      </c>
      <c r="M67" s="10">
        <v>1463342330</v>
      </c>
      <c r="N67" s="10">
        <v>190811</v>
      </c>
      <c r="O67" s="12">
        <v>23</v>
      </c>
    </row>
    <row r="68" spans="1:15" ht="27" x14ac:dyDescent="0.3">
      <c r="A68" s="9">
        <v>43545</v>
      </c>
      <c r="B68" s="12">
        <v>1</v>
      </c>
      <c r="C68" s="11">
        <v>0</v>
      </c>
      <c r="D68" s="12">
        <v>1</v>
      </c>
      <c r="E68" s="11">
        <v>0</v>
      </c>
      <c r="F68" s="12">
        <v>48</v>
      </c>
      <c r="G68" s="11">
        <v>0</v>
      </c>
      <c r="H68" s="11">
        <v>0.188</v>
      </c>
      <c r="I68" s="10">
        <v>83500</v>
      </c>
      <c r="J68" s="12" t="s">
        <v>2317</v>
      </c>
      <c r="K68" s="12">
        <v>9</v>
      </c>
      <c r="L68" s="12" t="s">
        <v>2318</v>
      </c>
      <c r="M68" s="10">
        <v>1463425830</v>
      </c>
      <c r="N68" s="10">
        <v>190820</v>
      </c>
      <c r="O68" s="12">
        <v>77</v>
      </c>
    </row>
    <row r="69" spans="1:15" ht="27" x14ac:dyDescent="0.3">
      <c r="A69" s="9">
        <v>43546</v>
      </c>
      <c r="B69" s="12">
        <v>1</v>
      </c>
      <c r="C69" s="11">
        <v>0</v>
      </c>
      <c r="D69" s="12">
        <v>1</v>
      </c>
      <c r="E69" s="11">
        <v>0</v>
      </c>
      <c r="F69" s="12">
        <v>175</v>
      </c>
      <c r="G69" s="11">
        <v>0</v>
      </c>
      <c r="H69" s="11">
        <v>1</v>
      </c>
      <c r="I69" s="10">
        <v>1400000</v>
      </c>
      <c r="J69" s="12" t="s">
        <v>2319</v>
      </c>
      <c r="K69" s="12">
        <v>175</v>
      </c>
      <c r="L69" s="12" t="s">
        <v>2320</v>
      </c>
      <c r="M69" s="10">
        <v>1464825830</v>
      </c>
      <c r="N69" s="10">
        <v>190995</v>
      </c>
      <c r="O69" s="12">
        <v>33</v>
      </c>
    </row>
    <row r="70" spans="1:15" ht="27" x14ac:dyDescent="0.3">
      <c r="A70" s="9">
        <v>43547</v>
      </c>
      <c r="B70" s="12">
        <v>2</v>
      </c>
      <c r="C70" s="11">
        <v>0</v>
      </c>
      <c r="D70" s="12">
        <v>2</v>
      </c>
      <c r="E70" s="11">
        <v>0</v>
      </c>
      <c r="F70" s="12">
        <v>434</v>
      </c>
      <c r="G70" s="11">
        <v>0</v>
      </c>
      <c r="H70" s="11">
        <v>5.2999999999999999E-2</v>
      </c>
      <c r="I70" s="10">
        <v>180000</v>
      </c>
      <c r="J70" s="12" t="s">
        <v>2321</v>
      </c>
      <c r="K70" s="12">
        <v>23</v>
      </c>
      <c r="L70" s="12" t="s">
        <v>2322</v>
      </c>
      <c r="M70" s="10">
        <v>1465005830</v>
      </c>
      <c r="N70" s="10">
        <v>191018</v>
      </c>
      <c r="O70" s="12">
        <v>85</v>
      </c>
    </row>
    <row r="71" spans="1:15" ht="27" x14ac:dyDescent="0.3">
      <c r="A71" s="9">
        <v>43548</v>
      </c>
      <c r="B71" s="12">
        <v>1</v>
      </c>
      <c r="C71" s="11">
        <v>0</v>
      </c>
      <c r="D71" s="12">
        <v>1</v>
      </c>
      <c r="E71" s="11">
        <v>0</v>
      </c>
      <c r="F71" s="12">
        <v>48</v>
      </c>
      <c r="G71" s="11">
        <v>0</v>
      </c>
      <c r="H71" s="11">
        <v>0.14599999999999999</v>
      </c>
      <c r="I71" s="10">
        <v>63000</v>
      </c>
      <c r="J71" s="12" t="s">
        <v>2323</v>
      </c>
      <c r="K71" s="12">
        <v>7</v>
      </c>
      <c r="L71" s="12" t="s">
        <v>2136</v>
      </c>
      <c r="M71" s="10">
        <v>1465068830</v>
      </c>
      <c r="N71" s="10">
        <v>191025</v>
      </c>
      <c r="O71" s="12">
        <v>101</v>
      </c>
    </row>
    <row r="72" spans="1:15" ht="27" x14ac:dyDescent="0.3">
      <c r="A72" s="9">
        <v>43549</v>
      </c>
      <c r="B72" s="12">
        <v>1</v>
      </c>
      <c r="C72" s="11">
        <v>0</v>
      </c>
      <c r="D72" s="12">
        <v>1</v>
      </c>
      <c r="E72" s="11">
        <v>0</v>
      </c>
      <c r="F72" s="12">
        <v>48</v>
      </c>
      <c r="G72" s="11">
        <v>0</v>
      </c>
      <c r="H72" s="11">
        <v>4.2000000000000003E-2</v>
      </c>
      <c r="I72" s="10">
        <v>14000</v>
      </c>
      <c r="J72" s="12" t="s">
        <v>2324</v>
      </c>
      <c r="K72" s="12">
        <v>2</v>
      </c>
      <c r="L72" s="12" t="s">
        <v>289</v>
      </c>
      <c r="M72" s="10">
        <v>1465082830</v>
      </c>
      <c r="N72" s="10">
        <v>191027</v>
      </c>
      <c r="O72" s="12">
        <v>86</v>
      </c>
    </row>
    <row r="73" spans="1:15" ht="40.5" x14ac:dyDescent="0.3">
      <c r="A73" s="9">
        <v>43550</v>
      </c>
      <c r="B73" s="12">
        <v>9</v>
      </c>
      <c r="C73" s="11">
        <v>2E-3</v>
      </c>
      <c r="D73" s="12">
        <v>9</v>
      </c>
      <c r="E73" s="11">
        <v>1E-3</v>
      </c>
      <c r="F73" s="10">
        <v>1930</v>
      </c>
      <c r="G73" s="11">
        <v>1E-3</v>
      </c>
      <c r="H73" s="11">
        <v>0.98099999999999998</v>
      </c>
      <c r="I73" s="10">
        <v>16456000</v>
      </c>
      <c r="J73" s="12" t="s">
        <v>2325</v>
      </c>
      <c r="K73" s="10">
        <v>1894</v>
      </c>
      <c r="L73" s="12" t="s">
        <v>2326</v>
      </c>
      <c r="M73" s="10">
        <v>1481538830</v>
      </c>
      <c r="N73" s="10">
        <v>192921</v>
      </c>
      <c r="O73" s="12">
        <v>7</v>
      </c>
    </row>
    <row r="74" spans="1:15" ht="27" x14ac:dyDescent="0.3">
      <c r="A74" s="9">
        <v>43552</v>
      </c>
      <c r="B74" s="12">
        <v>1</v>
      </c>
      <c r="C74" s="11">
        <v>0</v>
      </c>
      <c r="D74" s="12">
        <v>1</v>
      </c>
      <c r="E74" s="11">
        <v>0</v>
      </c>
      <c r="F74" s="12">
        <v>48</v>
      </c>
      <c r="G74" s="11">
        <v>0</v>
      </c>
      <c r="H74" s="11">
        <v>6.3E-2</v>
      </c>
      <c r="I74" s="10">
        <v>19000</v>
      </c>
      <c r="J74" s="12" t="s">
        <v>2327</v>
      </c>
      <c r="K74" s="12">
        <v>3</v>
      </c>
      <c r="L74" s="12" t="s">
        <v>294</v>
      </c>
      <c r="M74" s="10">
        <v>1481557830</v>
      </c>
      <c r="N74" s="10">
        <v>192924</v>
      </c>
      <c r="O74" s="12">
        <v>103</v>
      </c>
    </row>
    <row r="75" spans="1:15" ht="27" x14ac:dyDescent="0.3">
      <c r="A75" s="9">
        <v>43553</v>
      </c>
      <c r="B75" s="12">
        <v>2</v>
      </c>
      <c r="C75" s="11">
        <v>0</v>
      </c>
      <c r="D75" s="12">
        <v>2</v>
      </c>
      <c r="E75" s="11">
        <v>0</v>
      </c>
      <c r="F75" s="12">
        <v>300</v>
      </c>
      <c r="G75" s="11">
        <v>0</v>
      </c>
      <c r="H75" s="11">
        <v>1</v>
      </c>
      <c r="I75" s="10">
        <v>2400000</v>
      </c>
      <c r="J75" s="12" t="s">
        <v>2328</v>
      </c>
      <c r="K75" s="12">
        <v>300</v>
      </c>
      <c r="L75" s="12" t="s">
        <v>2329</v>
      </c>
      <c r="M75" s="10">
        <v>1483957830</v>
      </c>
      <c r="N75" s="10">
        <v>193224</v>
      </c>
      <c r="O75" s="12">
        <v>28</v>
      </c>
    </row>
    <row r="76" spans="1:15" ht="27" x14ac:dyDescent="0.3">
      <c r="A76" s="9">
        <v>43555</v>
      </c>
      <c r="B76" s="12">
        <v>4</v>
      </c>
      <c r="C76" s="11">
        <v>1E-3</v>
      </c>
      <c r="D76" s="12">
        <v>4</v>
      </c>
      <c r="E76" s="11">
        <v>0</v>
      </c>
      <c r="F76" s="12">
        <v>608</v>
      </c>
      <c r="G76" s="11">
        <v>0</v>
      </c>
      <c r="H76" s="11">
        <v>1.008</v>
      </c>
      <c r="I76" s="10">
        <v>4904000</v>
      </c>
      <c r="J76" s="12" t="s">
        <v>2330</v>
      </c>
      <c r="K76" s="12">
        <v>613</v>
      </c>
      <c r="L76" s="12" t="s">
        <v>2331</v>
      </c>
      <c r="M76" s="10">
        <v>1488861830</v>
      </c>
      <c r="N76" s="10">
        <v>193837</v>
      </c>
      <c r="O76" s="12">
        <v>20</v>
      </c>
    </row>
    <row r="77" spans="1:15" ht="27" x14ac:dyDescent="0.3">
      <c r="A77" s="9">
        <v>43556</v>
      </c>
      <c r="B77" s="12">
        <v>1</v>
      </c>
      <c r="C77" s="11">
        <v>0</v>
      </c>
      <c r="D77" s="12">
        <v>1</v>
      </c>
      <c r="E77" s="11">
        <v>0</v>
      </c>
      <c r="F77" s="12">
        <v>48</v>
      </c>
      <c r="G77" s="11">
        <v>0</v>
      </c>
      <c r="H77" s="11">
        <v>4.2000000000000003E-2</v>
      </c>
      <c r="I77" s="10">
        <v>14000</v>
      </c>
      <c r="J77" s="12" t="s">
        <v>2332</v>
      </c>
      <c r="K77" s="12">
        <v>2</v>
      </c>
      <c r="L77" s="12" t="s">
        <v>2333</v>
      </c>
      <c r="M77" s="10">
        <v>1488875830</v>
      </c>
      <c r="N77" s="10">
        <v>193839</v>
      </c>
      <c r="O77" s="12">
        <v>87</v>
      </c>
    </row>
    <row r="78" spans="1:15" ht="27" x14ac:dyDescent="0.3">
      <c r="A78" s="9">
        <v>43557</v>
      </c>
      <c r="B78" s="12">
        <v>1</v>
      </c>
      <c r="C78" s="11">
        <v>0</v>
      </c>
      <c r="D78" s="12">
        <v>1</v>
      </c>
      <c r="E78" s="11">
        <v>0</v>
      </c>
      <c r="F78" s="12">
        <v>48</v>
      </c>
      <c r="G78" s="11">
        <v>0</v>
      </c>
      <c r="H78" s="11">
        <v>6.3E-2</v>
      </c>
      <c r="I78" s="10">
        <v>18000</v>
      </c>
      <c r="J78" s="12" t="s">
        <v>2334</v>
      </c>
      <c r="K78" s="12">
        <v>3</v>
      </c>
      <c r="L78" s="12" t="s">
        <v>291</v>
      </c>
      <c r="M78" s="10">
        <v>1488893830</v>
      </c>
      <c r="N78" s="10">
        <v>193842</v>
      </c>
      <c r="O78" s="12">
        <v>86</v>
      </c>
    </row>
    <row r="79" spans="1:15" ht="27" x14ac:dyDescent="0.3">
      <c r="A79" s="9">
        <v>43558</v>
      </c>
      <c r="B79" s="12">
        <v>1</v>
      </c>
      <c r="C79" s="11">
        <v>0</v>
      </c>
      <c r="D79" s="12">
        <v>1</v>
      </c>
      <c r="E79" s="11">
        <v>0</v>
      </c>
      <c r="F79" s="12">
        <v>48</v>
      </c>
      <c r="G79" s="11">
        <v>0</v>
      </c>
      <c r="H79" s="11">
        <v>6.3E-2</v>
      </c>
      <c r="I79" s="10">
        <v>25000</v>
      </c>
      <c r="J79" s="12" t="s">
        <v>2335</v>
      </c>
      <c r="K79" s="12">
        <v>3</v>
      </c>
      <c r="L79" s="12" t="s">
        <v>292</v>
      </c>
      <c r="M79" s="10">
        <v>1488918830</v>
      </c>
      <c r="N79" s="10">
        <v>193845</v>
      </c>
      <c r="O79" s="12">
        <v>86</v>
      </c>
    </row>
    <row r="80" spans="1:15" ht="27" x14ac:dyDescent="0.3">
      <c r="A80" s="9">
        <v>43563</v>
      </c>
      <c r="B80" s="12">
        <v>1</v>
      </c>
      <c r="C80" s="11">
        <v>0</v>
      </c>
      <c r="D80" s="12">
        <v>1</v>
      </c>
      <c r="E80" s="11">
        <v>0</v>
      </c>
      <c r="F80" s="12">
        <v>48</v>
      </c>
      <c r="G80" s="11">
        <v>0</v>
      </c>
      <c r="H80" s="11">
        <v>4.2000000000000003E-2</v>
      </c>
      <c r="I80" s="10">
        <v>16000</v>
      </c>
      <c r="J80" s="12" t="s">
        <v>2336</v>
      </c>
      <c r="K80" s="12">
        <v>2</v>
      </c>
      <c r="L80" s="12" t="s">
        <v>1408</v>
      </c>
      <c r="M80" s="10">
        <v>1488934830</v>
      </c>
      <c r="N80" s="10">
        <v>193847</v>
      </c>
      <c r="O80" s="12">
        <v>86</v>
      </c>
    </row>
    <row r="81" spans="1:15" ht="27" x14ac:dyDescent="0.3">
      <c r="A81" s="9">
        <v>43564</v>
      </c>
      <c r="B81" s="12">
        <v>1</v>
      </c>
      <c r="C81" s="11">
        <v>0</v>
      </c>
      <c r="D81" s="12">
        <v>1</v>
      </c>
      <c r="E81" s="11">
        <v>0</v>
      </c>
      <c r="F81" s="12">
        <v>48</v>
      </c>
      <c r="G81" s="11">
        <v>0</v>
      </c>
      <c r="H81" s="11">
        <v>2.1000000000000001E-2</v>
      </c>
      <c r="I81" s="10">
        <v>5000</v>
      </c>
      <c r="J81" s="12" t="s">
        <v>2337</v>
      </c>
      <c r="K81" s="12">
        <v>1</v>
      </c>
      <c r="L81" s="12" t="s">
        <v>2338</v>
      </c>
      <c r="M81" s="10">
        <v>1488939830</v>
      </c>
      <c r="N81" s="10">
        <v>193848</v>
      </c>
      <c r="O81" s="12">
        <v>98</v>
      </c>
    </row>
    <row r="82" spans="1:15" ht="27" x14ac:dyDescent="0.3">
      <c r="A82" s="9">
        <v>43565</v>
      </c>
      <c r="B82" s="12">
        <v>1</v>
      </c>
      <c r="C82" s="11">
        <v>0</v>
      </c>
      <c r="D82" s="12">
        <v>1</v>
      </c>
      <c r="E82" s="11">
        <v>0</v>
      </c>
      <c r="F82" s="12">
        <v>48</v>
      </c>
      <c r="G82" s="11">
        <v>0</v>
      </c>
      <c r="H82" s="11">
        <v>2.1000000000000001E-2</v>
      </c>
      <c r="I82" s="10">
        <v>9000</v>
      </c>
      <c r="J82" s="12" t="s">
        <v>2339</v>
      </c>
      <c r="K82" s="12">
        <v>1</v>
      </c>
      <c r="L82" s="12" t="s">
        <v>292</v>
      </c>
      <c r="M82" s="10">
        <v>1488948830</v>
      </c>
      <c r="N82" s="10">
        <v>193849</v>
      </c>
      <c r="O82" s="12">
        <v>98</v>
      </c>
    </row>
    <row r="83" spans="1:15" ht="27" x14ac:dyDescent="0.3">
      <c r="A83" s="9">
        <v>43568</v>
      </c>
      <c r="B83" s="12">
        <v>1</v>
      </c>
      <c r="C83" s="11">
        <v>0</v>
      </c>
      <c r="D83" s="12">
        <v>1</v>
      </c>
      <c r="E83" s="11">
        <v>0</v>
      </c>
      <c r="F83" s="12">
        <v>48</v>
      </c>
      <c r="G83" s="11">
        <v>0</v>
      </c>
      <c r="H83" s="11">
        <v>0.125</v>
      </c>
      <c r="I83" s="10">
        <v>45000</v>
      </c>
      <c r="J83" s="12" t="s">
        <v>2340</v>
      </c>
      <c r="K83" s="12">
        <v>6</v>
      </c>
      <c r="L83" s="12" t="s">
        <v>2341</v>
      </c>
      <c r="M83" s="10">
        <v>1488993830</v>
      </c>
      <c r="N83" s="10">
        <v>193855</v>
      </c>
      <c r="O83" s="12">
        <v>108</v>
      </c>
    </row>
    <row r="84" spans="1:15" ht="27" x14ac:dyDescent="0.3">
      <c r="A84" s="9">
        <v>43569</v>
      </c>
      <c r="B84" s="12">
        <v>1</v>
      </c>
      <c r="C84" s="11">
        <v>0</v>
      </c>
      <c r="D84" s="12">
        <v>1</v>
      </c>
      <c r="E84" s="11">
        <v>0</v>
      </c>
      <c r="F84" s="12">
        <v>48</v>
      </c>
      <c r="G84" s="11">
        <v>0</v>
      </c>
      <c r="H84" s="11">
        <v>0.22900000000000001</v>
      </c>
      <c r="I84" s="10">
        <v>71000</v>
      </c>
      <c r="J84" s="12" t="s">
        <v>2342</v>
      </c>
      <c r="K84" s="12">
        <v>11</v>
      </c>
      <c r="L84" s="12" t="s">
        <v>2343</v>
      </c>
      <c r="M84" s="10">
        <v>1489064830</v>
      </c>
      <c r="N84" s="10">
        <v>193866</v>
      </c>
      <c r="O84" s="12">
        <v>93</v>
      </c>
    </row>
    <row r="85" spans="1:15" ht="27" x14ac:dyDescent="0.3">
      <c r="A85" s="9">
        <v>43610</v>
      </c>
      <c r="B85" s="12">
        <v>1</v>
      </c>
      <c r="C85" s="11">
        <v>0</v>
      </c>
      <c r="D85" s="12">
        <v>1</v>
      </c>
      <c r="E85" s="11">
        <v>0</v>
      </c>
      <c r="F85" s="12">
        <v>202</v>
      </c>
      <c r="G85" s="11">
        <v>0</v>
      </c>
      <c r="H85" s="11">
        <v>0.183</v>
      </c>
      <c r="I85" s="10">
        <v>162000</v>
      </c>
      <c r="J85" s="12" t="s">
        <v>2344</v>
      </c>
      <c r="K85" s="12">
        <v>37</v>
      </c>
      <c r="L85" s="12" t="s">
        <v>2345</v>
      </c>
      <c r="M85" s="10">
        <v>1489226830</v>
      </c>
      <c r="N85" s="10">
        <v>193903</v>
      </c>
      <c r="O85" s="12">
        <v>62</v>
      </c>
    </row>
    <row r="86" spans="1:15" ht="27" x14ac:dyDescent="0.3">
      <c r="A86" s="9">
        <v>43613</v>
      </c>
      <c r="B86" s="12">
        <v>1</v>
      </c>
      <c r="C86" s="11">
        <v>0</v>
      </c>
      <c r="D86" s="12">
        <v>1</v>
      </c>
      <c r="E86" s="11">
        <v>0</v>
      </c>
      <c r="F86" s="12">
        <v>202</v>
      </c>
      <c r="G86" s="11">
        <v>0</v>
      </c>
      <c r="H86" s="11">
        <v>9.4E-2</v>
      </c>
      <c r="I86" s="10">
        <v>66000</v>
      </c>
      <c r="J86" s="12" t="s">
        <v>2346</v>
      </c>
      <c r="K86" s="12">
        <v>19</v>
      </c>
      <c r="L86" s="12" t="s">
        <v>2347</v>
      </c>
      <c r="M86" s="10">
        <v>1489292830</v>
      </c>
      <c r="N86" s="10">
        <v>193922</v>
      </c>
      <c r="O86" s="12">
        <v>77</v>
      </c>
    </row>
    <row r="87" spans="1:15" ht="27" x14ac:dyDescent="0.3">
      <c r="A87" s="9">
        <v>43623</v>
      </c>
      <c r="B87" s="12">
        <v>1</v>
      </c>
      <c r="C87" s="11">
        <v>0</v>
      </c>
      <c r="D87" s="12">
        <v>1</v>
      </c>
      <c r="E87" s="11">
        <v>0</v>
      </c>
      <c r="F87" s="12">
        <v>413</v>
      </c>
      <c r="G87" s="11">
        <v>0</v>
      </c>
      <c r="H87" s="11">
        <v>0.247</v>
      </c>
      <c r="I87" s="10">
        <v>510000</v>
      </c>
      <c r="J87" s="12" t="s">
        <v>2348</v>
      </c>
      <c r="K87" s="12">
        <v>102</v>
      </c>
      <c r="L87" s="12" t="s">
        <v>2008</v>
      </c>
      <c r="M87" s="10">
        <v>1489802830</v>
      </c>
      <c r="N87" s="10">
        <v>194024</v>
      </c>
      <c r="O87" s="12">
        <v>37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A3FC-08C5-4197-B64F-CE8F65CD9FFA}">
  <dimension ref="A1:O62"/>
  <sheetViews>
    <sheetView workbookViewId="0">
      <selection activeCell="A5" sqref="A5:O14"/>
    </sheetView>
  </sheetViews>
  <sheetFormatPr defaultRowHeight="16.5" x14ac:dyDescent="0.3"/>
  <sheetData>
    <row r="1" spans="1:15" ht="19.5" x14ac:dyDescent="0.3">
      <c r="A1" s="197" t="s">
        <v>2349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43459</v>
      </c>
      <c r="B5" s="12">
        <v>672</v>
      </c>
      <c r="C5" s="11">
        <v>9.0999999999999998E-2</v>
      </c>
      <c r="D5" s="10">
        <v>1323</v>
      </c>
      <c r="E5" s="11">
        <v>6.6000000000000003E-2</v>
      </c>
      <c r="F5" s="10">
        <v>194366</v>
      </c>
      <c r="G5" s="11">
        <v>6.2E-2</v>
      </c>
      <c r="H5" s="11">
        <v>0.79500000000000004</v>
      </c>
      <c r="I5" s="10">
        <v>1234641300</v>
      </c>
      <c r="J5" s="12" t="s">
        <v>2350</v>
      </c>
      <c r="K5" s="10">
        <v>154579</v>
      </c>
      <c r="L5" s="12" t="s">
        <v>2351</v>
      </c>
      <c r="M5" s="10">
        <v>1293738300</v>
      </c>
      <c r="N5" s="10">
        <v>161095</v>
      </c>
      <c r="O5" s="12">
        <v>4</v>
      </c>
    </row>
    <row r="6" spans="1:15" ht="54" x14ac:dyDescent="0.3">
      <c r="A6" s="9">
        <v>43460</v>
      </c>
      <c r="B6" s="12">
        <v>413</v>
      </c>
      <c r="C6" s="11">
        <v>6.3E-2</v>
      </c>
      <c r="D6" s="12">
        <v>568</v>
      </c>
      <c r="E6" s="11">
        <v>3.1E-2</v>
      </c>
      <c r="F6" s="10">
        <v>70341</v>
      </c>
      <c r="G6" s="11">
        <v>2.4E-2</v>
      </c>
      <c r="H6" s="11">
        <v>0.22</v>
      </c>
      <c r="I6" s="10">
        <v>107523050</v>
      </c>
      <c r="J6" s="12" t="s">
        <v>2352</v>
      </c>
      <c r="K6" s="10">
        <v>15460</v>
      </c>
      <c r="L6" s="12" t="s">
        <v>2353</v>
      </c>
      <c r="M6" s="10">
        <v>1401261350</v>
      </c>
      <c r="N6" s="10">
        <v>176555</v>
      </c>
      <c r="O6" s="12">
        <v>7</v>
      </c>
    </row>
    <row r="7" spans="1:15" ht="27" x14ac:dyDescent="0.3">
      <c r="A7" s="9">
        <v>43461</v>
      </c>
      <c r="B7" s="12">
        <v>471</v>
      </c>
      <c r="C7" s="11">
        <v>7.0000000000000007E-2</v>
      </c>
      <c r="D7" s="12">
        <v>647</v>
      </c>
      <c r="E7" s="11">
        <v>3.5000000000000003E-2</v>
      </c>
      <c r="F7" s="10">
        <v>84088</v>
      </c>
      <c r="G7" s="11">
        <v>2.9000000000000001E-2</v>
      </c>
      <c r="H7" s="11">
        <v>0.215</v>
      </c>
      <c r="I7" s="10">
        <v>128684350</v>
      </c>
      <c r="J7" s="12" t="s">
        <v>2354</v>
      </c>
      <c r="K7" s="10">
        <v>18039</v>
      </c>
      <c r="L7" s="12" t="s">
        <v>2355</v>
      </c>
      <c r="M7" s="10">
        <v>1529945700</v>
      </c>
      <c r="N7" s="10">
        <v>194594</v>
      </c>
      <c r="O7" s="12">
        <v>7</v>
      </c>
    </row>
    <row r="8" spans="1:15" ht="27" x14ac:dyDescent="0.3">
      <c r="A8" s="9">
        <v>43462</v>
      </c>
      <c r="B8" s="12">
        <v>514</v>
      </c>
      <c r="C8" s="11">
        <v>7.3999999999999996E-2</v>
      </c>
      <c r="D8" s="12">
        <v>714</v>
      </c>
      <c r="E8" s="11">
        <v>3.7999999999999999E-2</v>
      </c>
      <c r="F8" s="10">
        <v>93572</v>
      </c>
      <c r="G8" s="11">
        <v>3.2000000000000001E-2</v>
      </c>
      <c r="H8" s="11">
        <v>0.223</v>
      </c>
      <c r="I8" s="10">
        <v>166993300</v>
      </c>
      <c r="J8" s="12" t="s">
        <v>2356</v>
      </c>
      <c r="K8" s="10">
        <v>20896</v>
      </c>
      <c r="L8" s="12" t="s">
        <v>2357</v>
      </c>
      <c r="M8" s="10">
        <v>1696939000</v>
      </c>
      <c r="N8" s="10">
        <v>215490</v>
      </c>
      <c r="O8" s="12">
        <v>7</v>
      </c>
    </row>
    <row r="9" spans="1:15" ht="27" x14ac:dyDescent="0.3">
      <c r="A9" s="9">
        <v>43463</v>
      </c>
      <c r="B9" s="12">
        <v>610</v>
      </c>
      <c r="C9" s="11">
        <v>8.3000000000000004E-2</v>
      </c>
      <c r="D9" s="10">
        <v>1133</v>
      </c>
      <c r="E9" s="11">
        <v>5.8000000000000003E-2</v>
      </c>
      <c r="F9" s="10">
        <v>161477</v>
      </c>
      <c r="G9" s="11">
        <v>5.2999999999999999E-2</v>
      </c>
      <c r="H9" s="11">
        <v>0.375</v>
      </c>
      <c r="I9" s="10">
        <v>481600450</v>
      </c>
      <c r="J9" s="12" t="s">
        <v>2358</v>
      </c>
      <c r="K9" s="10">
        <v>60502</v>
      </c>
      <c r="L9" s="12" t="s">
        <v>2359</v>
      </c>
      <c r="M9" s="10">
        <v>2178539450</v>
      </c>
      <c r="N9" s="10">
        <v>275992</v>
      </c>
      <c r="O9" s="12">
        <v>6</v>
      </c>
    </row>
    <row r="10" spans="1:15" ht="27" x14ac:dyDescent="0.3">
      <c r="A10" s="9">
        <v>43464</v>
      </c>
      <c r="B10" s="12">
        <v>623</v>
      </c>
      <c r="C10" s="11">
        <v>8.5999999999999993E-2</v>
      </c>
      <c r="D10" s="10">
        <v>1136</v>
      </c>
      <c r="E10" s="11">
        <v>5.8999999999999997E-2</v>
      </c>
      <c r="F10" s="10">
        <v>161069</v>
      </c>
      <c r="G10" s="11">
        <v>5.2999999999999999E-2</v>
      </c>
      <c r="H10" s="11">
        <v>0.35799999999999998</v>
      </c>
      <c r="I10" s="10">
        <v>465457300</v>
      </c>
      <c r="J10" s="12" t="s">
        <v>2360</v>
      </c>
      <c r="K10" s="10">
        <v>57634</v>
      </c>
      <c r="L10" s="12" t="s">
        <v>2361</v>
      </c>
      <c r="M10" s="10">
        <v>2643996750</v>
      </c>
      <c r="N10" s="10">
        <v>333626</v>
      </c>
      <c r="O10" s="12">
        <v>6</v>
      </c>
    </row>
    <row r="11" spans="1:15" ht="40.5" x14ac:dyDescent="0.3">
      <c r="A11" s="9">
        <v>43465</v>
      </c>
      <c r="B11" s="12">
        <v>553</v>
      </c>
      <c r="C11" s="11">
        <v>0.08</v>
      </c>
      <c r="D11" s="12">
        <v>943</v>
      </c>
      <c r="E11" s="11">
        <v>4.9000000000000002E-2</v>
      </c>
      <c r="F11" s="10">
        <v>129482</v>
      </c>
      <c r="G11" s="11">
        <v>4.2999999999999997E-2</v>
      </c>
      <c r="H11" s="11">
        <v>0.32200000000000001</v>
      </c>
      <c r="I11" s="10">
        <v>297544650</v>
      </c>
      <c r="J11" s="12" t="s">
        <v>2362</v>
      </c>
      <c r="K11" s="10">
        <v>41686</v>
      </c>
      <c r="L11" s="12" t="s">
        <v>2363</v>
      </c>
      <c r="M11" s="10">
        <v>2941541400</v>
      </c>
      <c r="N11" s="10">
        <v>375312</v>
      </c>
      <c r="O11" s="12">
        <v>6</v>
      </c>
    </row>
    <row r="12" spans="1:15" ht="27" x14ac:dyDescent="0.3">
      <c r="A12" s="9">
        <v>43466</v>
      </c>
      <c r="B12" s="12">
        <v>581</v>
      </c>
      <c r="C12" s="11">
        <v>8.1000000000000003E-2</v>
      </c>
      <c r="D12" s="10">
        <v>1083</v>
      </c>
      <c r="E12" s="11">
        <v>5.6000000000000001E-2</v>
      </c>
      <c r="F12" s="10">
        <v>154162</v>
      </c>
      <c r="G12" s="11">
        <v>5.0999999999999997E-2</v>
      </c>
      <c r="H12" s="11">
        <v>0.39300000000000002</v>
      </c>
      <c r="I12" s="10">
        <v>490861100</v>
      </c>
      <c r="J12" s="12" t="s">
        <v>2364</v>
      </c>
      <c r="K12" s="10">
        <v>60574</v>
      </c>
      <c r="L12" s="12" t="s">
        <v>2365</v>
      </c>
      <c r="M12" s="10">
        <v>3432402500</v>
      </c>
      <c r="N12" s="10">
        <v>435886</v>
      </c>
      <c r="O12" s="12">
        <v>7</v>
      </c>
    </row>
    <row r="13" spans="1:15" ht="40.5" x14ac:dyDescent="0.3">
      <c r="A13" s="9">
        <v>43467</v>
      </c>
      <c r="B13" s="12">
        <v>501</v>
      </c>
      <c r="C13" s="11">
        <v>7.3999999999999996E-2</v>
      </c>
      <c r="D13" s="12">
        <v>843</v>
      </c>
      <c r="E13" s="11">
        <v>4.5999999999999999E-2</v>
      </c>
      <c r="F13" s="10">
        <v>118275</v>
      </c>
      <c r="G13" s="11">
        <v>4.1000000000000002E-2</v>
      </c>
      <c r="H13" s="11">
        <v>0.17899999999999999</v>
      </c>
      <c r="I13" s="10">
        <v>150542800</v>
      </c>
      <c r="J13" s="12" t="s">
        <v>2366</v>
      </c>
      <c r="K13" s="10">
        <v>21225</v>
      </c>
      <c r="L13" s="12" t="s">
        <v>2367</v>
      </c>
      <c r="M13" s="10">
        <v>3582945300</v>
      </c>
      <c r="N13" s="10">
        <v>457111</v>
      </c>
      <c r="O13" s="12">
        <v>7</v>
      </c>
    </row>
    <row r="14" spans="1:15" ht="27" x14ac:dyDescent="0.3">
      <c r="A14" s="9">
        <v>43468</v>
      </c>
      <c r="B14" s="12">
        <v>369</v>
      </c>
      <c r="C14" s="11">
        <v>5.2999999999999999E-2</v>
      </c>
      <c r="D14" s="12">
        <v>525</v>
      </c>
      <c r="E14" s="11">
        <v>2.8000000000000001E-2</v>
      </c>
      <c r="F14" s="10">
        <v>69425</v>
      </c>
      <c r="G14" s="11">
        <v>2.4E-2</v>
      </c>
      <c r="H14" s="11">
        <v>0.191</v>
      </c>
      <c r="I14" s="10">
        <v>93835800</v>
      </c>
      <c r="J14" s="12" t="s">
        <v>2368</v>
      </c>
      <c r="K14" s="10">
        <v>13291</v>
      </c>
      <c r="L14" s="12" t="s">
        <v>2369</v>
      </c>
      <c r="M14" s="10">
        <v>3676781100</v>
      </c>
      <c r="N14" s="10">
        <v>470402</v>
      </c>
      <c r="O14" s="12">
        <v>8</v>
      </c>
    </row>
    <row r="15" spans="1:15" ht="27" x14ac:dyDescent="0.3">
      <c r="A15" s="9">
        <v>43469</v>
      </c>
      <c r="B15" s="12">
        <v>375</v>
      </c>
      <c r="C15" s="11">
        <v>5.2999999999999999E-2</v>
      </c>
      <c r="D15" s="12">
        <v>522</v>
      </c>
      <c r="E15" s="11">
        <v>2.8000000000000001E-2</v>
      </c>
      <c r="F15" s="10">
        <v>68265</v>
      </c>
      <c r="G15" s="11">
        <v>2.3E-2</v>
      </c>
      <c r="H15" s="11">
        <v>0.16900000000000001</v>
      </c>
      <c r="I15" s="10">
        <v>91450550</v>
      </c>
      <c r="J15" s="12" t="s">
        <v>2370</v>
      </c>
      <c r="K15" s="10">
        <v>11503</v>
      </c>
      <c r="L15" s="12" t="s">
        <v>2371</v>
      </c>
      <c r="M15" s="10">
        <v>3768231650</v>
      </c>
      <c r="N15" s="10">
        <v>481905</v>
      </c>
      <c r="O15" s="12">
        <v>8</v>
      </c>
    </row>
    <row r="16" spans="1:15" ht="27" x14ac:dyDescent="0.3">
      <c r="A16" s="9">
        <v>43470</v>
      </c>
      <c r="B16" s="12">
        <v>413</v>
      </c>
      <c r="C16" s="11">
        <v>5.2999999999999999E-2</v>
      </c>
      <c r="D16" s="12">
        <v>573</v>
      </c>
      <c r="E16" s="11">
        <v>2.9000000000000001E-2</v>
      </c>
      <c r="F16" s="10">
        <v>74022</v>
      </c>
      <c r="G16" s="11">
        <v>2.4E-2</v>
      </c>
      <c r="H16" s="11">
        <v>0.26700000000000002</v>
      </c>
      <c r="I16" s="10">
        <v>158681850</v>
      </c>
      <c r="J16" s="12" t="s">
        <v>2372</v>
      </c>
      <c r="K16" s="10">
        <v>19798</v>
      </c>
      <c r="L16" s="12" t="s">
        <v>2373</v>
      </c>
      <c r="M16" s="10">
        <v>3926913500</v>
      </c>
      <c r="N16" s="10">
        <v>501703</v>
      </c>
      <c r="O16" s="12">
        <v>9</v>
      </c>
    </row>
    <row r="17" spans="1:15" ht="27" x14ac:dyDescent="0.3">
      <c r="A17" s="9">
        <v>43471</v>
      </c>
      <c r="B17" s="12">
        <v>409</v>
      </c>
      <c r="C17" s="11">
        <v>5.2999999999999999E-2</v>
      </c>
      <c r="D17" s="12">
        <v>564</v>
      </c>
      <c r="E17" s="11">
        <v>0.03</v>
      </c>
      <c r="F17" s="10">
        <v>73056</v>
      </c>
      <c r="G17" s="11">
        <v>2.5000000000000001E-2</v>
      </c>
      <c r="H17" s="11">
        <v>0.26500000000000001</v>
      </c>
      <c r="I17" s="10">
        <v>156078050</v>
      </c>
      <c r="J17" s="12" t="s">
        <v>2374</v>
      </c>
      <c r="K17" s="10">
        <v>19350</v>
      </c>
      <c r="L17" s="12" t="s">
        <v>2375</v>
      </c>
      <c r="M17" s="10">
        <v>4082991550</v>
      </c>
      <c r="N17" s="10">
        <v>521053</v>
      </c>
      <c r="O17" s="12">
        <v>8</v>
      </c>
    </row>
    <row r="18" spans="1:15" ht="40.5" x14ac:dyDescent="0.3">
      <c r="A18" s="9">
        <v>43472</v>
      </c>
      <c r="B18" s="12">
        <v>352</v>
      </c>
      <c r="C18" s="11">
        <v>5.1999999999999998E-2</v>
      </c>
      <c r="D18" s="12">
        <v>478</v>
      </c>
      <c r="E18" s="11">
        <v>2.7E-2</v>
      </c>
      <c r="F18" s="10">
        <v>61311</v>
      </c>
      <c r="G18" s="11">
        <v>2.1999999999999999E-2</v>
      </c>
      <c r="H18" s="11">
        <v>9.5000000000000001E-2</v>
      </c>
      <c r="I18" s="10">
        <v>41061300</v>
      </c>
      <c r="J18" s="12" t="s">
        <v>2376</v>
      </c>
      <c r="K18" s="10">
        <v>5820</v>
      </c>
      <c r="L18" s="12" t="s">
        <v>2377</v>
      </c>
      <c r="M18" s="10">
        <v>4124052850</v>
      </c>
      <c r="N18" s="10">
        <v>526873</v>
      </c>
      <c r="O18" s="12">
        <v>9</v>
      </c>
    </row>
    <row r="19" spans="1:15" ht="27" x14ac:dyDescent="0.3">
      <c r="A19" s="9">
        <v>43473</v>
      </c>
      <c r="B19" s="12">
        <v>355</v>
      </c>
      <c r="C19" s="11">
        <v>5.0999999999999997E-2</v>
      </c>
      <c r="D19" s="12">
        <v>484</v>
      </c>
      <c r="E19" s="11">
        <v>2.7E-2</v>
      </c>
      <c r="F19" s="10">
        <v>62017</v>
      </c>
      <c r="G19" s="11">
        <v>2.1999999999999999E-2</v>
      </c>
      <c r="H19" s="11">
        <v>9.0999999999999998E-2</v>
      </c>
      <c r="I19" s="10">
        <v>39537950</v>
      </c>
      <c r="J19" s="12" t="s">
        <v>2378</v>
      </c>
      <c r="K19" s="10">
        <v>5638</v>
      </c>
      <c r="L19" s="12" t="s">
        <v>2379</v>
      </c>
      <c r="M19" s="10">
        <v>4163590800</v>
      </c>
      <c r="N19" s="10">
        <v>532511</v>
      </c>
      <c r="O19" s="12">
        <v>8</v>
      </c>
    </row>
    <row r="20" spans="1:15" ht="27" x14ac:dyDescent="0.3">
      <c r="A20" s="9">
        <v>43474</v>
      </c>
      <c r="B20" s="12">
        <v>183</v>
      </c>
      <c r="C20" s="11">
        <v>0.03</v>
      </c>
      <c r="D20" s="12">
        <v>227</v>
      </c>
      <c r="E20" s="11">
        <v>1.2999999999999999E-2</v>
      </c>
      <c r="F20" s="10">
        <v>28487</v>
      </c>
      <c r="G20" s="11">
        <v>0.01</v>
      </c>
      <c r="H20" s="11">
        <v>0.111</v>
      </c>
      <c r="I20" s="10">
        <v>22139350</v>
      </c>
      <c r="J20" s="12" t="s">
        <v>2380</v>
      </c>
      <c r="K20" s="10">
        <v>3155</v>
      </c>
      <c r="L20" s="12" t="s">
        <v>2381</v>
      </c>
      <c r="M20" s="10">
        <v>4185730150</v>
      </c>
      <c r="N20" s="10">
        <v>535666</v>
      </c>
      <c r="O20" s="12">
        <v>10</v>
      </c>
    </row>
    <row r="21" spans="1:15" ht="27" x14ac:dyDescent="0.3">
      <c r="A21" s="9">
        <v>43475</v>
      </c>
      <c r="B21" s="12">
        <v>93</v>
      </c>
      <c r="C21" s="11">
        <v>1.4E-2</v>
      </c>
      <c r="D21" s="12">
        <v>107</v>
      </c>
      <c r="E21" s="11">
        <v>6.0000000000000001E-3</v>
      </c>
      <c r="F21" s="10">
        <v>13141</v>
      </c>
      <c r="G21" s="11">
        <v>5.0000000000000001E-3</v>
      </c>
      <c r="H21" s="11">
        <v>0.104</v>
      </c>
      <c r="I21" s="10">
        <v>9318000</v>
      </c>
      <c r="J21" s="12" t="s">
        <v>2382</v>
      </c>
      <c r="K21" s="10">
        <v>1365</v>
      </c>
      <c r="L21" s="12" t="s">
        <v>2383</v>
      </c>
      <c r="M21" s="10">
        <v>4195048150</v>
      </c>
      <c r="N21" s="10">
        <v>537031</v>
      </c>
      <c r="O21" s="12">
        <v>16</v>
      </c>
    </row>
    <row r="22" spans="1:15" ht="27" x14ac:dyDescent="0.3">
      <c r="A22" s="9">
        <v>43476</v>
      </c>
      <c r="B22" s="12">
        <v>95</v>
      </c>
      <c r="C22" s="11">
        <v>1.4E-2</v>
      </c>
      <c r="D22" s="12">
        <v>108</v>
      </c>
      <c r="E22" s="11">
        <v>6.0000000000000001E-3</v>
      </c>
      <c r="F22" s="10">
        <v>12779</v>
      </c>
      <c r="G22" s="11">
        <v>4.0000000000000001E-3</v>
      </c>
      <c r="H22" s="11">
        <v>0.123</v>
      </c>
      <c r="I22" s="10">
        <v>11471850</v>
      </c>
      <c r="J22" s="12" t="s">
        <v>2384</v>
      </c>
      <c r="K22" s="10">
        <v>1573</v>
      </c>
      <c r="L22" s="12" t="s">
        <v>2385</v>
      </c>
      <c r="M22" s="10">
        <v>4206520000</v>
      </c>
      <c r="N22" s="10">
        <v>538604</v>
      </c>
      <c r="O22" s="12">
        <v>15</v>
      </c>
    </row>
    <row r="23" spans="1:15" ht="27" x14ac:dyDescent="0.3">
      <c r="A23" s="9">
        <v>43477</v>
      </c>
      <c r="B23" s="12">
        <v>94</v>
      </c>
      <c r="C23" s="11">
        <v>1.2999999999999999E-2</v>
      </c>
      <c r="D23" s="12">
        <v>118</v>
      </c>
      <c r="E23" s="11">
        <v>6.0000000000000001E-3</v>
      </c>
      <c r="F23" s="10">
        <v>12710</v>
      </c>
      <c r="G23" s="11">
        <v>4.0000000000000001E-3</v>
      </c>
      <c r="H23" s="11">
        <v>0.27600000000000002</v>
      </c>
      <c r="I23" s="10">
        <v>26984850</v>
      </c>
      <c r="J23" s="12" t="s">
        <v>2386</v>
      </c>
      <c r="K23" s="10">
        <v>3514</v>
      </c>
      <c r="L23" s="12" t="s">
        <v>2387</v>
      </c>
      <c r="M23" s="10">
        <v>4233504850</v>
      </c>
      <c r="N23" s="10">
        <v>542118</v>
      </c>
      <c r="O23" s="12">
        <v>12</v>
      </c>
    </row>
    <row r="24" spans="1:15" ht="27" x14ac:dyDescent="0.3">
      <c r="A24" s="9">
        <v>43478</v>
      </c>
      <c r="B24" s="12">
        <v>91</v>
      </c>
      <c r="C24" s="11">
        <v>1.2999999999999999E-2</v>
      </c>
      <c r="D24" s="12">
        <v>114</v>
      </c>
      <c r="E24" s="11">
        <v>6.0000000000000001E-3</v>
      </c>
      <c r="F24" s="10">
        <v>13535</v>
      </c>
      <c r="G24" s="11">
        <v>5.0000000000000001E-3</v>
      </c>
      <c r="H24" s="11">
        <v>0.27100000000000002</v>
      </c>
      <c r="I24" s="10">
        <v>29138500</v>
      </c>
      <c r="J24" s="12" t="s">
        <v>2388</v>
      </c>
      <c r="K24" s="10">
        <v>3671</v>
      </c>
      <c r="L24" s="12" t="s">
        <v>2389</v>
      </c>
      <c r="M24" s="10">
        <v>4262643350</v>
      </c>
      <c r="N24" s="10">
        <v>545789</v>
      </c>
      <c r="O24" s="12">
        <v>10</v>
      </c>
    </row>
    <row r="25" spans="1:15" ht="27" x14ac:dyDescent="0.3">
      <c r="A25" s="9">
        <v>43479</v>
      </c>
      <c r="B25" s="12">
        <v>76</v>
      </c>
      <c r="C25" s="11">
        <v>1.2E-2</v>
      </c>
      <c r="D25" s="12">
        <v>88</v>
      </c>
      <c r="E25" s="11">
        <v>5.0000000000000001E-3</v>
      </c>
      <c r="F25" s="10">
        <v>9875</v>
      </c>
      <c r="G25" s="11">
        <v>4.0000000000000001E-3</v>
      </c>
      <c r="H25" s="11">
        <v>7.6999999999999999E-2</v>
      </c>
      <c r="I25" s="10">
        <v>5410250</v>
      </c>
      <c r="J25" s="12" t="s">
        <v>2390</v>
      </c>
      <c r="K25" s="12">
        <v>764</v>
      </c>
      <c r="L25" s="12" t="s">
        <v>2391</v>
      </c>
      <c r="M25" s="10">
        <v>4268053600</v>
      </c>
      <c r="N25" s="10">
        <v>546553</v>
      </c>
      <c r="O25" s="12">
        <v>17</v>
      </c>
    </row>
    <row r="26" spans="1:15" ht="27" x14ac:dyDescent="0.3">
      <c r="A26" s="9">
        <v>43480</v>
      </c>
      <c r="B26" s="12">
        <v>80</v>
      </c>
      <c r="C26" s="11">
        <v>1.2E-2</v>
      </c>
      <c r="D26" s="12">
        <v>93</v>
      </c>
      <c r="E26" s="11">
        <v>5.0000000000000001E-3</v>
      </c>
      <c r="F26" s="10">
        <v>10970</v>
      </c>
      <c r="G26" s="11">
        <v>4.0000000000000001E-3</v>
      </c>
      <c r="H26" s="11">
        <v>8.7999999999999995E-2</v>
      </c>
      <c r="I26" s="10">
        <v>6552500</v>
      </c>
      <c r="J26" s="12" t="s">
        <v>2392</v>
      </c>
      <c r="K26" s="12">
        <v>962</v>
      </c>
      <c r="L26" s="12" t="s">
        <v>2393</v>
      </c>
      <c r="M26" s="10">
        <v>4274606100</v>
      </c>
      <c r="N26" s="10">
        <v>547515</v>
      </c>
      <c r="O26" s="12">
        <v>17</v>
      </c>
    </row>
    <row r="27" spans="1:15" ht="27" x14ac:dyDescent="0.3">
      <c r="A27" s="9">
        <v>43481</v>
      </c>
      <c r="B27" s="12">
        <v>11</v>
      </c>
      <c r="C27" s="11">
        <v>2E-3</v>
      </c>
      <c r="D27" s="12">
        <v>13</v>
      </c>
      <c r="E27" s="11">
        <v>1E-3</v>
      </c>
      <c r="F27" s="10">
        <v>1272</v>
      </c>
      <c r="G27" s="11">
        <v>0</v>
      </c>
      <c r="H27" s="11">
        <v>0.187</v>
      </c>
      <c r="I27" s="10">
        <v>1535900</v>
      </c>
      <c r="J27" s="12" t="s">
        <v>2394</v>
      </c>
      <c r="K27" s="12">
        <v>238</v>
      </c>
      <c r="L27" s="12" t="s">
        <v>2395</v>
      </c>
      <c r="M27" s="10">
        <v>4276142000</v>
      </c>
      <c r="N27" s="10">
        <v>547753</v>
      </c>
      <c r="O27" s="12">
        <v>35</v>
      </c>
    </row>
    <row r="28" spans="1:15" ht="27" x14ac:dyDescent="0.3">
      <c r="A28" s="9">
        <v>43482</v>
      </c>
      <c r="B28" s="12">
        <v>8</v>
      </c>
      <c r="C28" s="11">
        <v>1E-3</v>
      </c>
      <c r="D28" s="12">
        <v>8</v>
      </c>
      <c r="E28" s="11">
        <v>0</v>
      </c>
      <c r="F28" s="12">
        <v>650</v>
      </c>
      <c r="G28" s="11">
        <v>0</v>
      </c>
      <c r="H28" s="11">
        <v>0.115</v>
      </c>
      <c r="I28" s="10">
        <v>497000</v>
      </c>
      <c r="J28" s="12" t="s">
        <v>2396</v>
      </c>
      <c r="K28" s="12">
        <v>75</v>
      </c>
      <c r="L28" s="12" t="s">
        <v>2397</v>
      </c>
      <c r="M28" s="10">
        <v>4276639000</v>
      </c>
      <c r="N28" s="10">
        <v>547828</v>
      </c>
      <c r="O28" s="12">
        <v>52</v>
      </c>
    </row>
    <row r="29" spans="1:15" ht="27" x14ac:dyDescent="0.3">
      <c r="A29" s="9">
        <v>43483</v>
      </c>
      <c r="B29" s="12">
        <v>10</v>
      </c>
      <c r="C29" s="11">
        <v>1E-3</v>
      </c>
      <c r="D29" s="12">
        <v>10</v>
      </c>
      <c r="E29" s="11">
        <v>1E-3</v>
      </c>
      <c r="F29" s="10">
        <v>1208</v>
      </c>
      <c r="G29" s="11">
        <v>0</v>
      </c>
      <c r="H29" s="11">
        <v>0.214</v>
      </c>
      <c r="I29" s="10">
        <v>1662300</v>
      </c>
      <c r="J29" s="12" t="s">
        <v>2398</v>
      </c>
      <c r="K29" s="12">
        <v>259</v>
      </c>
      <c r="L29" s="12" t="s">
        <v>2399</v>
      </c>
      <c r="M29" s="10">
        <v>4278301300</v>
      </c>
      <c r="N29" s="10">
        <v>548087</v>
      </c>
      <c r="O29" s="12">
        <v>29</v>
      </c>
    </row>
    <row r="30" spans="1:15" ht="27" x14ac:dyDescent="0.3">
      <c r="A30" s="9">
        <v>43484</v>
      </c>
      <c r="B30" s="12">
        <v>7</v>
      </c>
      <c r="C30" s="11">
        <v>1E-3</v>
      </c>
      <c r="D30" s="12">
        <v>8</v>
      </c>
      <c r="E30" s="11">
        <v>0</v>
      </c>
      <c r="F30" s="12">
        <v>734</v>
      </c>
      <c r="G30" s="11">
        <v>0</v>
      </c>
      <c r="H30" s="11">
        <v>0.376</v>
      </c>
      <c r="I30" s="10">
        <v>2215800</v>
      </c>
      <c r="J30" s="12" t="s">
        <v>2400</v>
      </c>
      <c r="K30" s="12">
        <v>276</v>
      </c>
      <c r="L30" s="12" t="s">
        <v>2401</v>
      </c>
      <c r="M30" s="10">
        <v>4280517100</v>
      </c>
      <c r="N30" s="10">
        <v>548363</v>
      </c>
      <c r="O30" s="12">
        <v>30</v>
      </c>
    </row>
    <row r="31" spans="1:15" ht="27" x14ac:dyDescent="0.3">
      <c r="A31" s="9">
        <v>43485</v>
      </c>
      <c r="B31" s="12">
        <v>7</v>
      </c>
      <c r="C31" s="11">
        <v>1E-3</v>
      </c>
      <c r="D31" s="12">
        <v>8</v>
      </c>
      <c r="E31" s="11">
        <v>0</v>
      </c>
      <c r="F31" s="12">
        <v>734</v>
      </c>
      <c r="G31" s="11">
        <v>0</v>
      </c>
      <c r="H31" s="11">
        <v>0.40600000000000003</v>
      </c>
      <c r="I31" s="10">
        <v>2395600</v>
      </c>
      <c r="J31" s="12" t="s">
        <v>2402</v>
      </c>
      <c r="K31" s="12">
        <v>298</v>
      </c>
      <c r="L31" s="12" t="s">
        <v>2403</v>
      </c>
      <c r="M31" s="10">
        <v>4282912700</v>
      </c>
      <c r="N31" s="10">
        <v>548661</v>
      </c>
      <c r="O31" s="12">
        <v>25</v>
      </c>
    </row>
    <row r="32" spans="1:15" ht="27" x14ac:dyDescent="0.3">
      <c r="A32" s="9">
        <v>43486</v>
      </c>
      <c r="B32" s="12">
        <v>6</v>
      </c>
      <c r="C32" s="11">
        <v>1E-3</v>
      </c>
      <c r="D32" s="12">
        <v>6</v>
      </c>
      <c r="E32" s="11">
        <v>0</v>
      </c>
      <c r="F32" s="12">
        <v>524</v>
      </c>
      <c r="G32" s="11">
        <v>0</v>
      </c>
      <c r="H32" s="11">
        <v>9.4E-2</v>
      </c>
      <c r="I32" s="10">
        <v>327000</v>
      </c>
      <c r="J32" s="12" t="s">
        <v>2404</v>
      </c>
      <c r="K32" s="12">
        <v>49</v>
      </c>
      <c r="L32" s="12" t="s">
        <v>2405</v>
      </c>
      <c r="M32" s="10">
        <v>4283239700</v>
      </c>
      <c r="N32" s="10">
        <v>548710</v>
      </c>
      <c r="O32" s="12">
        <v>50</v>
      </c>
    </row>
    <row r="33" spans="1:15" ht="27" x14ac:dyDescent="0.3">
      <c r="A33" s="9">
        <v>43487</v>
      </c>
      <c r="B33" s="12">
        <v>6</v>
      </c>
      <c r="C33" s="11">
        <v>1E-3</v>
      </c>
      <c r="D33" s="12">
        <v>6</v>
      </c>
      <c r="E33" s="11">
        <v>0</v>
      </c>
      <c r="F33" s="12">
        <v>679</v>
      </c>
      <c r="G33" s="11">
        <v>0</v>
      </c>
      <c r="H33" s="11">
        <v>0.105</v>
      </c>
      <c r="I33" s="10">
        <v>418300</v>
      </c>
      <c r="J33" s="12" t="s">
        <v>2406</v>
      </c>
      <c r="K33" s="12">
        <v>71</v>
      </c>
      <c r="L33" s="12" t="s">
        <v>2407</v>
      </c>
      <c r="M33" s="10">
        <v>4283658000</v>
      </c>
      <c r="N33" s="10">
        <v>548781</v>
      </c>
      <c r="O33" s="12">
        <v>51</v>
      </c>
    </row>
    <row r="34" spans="1:15" ht="27" x14ac:dyDescent="0.3">
      <c r="A34" s="9">
        <v>43488</v>
      </c>
      <c r="B34" s="12">
        <v>4</v>
      </c>
      <c r="C34" s="11">
        <v>1E-3</v>
      </c>
      <c r="D34" s="12">
        <v>5</v>
      </c>
      <c r="E34" s="11">
        <v>0</v>
      </c>
      <c r="F34" s="12">
        <v>811</v>
      </c>
      <c r="G34" s="11">
        <v>0</v>
      </c>
      <c r="H34" s="11">
        <v>0.23100000000000001</v>
      </c>
      <c r="I34" s="10">
        <v>1161000</v>
      </c>
      <c r="J34" s="12" t="s">
        <v>2408</v>
      </c>
      <c r="K34" s="12">
        <v>187</v>
      </c>
      <c r="L34" s="12" t="s">
        <v>2409</v>
      </c>
      <c r="M34" s="10">
        <v>4284819000</v>
      </c>
      <c r="N34" s="10">
        <v>548968</v>
      </c>
      <c r="O34" s="12">
        <v>35</v>
      </c>
    </row>
    <row r="35" spans="1:15" ht="27" x14ac:dyDescent="0.3">
      <c r="A35" s="9">
        <v>43489</v>
      </c>
      <c r="B35" s="12">
        <v>3</v>
      </c>
      <c r="C35" s="11">
        <v>0</v>
      </c>
      <c r="D35" s="12">
        <v>3</v>
      </c>
      <c r="E35" s="11">
        <v>0</v>
      </c>
      <c r="F35" s="12">
        <v>289</v>
      </c>
      <c r="G35" s="11">
        <v>0</v>
      </c>
      <c r="H35" s="11">
        <v>0.104</v>
      </c>
      <c r="I35" s="10">
        <v>177000</v>
      </c>
      <c r="J35" s="12" t="s">
        <v>2410</v>
      </c>
      <c r="K35" s="12">
        <v>30</v>
      </c>
      <c r="L35" s="12" t="s">
        <v>2411</v>
      </c>
      <c r="M35" s="10">
        <v>4284996000</v>
      </c>
      <c r="N35" s="10">
        <v>548998</v>
      </c>
      <c r="O35" s="12">
        <v>58</v>
      </c>
    </row>
    <row r="36" spans="1:15" ht="27" x14ac:dyDescent="0.3">
      <c r="A36" s="9">
        <v>43490</v>
      </c>
      <c r="B36" s="12">
        <v>2</v>
      </c>
      <c r="C36" s="11">
        <v>0</v>
      </c>
      <c r="D36" s="12">
        <v>2</v>
      </c>
      <c r="E36" s="11">
        <v>0</v>
      </c>
      <c r="F36" s="12">
        <v>247</v>
      </c>
      <c r="G36" s="11">
        <v>0</v>
      </c>
      <c r="H36" s="11">
        <v>0.113</v>
      </c>
      <c r="I36" s="10">
        <v>171500</v>
      </c>
      <c r="J36" s="12" t="s">
        <v>2412</v>
      </c>
      <c r="K36" s="12">
        <v>28</v>
      </c>
      <c r="L36" s="12" t="s">
        <v>2413</v>
      </c>
      <c r="M36" s="10">
        <v>4285167500</v>
      </c>
      <c r="N36" s="10">
        <v>549026</v>
      </c>
      <c r="O36" s="12">
        <v>60</v>
      </c>
    </row>
    <row r="37" spans="1:15" ht="27" x14ac:dyDescent="0.3">
      <c r="A37" s="9">
        <v>43491</v>
      </c>
      <c r="B37" s="12">
        <v>3</v>
      </c>
      <c r="C37" s="11">
        <v>0</v>
      </c>
      <c r="D37" s="12">
        <v>3</v>
      </c>
      <c r="E37" s="11">
        <v>0</v>
      </c>
      <c r="F37" s="12">
        <v>274</v>
      </c>
      <c r="G37" s="11">
        <v>0</v>
      </c>
      <c r="H37" s="11">
        <v>0.19700000000000001</v>
      </c>
      <c r="I37" s="10">
        <v>447500</v>
      </c>
      <c r="J37" s="12" t="s">
        <v>2414</v>
      </c>
      <c r="K37" s="12">
        <v>54</v>
      </c>
      <c r="L37" s="12" t="s">
        <v>2415</v>
      </c>
      <c r="M37" s="10">
        <v>4285615000</v>
      </c>
      <c r="N37" s="10">
        <v>549080</v>
      </c>
      <c r="O37" s="12">
        <v>56</v>
      </c>
    </row>
    <row r="38" spans="1:15" ht="27" x14ac:dyDescent="0.3">
      <c r="A38" s="9">
        <v>43492</v>
      </c>
      <c r="B38" s="12">
        <v>3</v>
      </c>
      <c r="C38" s="11">
        <v>0</v>
      </c>
      <c r="D38" s="12">
        <v>3</v>
      </c>
      <c r="E38" s="11">
        <v>0</v>
      </c>
      <c r="F38" s="12">
        <v>569</v>
      </c>
      <c r="G38" s="11">
        <v>0</v>
      </c>
      <c r="H38" s="11">
        <v>0.09</v>
      </c>
      <c r="I38" s="10">
        <v>446800</v>
      </c>
      <c r="J38" s="12" t="s">
        <v>2416</v>
      </c>
      <c r="K38" s="12">
        <v>51</v>
      </c>
      <c r="L38" s="12" t="s">
        <v>2417</v>
      </c>
      <c r="M38" s="10">
        <v>4286061800</v>
      </c>
      <c r="N38" s="10">
        <v>549131</v>
      </c>
      <c r="O38" s="12">
        <v>53</v>
      </c>
    </row>
    <row r="39" spans="1:15" ht="27" x14ac:dyDescent="0.3">
      <c r="A39" s="9">
        <v>43493</v>
      </c>
      <c r="B39" s="12">
        <v>2</v>
      </c>
      <c r="C39" s="11">
        <v>0</v>
      </c>
      <c r="D39" s="12">
        <v>2</v>
      </c>
      <c r="E39" s="11">
        <v>0</v>
      </c>
      <c r="F39" s="12">
        <v>272</v>
      </c>
      <c r="G39" s="11">
        <v>0</v>
      </c>
      <c r="H39" s="11">
        <v>0.28699999999999998</v>
      </c>
      <c r="I39" s="10">
        <v>474000</v>
      </c>
      <c r="J39" s="12" t="s">
        <v>2418</v>
      </c>
      <c r="K39" s="12">
        <v>78</v>
      </c>
      <c r="L39" s="12" t="s">
        <v>2419</v>
      </c>
      <c r="M39" s="10">
        <v>4286535800</v>
      </c>
      <c r="N39" s="10">
        <v>549209</v>
      </c>
      <c r="O39" s="12">
        <v>46</v>
      </c>
    </row>
    <row r="40" spans="1:15" ht="27" x14ac:dyDescent="0.3">
      <c r="A40" s="9">
        <v>43495</v>
      </c>
      <c r="B40" s="12">
        <v>14</v>
      </c>
      <c r="C40" s="11">
        <v>3.0000000000000001E-3</v>
      </c>
      <c r="D40" s="12">
        <v>14</v>
      </c>
      <c r="E40" s="11">
        <v>1E-3</v>
      </c>
      <c r="F40" s="10">
        <v>1946</v>
      </c>
      <c r="G40" s="11">
        <v>1E-3</v>
      </c>
      <c r="H40" s="11">
        <v>0.107</v>
      </c>
      <c r="I40" s="10">
        <v>1081000</v>
      </c>
      <c r="J40" s="12" t="s">
        <v>2420</v>
      </c>
      <c r="K40" s="12">
        <v>209</v>
      </c>
      <c r="L40" s="12" t="s">
        <v>2421</v>
      </c>
      <c r="M40" s="10">
        <v>4287616800</v>
      </c>
      <c r="N40" s="10">
        <v>549418</v>
      </c>
      <c r="O40" s="12">
        <v>32</v>
      </c>
    </row>
    <row r="41" spans="1:15" ht="27" x14ac:dyDescent="0.3">
      <c r="A41" s="9">
        <v>43496</v>
      </c>
      <c r="B41" s="12">
        <v>9</v>
      </c>
      <c r="C41" s="11">
        <v>2E-3</v>
      </c>
      <c r="D41" s="12">
        <v>9</v>
      </c>
      <c r="E41" s="11">
        <v>0</v>
      </c>
      <c r="F41" s="10">
        <v>1249</v>
      </c>
      <c r="G41" s="11">
        <v>0</v>
      </c>
      <c r="H41" s="11">
        <v>0.17899999999999999</v>
      </c>
      <c r="I41" s="10">
        <v>2026000</v>
      </c>
      <c r="J41" s="12" t="s">
        <v>2422</v>
      </c>
      <c r="K41" s="12">
        <v>224</v>
      </c>
      <c r="L41" s="12" t="s">
        <v>2423</v>
      </c>
      <c r="M41" s="10">
        <v>4289642800</v>
      </c>
      <c r="N41" s="10">
        <v>549642</v>
      </c>
      <c r="O41" s="12">
        <v>28</v>
      </c>
    </row>
    <row r="42" spans="1:15" ht="27" x14ac:dyDescent="0.3">
      <c r="A42" s="9">
        <v>43497</v>
      </c>
      <c r="B42" s="12">
        <v>4</v>
      </c>
      <c r="C42" s="11">
        <v>1E-3</v>
      </c>
      <c r="D42" s="12">
        <v>4</v>
      </c>
      <c r="E42" s="11">
        <v>0</v>
      </c>
      <c r="F42" s="12">
        <v>465</v>
      </c>
      <c r="G42" s="11">
        <v>0</v>
      </c>
      <c r="H42" s="11">
        <v>8.9999999999999993E-3</v>
      </c>
      <c r="I42" s="10">
        <v>26000</v>
      </c>
      <c r="J42" s="12" t="s">
        <v>2424</v>
      </c>
      <c r="K42" s="12">
        <v>4</v>
      </c>
      <c r="L42" s="12" t="s">
        <v>2425</v>
      </c>
      <c r="M42" s="10">
        <v>4289668800</v>
      </c>
      <c r="N42" s="10">
        <v>549646</v>
      </c>
      <c r="O42" s="12">
        <v>64</v>
      </c>
    </row>
    <row r="43" spans="1:15" x14ac:dyDescent="0.3">
      <c r="A43" s="9">
        <v>43498</v>
      </c>
      <c r="B43" s="12">
        <v>4</v>
      </c>
      <c r="C43" s="11">
        <v>1E-3</v>
      </c>
      <c r="D43" s="12">
        <v>4</v>
      </c>
      <c r="E43" s="11">
        <v>0</v>
      </c>
      <c r="F43" s="12">
        <v>465</v>
      </c>
      <c r="G43" s="11">
        <v>0</v>
      </c>
      <c r="H43" s="11">
        <v>8.9999999999999993E-3</v>
      </c>
      <c r="I43" s="10">
        <v>26000</v>
      </c>
      <c r="J43" s="12" t="s">
        <v>292</v>
      </c>
      <c r="K43" s="12">
        <v>4</v>
      </c>
      <c r="L43" s="12" t="s">
        <v>292</v>
      </c>
      <c r="M43" s="10">
        <v>4289694800</v>
      </c>
      <c r="N43" s="10">
        <v>549650</v>
      </c>
      <c r="O43" s="12">
        <v>74</v>
      </c>
    </row>
    <row r="44" spans="1:15" ht="27" x14ac:dyDescent="0.3">
      <c r="A44" s="9">
        <v>43499</v>
      </c>
      <c r="B44" s="12">
        <v>5</v>
      </c>
      <c r="C44" s="11">
        <v>1E-3</v>
      </c>
      <c r="D44" s="12">
        <v>6</v>
      </c>
      <c r="E44" s="11">
        <v>0</v>
      </c>
      <c r="F44" s="10">
        <v>1237</v>
      </c>
      <c r="G44" s="11">
        <v>0</v>
      </c>
      <c r="H44" s="11">
        <v>8.0000000000000002E-3</v>
      </c>
      <c r="I44" s="10">
        <v>64000</v>
      </c>
      <c r="J44" s="12" t="s">
        <v>2426</v>
      </c>
      <c r="K44" s="12">
        <v>10</v>
      </c>
      <c r="L44" s="12" t="s">
        <v>1114</v>
      </c>
      <c r="M44" s="10">
        <v>4289758800</v>
      </c>
      <c r="N44" s="10">
        <v>549660</v>
      </c>
      <c r="O44" s="12">
        <v>64</v>
      </c>
    </row>
    <row r="45" spans="1:15" ht="27" x14ac:dyDescent="0.3">
      <c r="A45" s="9">
        <v>43500</v>
      </c>
      <c r="B45" s="12">
        <v>4</v>
      </c>
      <c r="C45" s="11">
        <v>1E-3</v>
      </c>
      <c r="D45" s="12">
        <v>4</v>
      </c>
      <c r="E45" s="11">
        <v>0</v>
      </c>
      <c r="F45" s="12">
        <v>465</v>
      </c>
      <c r="G45" s="11">
        <v>0</v>
      </c>
      <c r="H45" s="11">
        <v>8.9999999999999993E-3</v>
      </c>
      <c r="I45" s="10">
        <v>26000</v>
      </c>
      <c r="J45" s="12" t="s">
        <v>2427</v>
      </c>
      <c r="K45" s="12">
        <v>4</v>
      </c>
      <c r="L45" s="12" t="s">
        <v>1399</v>
      </c>
      <c r="M45" s="10">
        <v>4289784800</v>
      </c>
      <c r="N45" s="10">
        <v>549664</v>
      </c>
      <c r="O45" s="12">
        <v>59</v>
      </c>
    </row>
    <row r="46" spans="1:15" ht="27" x14ac:dyDescent="0.3">
      <c r="A46" s="9">
        <v>43501</v>
      </c>
      <c r="B46" s="12">
        <v>3</v>
      </c>
      <c r="C46" s="11">
        <v>1E-3</v>
      </c>
      <c r="D46" s="12">
        <v>3</v>
      </c>
      <c r="E46" s="11">
        <v>0</v>
      </c>
      <c r="F46" s="12">
        <v>389</v>
      </c>
      <c r="G46" s="11">
        <v>0</v>
      </c>
      <c r="H46" s="11">
        <v>8.0000000000000002E-3</v>
      </c>
      <c r="I46" s="10">
        <v>20000</v>
      </c>
      <c r="J46" s="12" t="s">
        <v>2428</v>
      </c>
      <c r="K46" s="12">
        <v>3</v>
      </c>
      <c r="L46" s="12" t="s">
        <v>2429</v>
      </c>
      <c r="M46" s="10">
        <v>4289804800</v>
      </c>
      <c r="N46" s="10">
        <v>549667</v>
      </c>
      <c r="O46" s="12">
        <v>67</v>
      </c>
    </row>
    <row r="47" spans="1:15" ht="27" x14ac:dyDescent="0.3">
      <c r="A47" s="9">
        <v>43502</v>
      </c>
      <c r="B47" s="12">
        <v>4</v>
      </c>
      <c r="C47" s="11">
        <v>1E-3</v>
      </c>
      <c r="D47" s="12">
        <v>4</v>
      </c>
      <c r="E47" s="11">
        <v>0</v>
      </c>
      <c r="F47" s="12">
        <v>465</v>
      </c>
      <c r="G47" s="11">
        <v>0</v>
      </c>
      <c r="H47" s="11">
        <v>8.9999999999999993E-3</v>
      </c>
      <c r="I47" s="10">
        <v>26000</v>
      </c>
      <c r="J47" s="12" t="s">
        <v>2430</v>
      </c>
      <c r="K47" s="12">
        <v>4</v>
      </c>
      <c r="L47" s="12" t="s">
        <v>2431</v>
      </c>
      <c r="M47" s="10">
        <v>4289830800</v>
      </c>
      <c r="N47" s="10">
        <v>549671</v>
      </c>
      <c r="O47" s="12">
        <v>74</v>
      </c>
    </row>
    <row r="48" spans="1:15" x14ac:dyDescent="0.3">
      <c r="A48" s="9">
        <v>43503</v>
      </c>
      <c r="B48" s="12">
        <v>4</v>
      </c>
      <c r="C48" s="11">
        <v>1E-3</v>
      </c>
      <c r="D48" s="12">
        <v>4</v>
      </c>
      <c r="E48" s="11">
        <v>0</v>
      </c>
      <c r="F48" s="12">
        <v>505</v>
      </c>
      <c r="G48" s="11">
        <v>0</v>
      </c>
      <c r="H48" s="11">
        <v>8.0000000000000002E-3</v>
      </c>
      <c r="I48" s="10">
        <v>26000</v>
      </c>
      <c r="J48" s="12" t="s">
        <v>292</v>
      </c>
      <c r="K48" s="12">
        <v>4</v>
      </c>
      <c r="L48" s="12" t="s">
        <v>292</v>
      </c>
      <c r="M48" s="10">
        <v>4289856800</v>
      </c>
      <c r="N48" s="10">
        <v>549675</v>
      </c>
      <c r="O48" s="12">
        <v>66</v>
      </c>
    </row>
    <row r="49" spans="1:15" x14ac:dyDescent="0.3">
      <c r="A49" s="9">
        <v>43504</v>
      </c>
      <c r="B49" s="12">
        <v>4</v>
      </c>
      <c r="C49" s="11">
        <v>1E-3</v>
      </c>
      <c r="D49" s="12">
        <v>4</v>
      </c>
      <c r="E49" s="11">
        <v>0</v>
      </c>
      <c r="F49" s="12">
        <v>465</v>
      </c>
      <c r="G49" s="11">
        <v>0</v>
      </c>
      <c r="H49" s="11">
        <v>8.9999999999999993E-3</v>
      </c>
      <c r="I49" s="10">
        <v>26000</v>
      </c>
      <c r="J49" s="12" t="s">
        <v>292</v>
      </c>
      <c r="K49" s="12">
        <v>4</v>
      </c>
      <c r="L49" s="12" t="s">
        <v>292</v>
      </c>
      <c r="M49" s="10">
        <v>4289882800</v>
      </c>
      <c r="N49" s="10">
        <v>549679</v>
      </c>
      <c r="O49" s="12">
        <v>70</v>
      </c>
    </row>
    <row r="50" spans="1:15" x14ac:dyDescent="0.3">
      <c r="A50" s="9">
        <v>43505</v>
      </c>
      <c r="B50" s="12">
        <v>4</v>
      </c>
      <c r="C50" s="11">
        <v>1E-3</v>
      </c>
      <c r="D50" s="12">
        <v>4</v>
      </c>
      <c r="E50" s="11">
        <v>0</v>
      </c>
      <c r="F50" s="12">
        <v>465</v>
      </c>
      <c r="G50" s="11">
        <v>0</v>
      </c>
      <c r="H50" s="11">
        <v>8.9999999999999993E-3</v>
      </c>
      <c r="I50" s="10">
        <v>26000</v>
      </c>
      <c r="J50" s="12" t="s">
        <v>292</v>
      </c>
      <c r="K50" s="12">
        <v>4</v>
      </c>
      <c r="L50" s="12" t="s">
        <v>292</v>
      </c>
      <c r="M50" s="10">
        <v>4289908800</v>
      </c>
      <c r="N50" s="10">
        <v>549683</v>
      </c>
      <c r="O50" s="12">
        <v>72</v>
      </c>
    </row>
    <row r="51" spans="1:15" ht="27" x14ac:dyDescent="0.3">
      <c r="A51" s="9">
        <v>43506</v>
      </c>
      <c r="B51" s="12">
        <v>5</v>
      </c>
      <c r="C51" s="11">
        <v>1E-3</v>
      </c>
      <c r="D51" s="12">
        <v>5</v>
      </c>
      <c r="E51" s="11">
        <v>0</v>
      </c>
      <c r="F51" s="12">
        <v>851</v>
      </c>
      <c r="G51" s="11">
        <v>0</v>
      </c>
      <c r="H51" s="11">
        <v>7.0000000000000001E-3</v>
      </c>
      <c r="I51" s="10">
        <v>38000</v>
      </c>
      <c r="J51" s="12" t="s">
        <v>2432</v>
      </c>
      <c r="K51" s="12">
        <v>6</v>
      </c>
      <c r="L51" s="12" t="s">
        <v>2433</v>
      </c>
      <c r="M51" s="10">
        <v>4289946800</v>
      </c>
      <c r="N51" s="10">
        <v>549689</v>
      </c>
      <c r="O51" s="12">
        <v>62</v>
      </c>
    </row>
    <row r="52" spans="1:15" ht="27" x14ac:dyDescent="0.3">
      <c r="A52" s="9">
        <v>43507</v>
      </c>
      <c r="B52" s="12">
        <v>4</v>
      </c>
      <c r="C52" s="11">
        <v>1E-3</v>
      </c>
      <c r="D52" s="12">
        <v>4</v>
      </c>
      <c r="E52" s="11">
        <v>0</v>
      </c>
      <c r="F52" s="12">
        <v>462</v>
      </c>
      <c r="G52" s="11">
        <v>0</v>
      </c>
      <c r="H52" s="11">
        <v>8.9999999999999993E-3</v>
      </c>
      <c r="I52" s="10">
        <v>26000</v>
      </c>
      <c r="J52" s="12" t="s">
        <v>2434</v>
      </c>
      <c r="K52" s="12">
        <v>4</v>
      </c>
      <c r="L52" s="12" t="s">
        <v>2435</v>
      </c>
      <c r="M52" s="10">
        <v>4289972800</v>
      </c>
      <c r="N52" s="10">
        <v>549693</v>
      </c>
      <c r="O52" s="12">
        <v>57</v>
      </c>
    </row>
    <row r="53" spans="1:15" x14ac:dyDescent="0.3">
      <c r="A53" s="9">
        <v>43508</v>
      </c>
      <c r="B53" s="12">
        <v>4</v>
      </c>
      <c r="C53" s="11">
        <v>1E-3</v>
      </c>
      <c r="D53" s="12">
        <v>4</v>
      </c>
      <c r="E53" s="11">
        <v>0</v>
      </c>
      <c r="F53" s="12">
        <v>462</v>
      </c>
      <c r="G53" s="11">
        <v>0</v>
      </c>
      <c r="H53" s="11">
        <v>8.9999999999999993E-3</v>
      </c>
      <c r="I53" s="10">
        <v>26000</v>
      </c>
      <c r="J53" s="12" t="s">
        <v>292</v>
      </c>
      <c r="K53" s="12">
        <v>4</v>
      </c>
      <c r="L53" s="12" t="s">
        <v>292</v>
      </c>
      <c r="M53" s="10">
        <v>4289998800</v>
      </c>
      <c r="N53" s="10">
        <v>549697</v>
      </c>
      <c r="O53" s="12">
        <v>70</v>
      </c>
    </row>
    <row r="54" spans="1:15" ht="27" x14ac:dyDescent="0.3">
      <c r="A54" s="9">
        <v>43509</v>
      </c>
      <c r="B54" s="12">
        <v>4</v>
      </c>
      <c r="C54" s="11">
        <v>1E-3</v>
      </c>
      <c r="D54" s="12">
        <v>4</v>
      </c>
      <c r="E54" s="11">
        <v>0</v>
      </c>
      <c r="F54" s="12">
        <v>497</v>
      </c>
      <c r="G54" s="11">
        <v>0</v>
      </c>
      <c r="H54" s="11">
        <v>0.72799999999999998</v>
      </c>
      <c r="I54" s="10">
        <v>3074500</v>
      </c>
      <c r="J54" s="12" t="s">
        <v>2436</v>
      </c>
      <c r="K54" s="12">
        <v>362</v>
      </c>
      <c r="L54" s="12" t="s">
        <v>2437</v>
      </c>
      <c r="M54" s="10">
        <v>4293073300</v>
      </c>
      <c r="N54" s="10">
        <v>550059</v>
      </c>
      <c r="O54" s="12">
        <v>24</v>
      </c>
    </row>
    <row r="55" spans="1:15" ht="27" x14ac:dyDescent="0.3">
      <c r="A55" s="9">
        <v>43547</v>
      </c>
      <c r="B55" s="12">
        <v>1</v>
      </c>
      <c r="C55" s="11">
        <v>0</v>
      </c>
      <c r="D55" s="12">
        <v>1</v>
      </c>
      <c r="E55" s="11">
        <v>0</v>
      </c>
      <c r="F55" s="12">
        <v>48</v>
      </c>
      <c r="G55" s="11">
        <v>0</v>
      </c>
      <c r="H55" s="11">
        <v>0.16700000000000001</v>
      </c>
      <c r="I55" s="10">
        <v>66500</v>
      </c>
      <c r="J55" s="12" t="s">
        <v>2438</v>
      </c>
      <c r="K55" s="12">
        <v>8</v>
      </c>
      <c r="L55" s="12" t="s">
        <v>1557</v>
      </c>
      <c r="M55" s="10">
        <v>4293139800</v>
      </c>
      <c r="N55" s="10">
        <v>550067</v>
      </c>
      <c r="O55" s="12">
        <v>102</v>
      </c>
    </row>
    <row r="56" spans="1:15" ht="27" x14ac:dyDescent="0.3">
      <c r="A56" s="9">
        <v>43548</v>
      </c>
      <c r="B56" s="12">
        <v>1</v>
      </c>
      <c r="C56" s="11">
        <v>0</v>
      </c>
      <c r="D56" s="12">
        <v>1</v>
      </c>
      <c r="E56" s="11">
        <v>0</v>
      </c>
      <c r="F56" s="12">
        <v>48</v>
      </c>
      <c r="G56" s="11">
        <v>0</v>
      </c>
      <c r="H56" s="11">
        <v>0.52100000000000002</v>
      </c>
      <c r="I56" s="10">
        <v>185000</v>
      </c>
      <c r="J56" s="12" t="s">
        <v>2439</v>
      </c>
      <c r="K56" s="12">
        <v>25</v>
      </c>
      <c r="L56" s="12" t="s">
        <v>2440</v>
      </c>
      <c r="M56" s="10">
        <v>4293324800</v>
      </c>
      <c r="N56" s="10">
        <v>550092</v>
      </c>
      <c r="O56" s="12">
        <v>78</v>
      </c>
    </row>
    <row r="57" spans="1:15" ht="27" x14ac:dyDescent="0.3">
      <c r="A57" s="9">
        <v>43550</v>
      </c>
      <c r="B57" s="12">
        <v>1</v>
      </c>
      <c r="C57" s="11">
        <v>0</v>
      </c>
      <c r="D57" s="12">
        <v>1</v>
      </c>
      <c r="E57" s="11">
        <v>0</v>
      </c>
      <c r="F57" s="12">
        <v>48</v>
      </c>
      <c r="G57" s="11">
        <v>0</v>
      </c>
      <c r="H57" s="11">
        <v>0.104</v>
      </c>
      <c r="I57" s="10">
        <v>37000</v>
      </c>
      <c r="J57" s="12" t="s">
        <v>2441</v>
      </c>
      <c r="K57" s="12">
        <v>5</v>
      </c>
      <c r="L57" s="12" t="s">
        <v>1395</v>
      </c>
      <c r="M57" s="10">
        <v>4293361800</v>
      </c>
      <c r="N57" s="10">
        <v>550097</v>
      </c>
      <c r="O57" s="12">
        <v>95</v>
      </c>
    </row>
    <row r="58" spans="1:15" ht="27" x14ac:dyDescent="0.3">
      <c r="A58" s="9">
        <v>43563</v>
      </c>
      <c r="B58" s="12">
        <v>1</v>
      </c>
      <c r="C58" s="11">
        <v>0</v>
      </c>
      <c r="D58" s="12">
        <v>1</v>
      </c>
      <c r="E58" s="11">
        <v>0</v>
      </c>
      <c r="F58" s="12">
        <v>48</v>
      </c>
      <c r="G58" s="11">
        <v>0</v>
      </c>
      <c r="H58" s="11">
        <v>4.2000000000000003E-2</v>
      </c>
      <c r="I58" s="10">
        <v>12000</v>
      </c>
      <c r="J58" s="12" t="s">
        <v>2442</v>
      </c>
      <c r="K58" s="12">
        <v>2</v>
      </c>
      <c r="L58" s="12" t="s">
        <v>1408</v>
      </c>
      <c r="M58" s="10">
        <v>4293373800</v>
      </c>
      <c r="N58" s="10">
        <v>550099</v>
      </c>
      <c r="O58" s="12">
        <v>86</v>
      </c>
    </row>
    <row r="59" spans="1:15" ht="27" x14ac:dyDescent="0.3">
      <c r="A59" s="9">
        <v>43564</v>
      </c>
      <c r="B59" s="12">
        <v>1</v>
      </c>
      <c r="C59" s="11">
        <v>0</v>
      </c>
      <c r="D59" s="12">
        <v>1</v>
      </c>
      <c r="E59" s="11">
        <v>0</v>
      </c>
      <c r="F59" s="12">
        <v>86</v>
      </c>
      <c r="G59" s="11">
        <v>0</v>
      </c>
      <c r="H59" s="11">
        <v>3.5000000000000003E-2</v>
      </c>
      <c r="I59" s="10">
        <v>22000</v>
      </c>
      <c r="J59" s="12" t="s">
        <v>2443</v>
      </c>
      <c r="K59" s="12">
        <v>3</v>
      </c>
      <c r="L59" s="12" t="s">
        <v>291</v>
      </c>
      <c r="M59" s="10">
        <v>4293395800</v>
      </c>
      <c r="N59" s="10">
        <v>550102</v>
      </c>
      <c r="O59" s="12">
        <v>94</v>
      </c>
    </row>
    <row r="60" spans="1:15" ht="27" x14ac:dyDescent="0.3">
      <c r="A60" s="9">
        <v>43565</v>
      </c>
      <c r="B60" s="12">
        <v>1</v>
      </c>
      <c r="C60" s="11">
        <v>0</v>
      </c>
      <c r="D60" s="12">
        <v>1</v>
      </c>
      <c r="E60" s="11">
        <v>0</v>
      </c>
      <c r="F60" s="12">
        <v>48</v>
      </c>
      <c r="G60" s="11">
        <v>0</v>
      </c>
      <c r="H60" s="11">
        <v>4.2000000000000003E-2</v>
      </c>
      <c r="I60" s="10">
        <v>13000</v>
      </c>
      <c r="J60" s="12" t="s">
        <v>2444</v>
      </c>
      <c r="K60" s="12">
        <v>2</v>
      </c>
      <c r="L60" s="12" t="s">
        <v>1422</v>
      </c>
      <c r="M60" s="10">
        <v>4293408800</v>
      </c>
      <c r="N60" s="10">
        <v>550104</v>
      </c>
      <c r="O60" s="12">
        <v>93</v>
      </c>
    </row>
    <row r="61" spans="1:15" ht="27" x14ac:dyDescent="0.3">
      <c r="A61" s="9">
        <v>43568</v>
      </c>
      <c r="B61" s="12">
        <v>1</v>
      </c>
      <c r="C61" s="11">
        <v>0</v>
      </c>
      <c r="D61" s="12">
        <v>1</v>
      </c>
      <c r="E61" s="11">
        <v>0</v>
      </c>
      <c r="F61" s="12">
        <v>48</v>
      </c>
      <c r="G61" s="11">
        <v>0</v>
      </c>
      <c r="H61" s="11">
        <v>0.54200000000000004</v>
      </c>
      <c r="I61" s="10">
        <v>218500</v>
      </c>
      <c r="J61" s="12" t="s">
        <v>2445</v>
      </c>
      <c r="K61" s="12">
        <v>26</v>
      </c>
      <c r="L61" s="12" t="s">
        <v>2446</v>
      </c>
      <c r="M61" s="10">
        <v>4293627300</v>
      </c>
      <c r="N61" s="10">
        <v>550130</v>
      </c>
      <c r="O61" s="12">
        <v>75</v>
      </c>
    </row>
    <row r="62" spans="1:15" ht="27" x14ac:dyDescent="0.3">
      <c r="A62" s="9">
        <v>43569</v>
      </c>
      <c r="B62" s="12">
        <v>1</v>
      </c>
      <c r="C62" s="11">
        <v>0</v>
      </c>
      <c r="D62" s="12">
        <v>1</v>
      </c>
      <c r="E62" s="11">
        <v>0</v>
      </c>
      <c r="F62" s="12">
        <v>48</v>
      </c>
      <c r="G62" s="11">
        <v>0</v>
      </c>
      <c r="H62" s="11">
        <v>0.313</v>
      </c>
      <c r="I62" s="10">
        <v>119500</v>
      </c>
      <c r="J62" s="12" t="s">
        <v>2447</v>
      </c>
      <c r="K62" s="12">
        <v>15</v>
      </c>
      <c r="L62" s="12" t="s">
        <v>2448</v>
      </c>
      <c r="M62" s="10">
        <v>4293746800</v>
      </c>
      <c r="N62" s="10">
        <v>550145</v>
      </c>
      <c r="O62" s="12">
        <v>86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9707D-4C28-48FC-9B79-4736D757968E}">
  <dimension ref="A1:O43"/>
  <sheetViews>
    <sheetView workbookViewId="0">
      <selection activeCell="A5" sqref="A5:O12"/>
    </sheetView>
  </sheetViews>
  <sheetFormatPr defaultRowHeight="16.5" x14ac:dyDescent="0.3"/>
  <sheetData>
    <row r="1" spans="1:15" ht="19.5" x14ac:dyDescent="0.3">
      <c r="A1" s="197" t="s">
        <v>2449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43481</v>
      </c>
      <c r="B5" s="12">
        <v>508</v>
      </c>
      <c r="C5" s="11">
        <v>7.1999999999999995E-2</v>
      </c>
      <c r="D5" s="10">
        <v>1132</v>
      </c>
      <c r="E5" s="11">
        <v>6.2E-2</v>
      </c>
      <c r="F5" s="10">
        <v>146658</v>
      </c>
      <c r="G5" s="11">
        <v>5.1999999999999998E-2</v>
      </c>
      <c r="H5" s="11">
        <v>0.11</v>
      </c>
      <c r="I5" s="10">
        <v>124865980</v>
      </c>
      <c r="J5" s="12" t="s">
        <v>2450</v>
      </c>
      <c r="K5" s="10">
        <v>16169</v>
      </c>
      <c r="L5" s="12" t="s">
        <v>2451</v>
      </c>
      <c r="M5" s="10">
        <v>158031780</v>
      </c>
      <c r="N5" s="10">
        <v>19789</v>
      </c>
      <c r="O5" s="12">
        <v>5</v>
      </c>
    </row>
    <row r="6" spans="1:15" ht="27" x14ac:dyDescent="0.3">
      <c r="A6" s="9">
        <v>43482</v>
      </c>
      <c r="B6" s="12">
        <v>483</v>
      </c>
      <c r="C6" s="11">
        <v>6.6000000000000003E-2</v>
      </c>
      <c r="D6" s="12">
        <v>978</v>
      </c>
      <c r="E6" s="11">
        <v>5.3999999999999999E-2</v>
      </c>
      <c r="F6" s="10">
        <v>125061</v>
      </c>
      <c r="G6" s="11">
        <v>4.3999999999999997E-2</v>
      </c>
      <c r="H6" s="11">
        <v>8.8999999999999996E-2</v>
      </c>
      <c r="I6" s="10">
        <v>86485850</v>
      </c>
      <c r="J6" s="12" t="s">
        <v>2452</v>
      </c>
      <c r="K6" s="10">
        <v>11170</v>
      </c>
      <c r="L6" s="12" t="s">
        <v>2453</v>
      </c>
      <c r="M6" s="10">
        <v>244517630</v>
      </c>
      <c r="N6" s="10">
        <v>30959</v>
      </c>
      <c r="O6" s="12">
        <v>6</v>
      </c>
    </row>
    <row r="7" spans="1:15" ht="27" x14ac:dyDescent="0.3">
      <c r="A7" s="9">
        <v>43483</v>
      </c>
      <c r="B7" s="12">
        <v>489</v>
      </c>
      <c r="C7" s="11">
        <v>6.7000000000000004E-2</v>
      </c>
      <c r="D7" s="12">
        <v>949</v>
      </c>
      <c r="E7" s="11">
        <v>5.0999999999999997E-2</v>
      </c>
      <c r="F7" s="10">
        <v>120949</v>
      </c>
      <c r="G7" s="11">
        <v>4.2000000000000003E-2</v>
      </c>
      <c r="H7" s="11">
        <v>8.5000000000000006E-2</v>
      </c>
      <c r="I7" s="10">
        <v>87241389</v>
      </c>
      <c r="J7" s="12" t="s">
        <v>2454</v>
      </c>
      <c r="K7" s="10">
        <v>10241</v>
      </c>
      <c r="L7" s="12" t="s">
        <v>2455</v>
      </c>
      <c r="M7" s="10">
        <v>331759019</v>
      </c>
      <c r="N7" s="10">
        <v>41200</v>
      </c>
      <c r="O7" s="12">
        <v>6</v>
      </c>
    </row>
    <row r="8" spans="1:15" ht="27" x14ac:dyDescent="0.3">
      <c r="A8" s="9">
        <v>43484</v>
      </c>
      <c r="B8" s="12">
        <v>490</v>
      </c>
      <c r="C8" s="11">
        <v>6.3E-2</v>
      </c>
      <c r="D8" s="12">
        <v>895</v>
      </c>
      <c r="E8" s="11">
        <v>4.5999999999999999E-2</v>
      </c>
      <c r="F8" s="10">
        <v>111694</v>
      </c>
      <c r="G8" s="11">
        <v>3.6999999999999998E-2</v>
      </c>
      <c r="H8" s="11">
        <v>0.17599999999999999</v>
      </c>
      <c r="I8" s="10">
        <v>166532918</v>
      </c>
      <c r="J8" s="12" t="s">
        <v>2456</v>
      </c>
      <c r="K8" s="10">
        <v>19697</v>
      </c>
      <c r="L8" s="12" t="s">
        <v>2457</v>
      </c>
      <c r="M8" s="10">
        <v>498291937</v>
      </c>
      <c r="N8" s="10">
        <v>60897</v>
      </c>
      <c r="O8" s="12">
        <v>7</v>
      </c>
    </row>
    <row r="9" spans="1:15" ht="27" x14ac:dyDescent="0.3">
      <c r="A9" s="9">
        <v>43485</v>
      </c>
      <c r="B9" s="12">
        <v>470</v>
      </c>
      <c r="C9" s="11">
        <v>6.0999999999999999E-2</v>
      </c>
      <c r="D9" s="12">
        <v>827</v>
      </c>
      <c r="E9" s="11">
        <v>4.3999999999999997E-2</v>
      </c>
      <c r="F9" s="10">
        <v>103797</v>
      </c>
      <c r="G9" s="11">
        <v>3.5000000000000003E-2</v>
      </c>
      <c r="H9" s="11">
        <v>0.16500000000000001</v>
      </c>
      <c r="I9" s="10">
        <v>144461040</v>
      </c>
      <c r="J9" s="12" t="s">
        <v>2458</v>
      </c>
      <c r="K9" s="10">
        <v>17088</v>
      </c>
      <c r="L9" s="12" t="s">
        <v>2459</v>
      </c>
      <c r="M9" s="10">
        <v>642752977</v>
      </c>
      <c r="N9" s="10">
        <v>77985</v>
      </c>
      <c r="O9" s="12">
        <v>7</v>
      </c>
    </row>
    <row r="10" spans="1:15" ht="27" x14ac:dyDescent="0.3">
      <c r="A10" s="9">
        <v>43486</v>
      </c>
      <c r="B10" s="12">
        <v>429</v>
      </c>
      <c r="C10" s="11">
        <v>6.2E-2</v>
      </c>
      <c r="D10" s="12">
        <v>777</v>
      </c>
      <c r="E10" s="11">
        <v>4.4999999999999998E-2</v>
      </c>
      <c r="F10" s="10">
        <v>99507</v>
      </c>
      <c r="G10" s="11">
        <v>3.5999999999999997E-2</v>
      </c>
      <c r="H10" s="11">
        <v>6.6000000000000003E-2</v>
      </c>
      <c r="I10" s="10">
        <v>50828900</v>
      </c>
      <c r="J10" s="12" t="s">
        <v>2460</v>
      </c>
      <c r="K10" s="10">
        <v>6605</v>
      </c>
      <c r="L10" s="12" t="s">
        <v>2461</v>
      </c>
      <c r="M10" s="10">
        <v>693581877</v>
      </c>
      <c r="N10" s="10">
        <v>84590</v>
      </c>
      <c r="O10" s="12">
        <v>7</v>
      </c>
    </row>
    <row r="11" spans="1:15" ht="27" x14ac:dyDescent="0.3">
      <c r="A11" s="9">
        <v>43487</v>
      </c>
      <c r="B11" s="12">
        <v>436</v>
      </c>
      <c r="C11" s="11">
        <v>6.0999999999999999E-2</v>
      </c>
      <c r="D11" s="12">
        <v>753</v>
      </c>
      <c r="E11" s="11">
        <v>4.2999999999999997E-2</v>
      </c>
      <c r="F11" s="10">
        <v>97946</v>
      </c>
      <c r="G11" s="11">
        <v>3.5999999999999997E-2</v>
      </c>
      <c r="H11" s="11">
        <v>6.7000000000000004E-2</v>
      </c>
      <c r="I11" s="10">
        <v>49503520</v>
      </c>
      <c r="J11" s="12" t="s">
        <v>2462</v>
      </c>
      <c r="K11" s="10">
        <v>6591</v>
      </c>
      <c r="L11" s="12" t="s">
        <v>2463</v>
      </c>
      <c r="M11" s="10">
        <v>743085397</v>
      </c>
      <c r="N11" s="10">
        <v>91181</v>
      </c>
      <c r="O11" s="12">
        <v>7</v>
      </c>
    </row>
    <row r="12" spans="1:15" ht="27" x14ac:dyDescent="0.3">
      <c r="A12" s="9">
        <v>43488</v>
      </c>
      <c r="B12" s="12">
        <v>152</v>
      </c>
      <c r="C12" s="11">
        <v>2.5000000000000001E-2</v>
      </c>
      <c r="D12" s="12">
        <v>201</v>
      </c>
      <c r="E12" s="11">
        <v>1.0999999999999999E-2</v>
      </c>
      <c r="F12" s="10">
        <v>23555</v>
      </c>
      <c r="G12" s="11">
        <v>8.0000000000000002E-3</v>
      </c>
      <c r="H12" s="11">
        <v>9.1999999999999998E-2</v>
      </c>
      <c r="I12" s="10">
        <v>16203000</v>
      </c>
      <c r="J12" s="12" t="s">
        <v>2464</v>
      </c>
      <c r="K12" s="10">
        <v>2173</v>
      </c>
      <c r="L12" s="12" t="s">
        <v>2465</v>
      </c>
      <c r="M12" s="10">
        <v>759288397</v>
      </c>
      <c r="N12" s="10">
        <v>93354</v>
      </c>
      <c r="O12" s="12">
        <v>11</v>
      </c>
    </row>
    <row r="13" spans="1:15" ht="27" x14ac:dyDescent="0.3">
      <c r="A13" s="9">
        <v>43489</v>
      </c>
      <c r="B13" s="12">
        <v>140</v>
      </c>
      <c r="C13" s="11">
        <v>2.1999999999999999E-2</v>
      </c>
      <c r="D13" s="12">
        <v>177</v>
      </c>
      <c r="E13" s="11">
        <v>0.01</v>
      </c>
      <c r="F13" s="10">
        <v>21099</v>
      </c>
      <c r="G13" s="11">
        <v>7.0000000000000001E-3</v>
      </c>
      <c r="H13" s="11">
        <v>9.2999999999999999E-2</v>
      </c>
      <c r="I13" s="10">
        <v>14720710</v>
      </c>
      <c r="J13" s="12" t="s">
        <v>2466</v>
      </c>
      <c r="K13" s="10">
        <v>1955</v>
      </c>
      <c r="L13" s="12" t="s">
        <v>2467</v>
      </c>
      <c r="M13" s="10">
        <v>774009107</v>
      </c>
      <c r="N13" s="10">
        <v>95309</v>
      </c>
      <c r="O13" s="12">
        <v>14</v>
      </c>
    </row>
    <row r="14" spans="1:15" ht="27" x14ac:dyDescent="0.3">
      <c r="A14" s="9">
        <v>43490</v>
      </c>
      <c r="B14" s="12">
        <v>141</v>
      </c>
      <c r="C14" s="11">
        <v>2.1999999999999999E-2</v>
      </c>
      <c r="D14" s="12">
        <v>171</v>
      </c>
      <c r="E14" s="11">
        <v>8.9999999999999993E-3</v>
      </c>
      <c r="F14" s="10">
        <v>20241</v>
      </c>
      <c r="G14" s="11">
        <v>7.0000000000000001E-3</v>
      </c>
      <c r="H14" s="11">
        <v>7.2999999999999995E-2</v>
      </c>
      <c r="I14" s="10">
        <v>12116690</v>
      </c>
      <c r="J14" s="12" t="s">
        <v>2468</v>
      </c>
      <c r="K14" s="10">
        <v>1469</v>
      </c>
      <c r="L14" s="12" t="s">
        <v>2469</v>
      </c>
      <c r="M14" s="10">
        <v>786125797</v>
      </c>
      <c r="N14" s="10">
        <v>96778</v>
      </c>
      <c r="O14" s="12">
        <v>15</v>
      </c>
    </row>
    <row r="15" spans="1:15" ht="27" x14ac:dyDescent="0.3">
      <c r="A15" s="9">
        <v>43491</v>
      </c>
      <c r="B15" s="12">
        <v>118</v>
      </c>
      <c r="C15" s="11">
        <v>1.7999999999999999E-2</v>
      </c>
      <c r="D15" s="12">
        <v>137</v>
      </c>
      <c r="E15" s="11">
        <v>7.0000000000000001E-3</v>
      </c>
      <c r="F15" s="10">
        <v>16094</v>
      </c>
      <c r="G15" s="11">
        <v>5.0000000000000001E-3</v>
      </c>
      <c r="H15" s="11">
        <v>0.14899999999999999</v>
      </c>
      <c r="I15" s="10">
        <v>19603880</v>
      </c>
      <c r="J15" s="12" t="s">
        <v>2470</v>
      </c>
      <c r="K15" s="10">
        <v>2405</v>
      </c>
      <c r="L15" s="12" t="s">
        <v>2471</v>
      </c>
      <c r="M15" s="10">
        <v>805729677</v>
      </c>
      <c r="N15" s="10">
        <v>99183</v>
      </c>
      <c r="O15" s="12">
        <v>15</v>
      </c>
    </row>
    <row r="16" spans="1:15" ht="27" x14ac:dyDescent="0.3">
      <c r="A16" s="9">
        <v>43492</v>
      </c>
      <c r="B16" s="12">
        <v>112</v>
      </c>
      <c r="C16" s="11">
        <v>1.7000000000000001E-2</v>
      </c>
      <c r="D16" s="12">
        <v>129</v>
      </c>
      <c r="E16" s="11">
        <v>7.0000000000000001E-3</v>
      </c>
      <c r="F16" s="10">
        <v>14887</v>
      </c>
      <c r="G16" s="11">
        <v>5.0000000000000001E-3</v>
      </c>
      <c r="H16" s="11">
        <v>0.16600000000000001</v>
      </c>
      <c r="I16" s="10">
        <v>19661190</v>
      </c>
      <c r="J16" s="12" t="s">
        <v>2472</v>
      </c>
      <c r="K16" s="10">
        <v>2467</v>
      </c>
      <c r="L16" s="12" t="s">
        <v>2473</v>
      </c>
      <c r="M16" s="10">
        <v>825390867</v>
      </c>
      <c r="N16" s="10">
        <v>101650</v>
      </c>
      <c r="O16" s="12">
        <v>14</v>
      </c>
    </row>
    <row r="17" spans="1:15" ht="27" x14ac:dyDescent="0.3">
      <c r="A17" s="9">
        <v>43493</v>
      </c>
      <c r="B17" s="12">
        <v>114</v>
      </c>
      <c r="C17" s="11">
        <v>1.9E-2</v>
      </c>
      <c r="D17" s="12">
        <v>132</v>
      </c>
      <c r="E17" s="11">
        <v>7.0000000000000001E-3</v>
      </c>
      <c r="F17" s="10">
        <v>15962</v>
      </c>
      <c r="G17" s="11">
        <v>6.0000000000000001E-3</v>
      </c>
      <c r="H17" s="11">
        <v>5.6000000000000001E-2</v>
      </c>
      <c r="I17" s="10">
        <v>6578430</v>
      </c>
      <c r="J17" s="12" t="s">
        <v>2474</v>
      </c>
      <c r="K17" s="12">
        <v>892</v>
      </c>
      <c r="L17" s="12" t="s">
        <v>2475</v>
      </c>
      <c r="M17" s="10">
        <v>831969297</v>
      </c>
      <c r="N17" s="10">
        <v>102542</v>
      </c>
      <c r="O17" s="12">
        <v>15</v>
      </c>
    </row>
    <row r="18" spans="1:15" ht="27" x14ac:dyDescent="0.3">
      <c r="A18" s="9">
        <v>43494</v>
      </c>
      <c r="B18" s="12">
        <v>123</v>
      </c>
      <c r="C18" s="11">
        <v>0.02</v>
      </c>
      <c r="D18" s="12">
        <v>144</v>
      </c>
      <c r="E18" s="11">
        <v>8.0000000000000002E-3</v>
      </c>
      <c r="F18" s="10">
        <v>17276</v>
      </c>
      <c r="G18" s="11">
        <v>6.0000000000000001E-3</v>
      </c>
      <c r="H18" s="11">
        <v>7.2999999999999995E-2</v>
      </c>
      <c r="I18" s="10">
        <v>9060160</v>
      </c>
      <c r="J18" s="12" t="s">
        <v>2476</v>
      </c>
      <c r="K18" s="10">
        <v>1263</v>
      </c>
      <c r="L18" s="12" t="s">
        <v>2477</v>
      </c>
      <c r="M18" s="10">
        <v>841029457</v>
      </c>
      <c r="N18" s="10">
        <v>103805</v>
      </c>
      <c r="O18" s="12">
        <v>15</v>
      </c>
    </row>
    <row r="19" spans="1:15" ht="27" x14ac:dyDescent="0.3">
      <c r="A19" s="9">
        <v>43495</v>
      </c>
      <c r="B19" s="12">
        <v>11</v>
      </c>
      <c r="C19" s="11">
        <v>2E-3</v>
      </c>
      <c r="D19" s="12">
        <v>11</v>
      </c>
      <c r="E19" s="11">
        <v>1E-3</v>
      </c>
      <c r="F19" s="10">
        <v>1245</v>
      </c>
      <c r="G19" s="11">
        <v>0</v>
      </c>
      <c r="H19" s="11">
        <v>0.13300000000000001</v>
      </c>
      <c r="I19" s="10">
        <v>937400</v>
      </c>
      <c r="J19" s="12" t="s">
        <v>2478</v>
      </c>
      <c r="K19" s="12">
        <v>165</v>
      </c>
      <c r="L19" s="12" t="s">
        <v>2479</v>
      </c>
      <c r="M19" s="10">
        <v>841966857</v>
      </c>
      <c r="N19" s="10">
        <v>103970</v>
      </c>
      <c r="O19" s="12">
        <v>37</v>
      </c>
    </row>
    <row r="20" spans="1:15" ht="27" x14ac:dyDescent="0.3">
      <c r="A20" s="9">
        <v>43496</v>
      </c>
      <c r="B20" s="12">
        <v>8</v>
      </c>
      <c r="C20" s="11">
        <v>1E-3</v>
      </c>
      <c r="D20" s="12">
        <v>8</v>
      </c>
      <c r="E20" s="11">
        <v>0</v>
      </c>
      <c r="F20" s="12">
        <v>672</v>
      </c>
      <c r="G20" s="11">
        <v>0</v>
      </c>
      <c r="H20" s="11">
        <v>0.17</v>
      </c>
      <c r="I20" s="10">
        <v>796500</v>
      </c>
      <c r="J20" s="12" t="s">
        <v>2480</v>
      </c>
      <c r="K20" s="12">
        <v>114</v>
      </c>
      <c r="L20" s="12" t="s">
        <v>2481</v>
      </c>
      <c r="M20" s="10">
        <v>842763357</v>
      </c>
      <c r="N20" s="10">
        <v>104084</v>
      </c>
      <c r="O20" s="12">
        <v>37</v>
      </c>
    </row>
    <row r="21" spans="1:15" ht="27" x14ac:dyDescent="0.3">
      <c r="A21" s="9">
        <v>43497</v>
      </c>
      <c r="B21" s="12">
        <v>8</v>
      </c>
      <c r="C21" s="11">
        <v>1E-3</v>
      </c>
      <c r="D21" s="12">
        <v>8</v>
      </c>
      <c r="E21" s="11">
        <v>0</v>
      </c>
      <c r="F21" s="12">
        <v>816</v>
      </c>
      <c r="G21" s="11">
        <v>0</v>
      </c>
      <c r="H21" s="11">
        <v>9.8000000000000004E-2</v>
      </c>
      <c r="I21" s="10">
        <v>664000</v>
      </c>
      <c r="J21" s="12" t="s">
        <v>2482</v>
      </c>
      <c r="K21" s="12">
        <v>80</v>
      </c>
      <c r="L21" s="12" t="s">
        <v>2483</v>
      </c>
      <c r="M21" s="10">
        <v>843427357</v>
      </c>
      <c r="N21" s="10">
        <v>104164</v>
      </c>
      <c r="O21" s="12">
        <v>32</v>
      </c>
    </row>
    <row r="22" spans="1:15" ht="27" x14ac:dyDescent="0.3">
      <c r="A22" s="9">
        <v>43498</v>
      </c>
      <c r="B22" s="12">
        <v>5</v>
      </c>
      <c r="C22" s="11">
        <v>1E-3</v>
      </c>
      <c r="D22" s="12">
        <v>5</v>
      </c>
      <c r="E22" s="11">
        <v>0</v>
      </c>
      <c r="F22" s="12">
        <v>567</v>
      </c>
      <c r="G22" s="11">
        <v>0</v>
      </c>
      <c r="H22" s="11">
        <v>0.152</v>
      </c>
      <c r="I22" s="10">
        <v>695000</v>
      </c>
      <c r="J22" s="12" t="s">
        <v>2484</v>
      </c>
      <c r="K22" s="12">
        <v>86</v>
      </c>
      <c r="L22" s="12" t="s">
        <v>2485</v>
      </c>
      <c r="M22" s="10">
        <v>844122357</v>
      </c>
      <c r="N22" s="10">
        <v>104250</v>
      </c>
      <c r="O22" s="12">
        <v>38</v>
      </c>
    </row>
    <row r="23" spans="1:15" ht="27" x14ac:dyDescent="0.3">
      <c r="A23" s="9">
        <v>43499</v>
      </c>
      <c r="B23" s="12">
        <v>3</v>
      </c>
      <c r="C23" s="11">
        <v>1E-3</v>
      </c>
      <c r="D23" s="12">
        <v>3</v>
      </c>
      <c r="E23" s="11">
        <v>0</v>
      </c>
      <c r="F23" s="12">
        <v>311</v>
      </c>
      <c r="G23" s="11">
        <v>0</v>
      </c>
      <c r="H23" s="11">
        <v>0.20599999999999999</v>
      </c>
      <c r="I23" s="10">
        <v>504000</v>
      </c>
      <c r="J23" s="12" t="s">
        <v>2486</v>
      </c>
      <c r="K23" s="12">
        <v>64</v>
      </c>
      <c r="L23" s="12" t="s">
        <v>2487</v>
      </c>
      <c r="M23" s="10">
        <v>844626357</v>
      </c>
      <c r="N23" s="10">
        <v>104314</v>
      </c>
      <c r="O23" s="12">
        <v>42</v>
      </c>
    </row>
    <row r="24" spans="1:15" ht="27" x14ac:dyDescent="0.3">
      <c r="A24" s="9">
        <v>43500</v>
      </c>
      <c r="B24" s="12">
        <v>5</v>
      </c>
      <c r="C24" s="11">
        <v>1E-3</v>
      </c>
      <c r="D24" s="12">
        <v>5</v>
      </c>
      <c r="E24" s="11">
        <v>0</v>
      </c>
      <c r="F24" s="12">
        <v>415</v>
      </c>
      <c r="G24" s="11">
        <v>0</v>
      </c>
      <c r="H24" s="11">
        <v>0.246</v>
      </c>
      <c r="I24" s="10">
        <v>953300</v>
      </c>
      <c r="J24" s="12" t="s">
        <v>2488</v>
      </c>
      <c r="K24" s="12">
        <v>102</v>
      </c>
      <c r="L24" s="12" t="s">
        <v>2489</v>
      </c>
      <c r="M24" s="10">
        <v>845579657</v>
      </c>
      <c r="N24" s="10">
        <v>104416</v>
      </c>
      <c r="O24" s="12">
        <v>31</v>
      </c>
    </row>
    <row r="25" spans="1:15" ht="27" x14ac:dyDescent="0.3">
      <c r="A25" s="9">
        <v>43501</v>
      </c>
      <c r="B25" s="12">
        <v>10</v>
      </c>
      <c r="C25" s="11">
        <v>2E-3</v>
      </c>
      <c r="D25" s="12">
        <v>10</v>
      </c>
      <c r="E25" s="11">
        <v>0</v>
      </c>
      <c r="F25" s="12">
        <v>878</v>
      </c>
      <c r="G25" s="11">
        <v>0</v>
      </c>
      <c r="H25" s="11">
        <v>0.17699999999999999</v>
      </c>
      <c r="I25" s="10">
        <v>1676900</v>
      </c>
      <c r="J25" s="12" t="s">
        <v>2490</v>
      </c>
      <c r="K25" s="12">
        <v>155</v>
      </c>
      <c r="L25" s="12" t="s">
        <v>2491</v>
      </c>
      <c r="M25" s="10">
        <v>847256557</v>
      </c>
      <c r="N25" s="10">
        <v>104571</v>
      </c>
      <c r="O25" s="12">
        <v>26</v>
      </c>
    </row>
    <row r="26" spans="1:15" ht="27" x14ac:dyDescent="0.3">
      <c r="A26" s="9">
        <v>43502</v>
      </c>
      <c r="B26" s="12">
        <v>4</v>
      </c>
      <c r="C26" s="11">
        <v>1E-3</v>
      </c>
      <c r="D26" s="12">
        <v>4</v>
      </c>
      <c r="E26" s="11">
        <v>0</v>
      </c>
      <c r="F26" s="12">
        <v>394</v>
      </c>
      <c r="G26" s="11">
        <v>0</v>
      </c>
      <c r="H26" s="11">
        <v>0.157</v>
      </c>
      <c r="I26" s="10">
        <v>476000</v>
      </c>
      <c r="J26" s="12" t="s">
        <v>2492</v>
      </c>
      <c r="K26" s="12">
        <v>62</v>
      </c>
      <c r="L26" s="12" t="s">
        <v>2493</v>
      </c>
      <c r="M26" s="10">
        <v>847732557</v>
      </c>
      <c r="N26" s="10">
        <v>104633</v>
      </c>
      <c r="O26" s="12">
        <v>46</v>
      </c>
    </row>
    <row r="27" spans="1:15" ht="27" x14ac:dyDescent="0.3">
      <c r="A27" s="9">
        <v>43503</v>
      </c>
      <c r="B27" s="12">
        <v>2</v>
      </c>
      <c r="C27" s="11">
        <v>0</v>
      </c>
      <c r="D27" s="12">
        <v>2</v>
      </c>
      <c r="E27" s="11">
        <v>0</v>
      </c>
      <c r="F27" s="12">
        <v>217</v>
      </c>
      <c r="G27" s="11">
        <v>0</v>
      </c>
      <c r="H27" s="11">
        <v>0.161</v>
      </c>
      <c r="I27" s="10">
        <v>314000</v>
      </c>
      <c r="J27" s="12" t="s">
        <v>2494</v>
      </c>
      <c r="K27" s="12">
        <v>35</v>
      </c>
      <c r="L27" s="12" t="s">
        <v>2495</v>
      </c>
      <c r="M27" s="10">
        <v>848046557</v>
      </c>
      <c r="N27" s="10">
        <v>104668</v>
      </c>
      <c r="O27" s="12">
        <v>48</v>
      </c>
    </row>
    <row r="28" spans="1:15" ht="27" x14ac:dyDescent="0.3">
      <c r="A28" s="9">
        <v>43504</v>
      </c>
      <c r="B28" s="12">
        <v>1</v>
      </c>
      <c r="C28" s="11">
        <v>0</v>
      </c>
      <c r="D28" s="12">
        <v>1</v>
      </c>
      <c r="E28" s="11">
        <v>0</v>
      </c>
      <c r="F28" s="12">
        <v>50</v>
      </c>
      <c r="G28" s="11">
        <v>0</v>
      </c>
      <c r="H28" s="11">
        <v>0.02</v>
      </c>
      <c r="I28" s="10">
        <v>8000</v>
      </c>
      <c r="J28" s="12" t="s">
        <v>2496</v>
      </c>
      <c r="K28" s="12">
        <v>1</v>
      </c>
      <c r="L28" s="12" t="s">
        <v>2497</v>
      </c>
      <c r="M28" s="10">
        <v>848054557</v>
      </c>
      <c r="N28" s="10">
        <v>104669</v>
      </c>
      <c r="O28" s="12">
        <v>81</v>
      </c>
    </row>
    <row r="29" spans="1:15" ht="27" x14ac:dyDescent="0.3">
      <c r="A29" s="9">
        <v>43505</v>
      </c>
      <c r="B29" s="12">
        <v>3</v>
      </c>
      <c r="C29" s="11">
        <v>0</v>
      </c>
      <c r="D29" s="12">
        <v>3</v>
      </c>
      <c r="E29" s="11">
        <v>0</v>
      </c>
      <c r="F29" s="12">
        <v>364</v>
      </c>
      <c r="G29" s="11">
        <v>0</v>
      </c>
      <c r="H29" s="11">
        <v>0.253</v>
      </c>
      <c r="I29" s="10">
        <v>884700</v>
      </c>
      <c r="J29" s="12" t="s">
        <v>2498</v>
      </c>
      <c r="K29" s="12">
        <v>92</v>
      </c>
      <c r="L29" s="12" t="s">
        <v>2499</v>
      </c>
      <c r="M29" s="10">
        <v>848939257</v>
      </c>
      <c r="N29" s="10">
        <v>104761</v>
      </c>
      <c r="O29" s="12">
        <v>40</v>
      </c>
    </row>
    <row r="30" spans="1:15" ht="27" x14ac:dyDescent="0.3">
      <c r="A30" s="9">
        <v>43506</v>
      </c>
      <c r="B30" s="12">
        <v>4</v>
      </c>
      <c r="C30" s="11">
        <v>1E-3</v>
      </c>
      <c r="D30" s="12">
        <v>4</v>
      </c>
      <c r="E30" s="11">
        <v>0</v>
      </c>
      <c r="F30" s="12">
        <v>392</v>
      </c>
      <c r="G30" s="11">
        <v>0</v>
      </c>
      <c r="H30" s="11">
        <v>0.247</v>
      </c>
      <c r="I30" s="10">
        <v>954000</v>
      </c>
      <c r="J30" s="12" t="s">
        <v>2500</v>
      </c>
      <c r="K30" s="12">
        <v>97</v>
      </c>
      <c r="L30" s="12" t="s">
        <v>2501</v>
      </c>
      <c r="M30" s="10">
        <v>849893257</v>
      </c>
      <c r="N30" s="10">
        <v>104858</v>
      </c>
      <c r="O30" s="12">
        <v>35</v>
      </c>
    </row>
    <row r="31" spans="1:15" ht="27" x14ac:dyDescent="0.3">
      <c r="A31" s="9">
        <v>43507</v>
      </c>
      <c r="B31" s="12">
        <v>7</v>
      </c>
      <c r="C31" s="11">
        <v>1E-3</v>
      </c>
      <c r="D31" s="12">
        <v>7</v>
      </c>
      <c r="E31" s="11">
        <v>0</v>
      </c>
      <c r="F31" s="12">
        <v>628</v>
      </c>
      <c r="G31" s="11">
        <v>0</v>
      </c>
      <c r="H31" s="11">
        <v>0.20399999999999999</v>
      </c>
      <c r="I31" s="10">
        <v>1117000</v>
      </c>
      <c r="J31" s="12" t="s">
        <v>2502</v>
      </c>
      <c r="K31" s="12">
        <v>128</v>
      </c>
      <c r="L31" s="12" t="s">
        <v>2503</v>
      </c>
      <c r="M31" s="10">
        <v>851010257</v>
      </c>
      <c r="N31" s="10">
        <v>104986</v>
      </c>
      <c r="O31" s="12">
        <v>29</v>
      </c>
    </row>
    <row r="32" spans="1:15" ht="27" x14ac:dyDescent="0.3">
      <c r="A32" s="9">
        <v>43508</v>
      </c>
      <c r="B32" s="12">
        <v>1</v>
      </c>
      <c r="C32" s="11">
        <v>0</v>
      </c>
      <c r="D32" s="12">
        <v>1</v>
      </c>
      <c r="E32" s="11">
        <v>0</v>
      </c>
      <c r="F32" s="12">
        <v>50</v>
      </c>
      <c r="G32" s="11">
        <v>0</v>
      </c>
      <c r="H32" s="11">
        <v>0.08</v>
      </c>
      <c r="I32" s="10">
        <v>36000</v>
      </c>
      <c r="J32" s="12" t="s">
        <v>2504</v>
      </c>
      <c r="K32" s="12">
        <v>4</v>
      </c>
      <c r="L32" s="12" t="s">
        <v>2505</v>
      </c>
      <c r="M32" s="10">
        <v>851046257</v>
      </c>
      <c r="N32" s="10">
        <v>104990</v>
      </c>
      <c r="O32" s="12">
        <v>70</v>
      </c>
    </row>
    <row r="33" spans="1:15" ht="27" x14ac:dyDescent="0.3">
      <c r="A33" s="9">
        <v>43509</v>
      </c>
      <c r="B33" s="12">
        <v>2</v>
      </c>
      <c r="C33" s="11">
        <v>0</v>
      </c>
      <c r="D33" s="12">
        <v>2</v>
      </c>
      <c r="E33" s="11">
        <v>0</v>
      </c>
      <c r="F33" s="12">
        <v>215</v>
      </c>
      <c r="G33" s="11">
        <v>0</v>
      </c>
      <c r="H33" s="11">
        <v>0.158</v>
      </c>
      <c r="I33" s="10">
        <v>285500</v>
      </c>
      <c r="J33" s="12" t="s">
        <v>2506</v>
      </c>
      <c r="K33" s="12">
        <v>34</v>
      </c>
      <c r="L33" s="12" t="s">
        <v>2507</v>
      </c>
      <c r="M33" s="10">
        <v>851331757</v>
      </c>
      <c r="N33" s="10">
        <v>105024</v>
      </c>
      <c r="O33" s="12">
        <v>59</v>
      </c>
    </row>
    <row r="34" spans="1:15" ht="27" x14ac:dyDescent="0.3">
      <c r="A34" s="9">
        <v>43510</v>
      </c>
      <c r="B34" s="12">
        <v>2</v>
      </c>
      <c r="C34" s="11">
        <v>0</v>
      </c>
      <c r="D34" s="12">
        <v>2</v>
      </c>
      <c r="E34" s="11">
        <v>0</v>
      </c>
      <c r="F34" s="12">
        <v>142</v>
      </c>
      <c r="G34" s="11">
        <v>0</v>
      </c>
      <c r="H34" s="11">
        <v>0.16900000000000001</v>
      </c>
      <c r="I34" s="10">
        <v>210000</v>
      </c>
      <c r="J34" s="12" t="s">
        <v>2508</v>
      </c>
      <c r="K34" s="12">
        <v>24</v>
      </c>
      <c r="L34" s="12" t="s">
        <v>2509</v>
      </c>
      <c r="M34" s="10">
        <v>851541757</v>
      </c>
      <c r="N34" s="10">
        <v>105048</v>
      </c>
      <c r="O34" s="12">
        <v>61</v>
      </c>
    </row>
    <row r="35" spans="1:15" ht="27" x14ac:dyDescent="0.3">
      <c r="A35" s="9">
        <v>43511</v>
      </c>
      <c r="B35" s="12">
        <v>1</v>
      </c>
      <c r="C35" s="11">
        <v>0</v>
      </c>
      <c r="D35" s="12">
        <v>1</v>
      </c>
      <c r="E35" s="11">
        <v>0</v>
      </c>
      <c r="F35" s="12">
        <v>52</v>
      </c>
      <c r="G35" s="11">
        <v>0</v>
      </c>
      <c r="H35" s="11">
        <v>0.154</v>
      </c>
      <c r="I35" s="10">
        <v>70000</v>
      </c>
      <c r="J35" s="12" t="s">
        <v>2510</v>
      </c>
      <c r="K35" s="12">
        <v>8</v>
      </c>
      <c r="L35" s="12" t="s">
        <v>2511</v>
      </c>
      <c r="M35" s="10">
        <v>851611757</v>
      </c>
      <c r="N35" s="10">
        <v>105056</v>
      </c>
      <c r="O35" s="12">
        <v>72</v>
      </c>
    </row>
    <row r="36" spans="1:15" ht="27" x14ac:dyDescent="0.3">
      <c r="A36" s="9">
        <v>43512</v>
      </c>
      <c r="B36" s="12">
        <v>1</v>
      </c>
      <c r="C36" s="11">
        <v>0</v>
      </c>
      <c r="D36" s="12">
        <v>1</v>
      </c>
      <c r="E36" s="11">
        <v>0</v>
      </c>
      <c r="F36" s="12">
        <v>90</v>
      </c>
      <c r="G36" s="11">
        <v>0</v>
      </c>
      <c r="H36" s="11">
        <v>0.1</v>
      </c>
      <c r="I36" s="10">
        <v>76000</v>
      </c>
      <c r="J36" s="12" t="s">
        <v>2512</v>
      </c>
      <c r="K36" s="12">
        <v>9</v>
      </c>
      <c r="L36" s="12" t="s">
        <v>2513</v>
      </c>
      <c r="M36" s="10">
        <v>851687757</v>
      </c>
      <c r="N36" s="10">
        <v>105065</v>
      </c>
      <c r="O36" s="12">
        <v>71</v>
      </c>
    </row>
    <row r="37" spans="1:15" ht="27" x14ac:dyDescent="0.3">
      <c r="A37" s="9">
        <v>43513</v>
      </c>
      <c r="B37" s="12">
        <v>1</v>
      </c>
      <c r="C37" s="11">
        <v>0</v>
      </c>
      <c r="D37" s="12">
        <v>1</v>
      </c>
      <c r="E37" s="11">
        <v>0</v>
      </c>
      <c r="F37" s="12">
        <v>52</v>
      </c>
      <c r="G37" s="11">
        <v>0</v>
      </c>
      <c r="H37" s="11">
        <v>0.13500000000000001</v>
      </c>
      <c r="I37" s="10">
        <v>60000</v>
      </c>
      <c r="J37" s="12" t="s">
        <v>2514</v>
      </c>
      <c r="K37" s="12">
        <v>7</v>
      </c>
      <c r="L37" s="12" t="s">
        <v>2515</v>
      </c>
      <c r="M37" s="10">
        <v>851747757</v>
      </c>
      <c r="N37" s="10">
        <v>105072</v>
      </c>
      <c r="O37" s="12">
        <v>70</v>
      </c>
    </row>
    <row r="38" spans="1:15" ht="27" x14ac:dyDescent="0.3">
      <c r="A38" s="9">
        <v>43514</v>
      </c>
      <c r="B38" s="12">
        <v>1</v>
      </c>
      <c r="C38" s="11">
        <v>0</v>
      </c>
      <c r="D38" s="12">
        <v>1</v>
      </c>
      <c r="E38" s="11">
        <v>0</v>
      </c>
      <c r="F38" s="12">
        <v>52</v>
      </c>
      <c r="G38" s="11">
        <v>0</v>
      </c>
      <c r="H38" s="11">
        <v>5.8000000000000003E-2</v>
      </c>
      <c r="I38" s="10">
        <v>27000</v>
      </c>
      <c r="J38" s="12" t="s">
        <v>2516</v>
      </c>
      <c r="K38" s="12">
        <v>3</v>
      </c>
      <c r="L38" s="12" t="s">
        <v>2517</v>
      </c>
      <c r="M38" s="10">
        <v>851774757</v>
      </c>
      <c r="N38" s="10">
        <v>105075</v>
      </c>
      <c r="O38" s="12">
        <v>71</v>
      </c>
    </row>
    <row r="39" spans="1:15" ht="27" x14ac:dyDescent="0.3">
      <c r="A39" s="9">
        <v>43516</v>
      </c>
      <c r="B39" s="12">
        <v>2</v>
      </c>
      <c r="C39" s="11">
        <v>0</v>
      </c>
      <c r="D39" s="12">
        <v>2</v>
      </c>
      <c r="E39" s="11">
        <v>0</v>
      </c>
      <c r="F39" s="12">
        <v>102</v>
      </c>
      <c r="G39" s="11">
        <v>0</v>
      </c>
      <c r="H39" s="11">
        <v>0.17599999999999999</v>
      </c>
      <c r="I39" s="10">
        <v>152000</v>
      </c>
      <c r="J39" s="12" t="s">
        <v>2518</v>
      </c>
      <c r="K39" s="12">
        <v>18</v>
      </c>
      <c r="L39" s="12" t="s">
        <v>2519</v>
      </c>
      <c r="M39" s="10">
        <v>851926757</v>
      </c>
      <c r="N39" s="10">
        <v>105093</v>
      </c>
      <c r="O39" s="12">
        <v>63</v>
      </c>
    </row>
    <row r="40" spans="1:15" ht="27" x14ac:dyDescent="0.3">
      <c r="A40" s="9">
        <v>43519</v>
      </c>
      <c r="B40" s="12">
        <v>1</v>
      </c>
      <c r="C40" s="11">
        <v>0</v>
      </c>
      <c r="D40" s="12">
        <v>1</v>
      </c>
      <c r="E40" s="11">
        <v>0</v>
      </c>
      <c r="F40" s="12">
        <v>90</v>
      </c>
      <c r="G40" s="11">
        <v>0</v>
      </c>
      <c r="H40" s="11">
        <v>1.0999999999999999E-2</v>
      </c>
      <c r="I40" s="10">
        <v>6000</v>
      </c>
      <c r="J40" s="12" t="s">
        <v>1555</v>
      </c>
      <c r="K40" s="12">
        <v>1</v>
      </c>
      <c r="L40" s="12" t="s">
        <v>312</v>
      </c>
      <c r="M40" s="10">
        <v>851932757</v>
      </c>
      <c r="N40" s="10">
        <v>105094</v>
      </c>
      <c r="O40" s="12">
        <v>88</v>
      </c>
    </row>
    <row r="41" spans="1:15" ht="27" x14ac:dyDescent="0.3">
      <c r="A41" s="9">
        <v>43520</v>
      </c>
      <c r="B41" s="12">
        <v>1</v>
      </c>
      <c r="C41" s="11">
        <v>0</v>
      </c>
      <c r="D41" s="12">
        <v>1</v>
      </c>
      <c r="E41" s="11">
        <v>0</v>
      </c>
      <c r="F41" s="12">
        <v>90</v>
      </c>
      <c r="G41" s="11">
        <v>0</v>
      </c>
      <c r="H41" s="11">
        <v>0.111</v>
      </c>
      <c r="I41" s="10">
        <v>86000</v>
      </c>
      <c r="J41" s="12" t="s">
        <v>2520</v>
      </c>
      <c r="K41" s="12">
        <v>10</v>
      </c>
      <c r="L41" s="12" t="s">
        <v>2521</v>
      </c>
      <c r="M41" s="10">
        <v>852018757</v>
      </c>
      <c r="N41" s="10">
        <v>105104</v>
      </c>
      <c r="O41" s="12">
        <v>78</v>
      </c>
    </row>
    <row r="42" spans="1:15" ht="27" x14ac:dyDescent="0.3">
      <c r="A42" s="9">
        <v>43528</v>
      </c>
      <c r="B42" s="12">
        <v>5</v>
      </c>
      <c r="C42" s="11">
        <v>1E-3</v>
      </c>
      <c r="D42" s="12">
        <v>5</v>
      </c>
      <c r="E42" s="11">
        <v>0</v>
      </c>
      <c r="F42" s="12">
        <v>609</v>
      </c>
      <c r="G42" s="11">
        <v>0</v>
      </c>
      <c r="H42" s="11">
        <v>6.4000000000000001E-2</v>
      </c>
      <c r="I42" s="10">
        <v>327000</v>
      </c>
      <c r="J42" s="12" t="s">
        <v>2522</v>
      </c>
      <c r="K42" s="12">
        <v>39</v>
      </c>
      <c r="L42" s="12" t="s">
        <v>2523</v>
      </c>
      <c r="M42" s="10">
        <v>852345757</v>
      </c>
      <c r="N42" s="10">
        <v>105143</v>
      </c>
      <c r="O42" s="12">
        <v>49</v>
      </c>
    </row>
    <row r="43" spans="1:15" ht="27" x14ac:dyDescent="0.3">
      <c r="A43" s="9">
        <v>43549</v>
      </c>
      <c r="B43" s="12">
        <v>4</v>
      </c>
      <c r="C43" s="11">
        <v>1E-3</v>
      </c>
      <c r="D43" s="12">
        <v>5</v>
      </c>
      <c r="E43" s="11">
        <v>0</v>
      </c>
      <c r="F43" s="10">
        <v>1422</v>
      </c>
      <c r="G43" s="11">
        <v>1E-3</v>
      </c>
      <c r="H43" s="11">
        <v>0.96899999999999997</v>
      </c>
      <c r="I43" s="10">
        <v>12402000</v>
      </c>
      <c r="J43" s="12" t="s">
        <v>2524</v>
      </c>
      <c r="K43" s="10">
        <v>1378</v>
      </c>
      <c r="L43" s="12" t="s">
        <v>2525</v>
      </c>
      <c r="M43" s="10">
        <v>864747757</v>
      </c>
      <c r="N43" s="10">
        <v>106521</v>
      </c>
      <c r="O43" s="12">
        <v>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D04B7-5369-4762-909F-DB1B07182753}">
  <dimension ref="A1:O36"/>
  <sheetViews>
    <sheetView topLeftCell="A6" workbookViewId="0">
      <selection activeCell="H19" sqref="H19:H25"/>
    </sheetView>
  </sheetViews>
  <sheetFormatPr defaultRowHeight="16.5" x14ac:dyDescent="0.3"/>
  <sheetData>
    <row r="1" spans="1:15" ht="19.5" x14ac:dyDescent="0.3">
      <c r="A1" s="197" t="s">
        <v>2526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43481</v>
      </c>
      <c r="B5" s="12">
        <v>391</v>
      </c>
      <c r="C5" s="11">
        <v>5.5E-2</v>
      </c>
      <c r="D5" s="12">
        <v>627</v>
      </c>
      <c r="E5" s="11">
        <v>3.5000000000000003E-2</v>
      </c>
      <c r="F5" s="10">
        <v>83140</v>
      </c>
      <c r="G5" s="11">
        <v>2.9000000000000001E-2</v>
      </c>
      <c r="H5" s="11">
        <v>0.114</v>
      </c>
      <c r="I5" s="10">
        <v>62236950</v>
      </c>
      <c r="J5" s="12" t="s">
        <v>2527</v>
      </c>
      <c r="K5" s="10">
        <v>9482</v>
      </c>
      <c r="L5" s="12" t="s">
        <v>2528</v>
      </c>
      <c r="M5" s="10">
        <v>76072950</v>
      </c>
      <c r="N5" s="10">
        <v>11020</v>
      </c>
      <c r="O5" s="12">
        <v>8</v>
      </c>
    </row>
    <row r="6" spans="1:15" ht="27" x14ac:dyDescent="0.3">
      <c r="A6" s="9">
        <v>43482</v>
      </c>
      <c r="B6" s="12">
        <v>382</v>
      </c>
      <c r="C6" s="11">
        <v>5.1999999999999998E-2</v>
      </c>
      <c r="D6" s="12">
        <v>565</v>
      </c>
      <c r="E6" s="11">
        <v>3.1E-2</v>
      </c>
      <c r="F6" s="10">
        <v>71573</v>
      </c>
      <c r="G6" s="11">
        <v>2.5000000000000001E-2</v>
      </c>
      <c r="H6" s="11">
        <v>0.122</v>
      </c>
      <c r="I6" s="10">
        <v>56799950</v>
      </c>
      <c r="J6" s="12" t="s">
        <v>2529</v>
      </c>
      <c r="K6" s="10">
        <v>8754</v>
      </c>
      <c r="L6" s="12" t="s">
        <v>2530</v>
      </c>
      <c r="M6" s="10">
        <v>132872900</v>
      </c>
      <c r="N6" s="10">
        <v>19774</v>
      </c>
      <c r="O6" s="12">
        <v>8</v>
      </c>
    </row>
    <row r="7" spans="1:15" ht="27" x14ac:dyDescent="0.3">
      <c r="A7" s="9">
        <v>43483</v>
      </c>
      <c r="B7" s="12">
        <v>374</v>
      </c>
      <c r="C7" s="11">
        <v>5.0999999999999997E-2</v>
      </c>
      <c r="D7" s="12">
        <v>541</v>
      </c>
      <c r="E7" s="11">
        <v>2.9000000000000001E-2</v>
      </c>
      <c r="F7" s="10">
        <v>68615</v>
      </c>
      <c r="G7" s="11">
        <v>2.4E-2</v>
      </c>
      <c r="H7" s="11">
        <v>0.12</v>
      </c>
      <c r="I7" s="10">
        <v>57331450</v>
      </c>
      <c r="J7" s="12" t="s">
        <v>2531</v>
      </c>
      <c r="K7" s="10">
        <v>8254</v>
      </c>
      <c r="L7" s="12" t="s">
        <v>2532</v>
      </c>
      <c r="M7" s="10">
        <v>190204350</v>
      </c>
      <c r="N7" s="10">
        <v>28028</v>
      </c>
      <c r="O7" s="12">
        <v>9</v>
      </c>
    </row>
    <row r="8" spans="1:15" ht="27" x14ac:dyDescent="0.3">
      <c r="A8" s="9">
        <v>43484</v>
      </c>
      <c r="B8" s="12">
        <v>424</v>
      </c>
      <c r="C8" s="11">
        <v>5.5E-2</v>
      </c>
      <c r="D8" s="12">
        <v>626</v>
      </c>
      <c r="E8" s="11">
        <v>3.2000000000000001E-2</v>
      </c>
      <c r="F8" s="10">
        <v>78382</v>
      </c>
      <c r="G8" s="11">
        <v>2.5999999999999999E-2</v>
      </c>
      <c r="H8" s="11">
        <v>0.22500000000000001</v>
      </c>
      <c r="I8" s="10">
        <v>138969050</v>
      </c>
      <c r="J8" s="12" t="s">
        <v>2533</v>
      </c>
      <c r="K8" s="10">
        <v>17673</v>
      </c>
      <c r="L8" s="12" t="s">
        <v>2534</v>
      </c>
      <c r="M8" s="10">
        <v>329173400</v>
      </c>
      <c r="N8" s="10">
        <v>45701</v>
      </c>
      <c r="O8" s="12">
        <v>8</v>
      </c>
    </row>
    <row r="9" spans="1:15" ht="27" x14ac:dyDescent="0.3">
      <c r="A9" s="9">
        <v>43485</v>
      </c>
      <c r="B9" s="12">
        <v>405</v>
      </c>
      <c r="C9" s="11">
        <v>5.2999999999999999E-2</v>
      </c>
      <c r="D9" s="12">
        <v>615</v>
      </c>
      <c r="E9" s="11">
        <v>3.2000000000000001E-2</v>
      </c>
      <c r="F9" s="10">
        <v>76856</v>
      </c>
      <c r="G9" s="11">
        <v>2.5999999999999999E-2</v>
      </c>
      <c r="H9" s="11">
        <v>0.193</v>
      </c>
      <c r="I9" s="10">
        <v>118433330</v>
      </c>
      <c r="J9" s="12" t="s">
        <v>2535</v>
      </c>
      <c r="K9" s="10">
        <v>14804</v>
      </c>
      <c r="L9" s="12" t="s">
        <v>2536</v>
      </c>
      <c r="M9" s="10">
        <v>447606730</v>
      </c>
      <c r="N9" s="10">
        <v>60505</v>
      </c>
      <c r="O9" s="12">
        <v>8</v>
      </c>
    </row>
    <row r="10" spans="1:15" ht="27" x14ac:dyDescent="0.3">
      <c r="A10" s="9">
        <v>43486</v>
      </c>
      <c r="B10" s="12">
        <v>318</v>
      </c>
      <c r="C10" s="11">
        <v>4.5999999999999999E-2</v>
      </c>
      <c r="D10" s="12">
        <v>424</v>
      </c>
      <c r="E10" s="11">
        <v>2.4E-2</v>
      </c>
      <c r="F10" s="10">
        <v>51983</v>
      </c>
      <c r="G10" s="11">
        <v>1.9E-2</v>
      </c>
      <c r="H10" s="11">
        <v>6.5000000000000002E-2</v>
      </c>
      <c r="I10" s="10">
        <v>23326250</v>
      </c>
      <c r="J10" s="12" t="s">
        <v>2537</v>
      </c>
      <c r="K10" s="10">
        <v>3395</v>
      </c>
      <c r="L10" s="12" t="s">
        <v>2538</v>
      </c>
      <c r="M10" s="10">
        <v>470932980</v>
      </c>
      <c r="N10" s="10">
        <v>63900</v>
      </c>
      <c r="O10" s="12">
        <v>12</v>
      </c>
    </row>
    <row r="11" spans="1:15" ht="27" x14ac:dyDescent="0.3">
      <c r="A11" s="9">
        <v>43487</v>
      </c>
      <c r="B11" s="12">
        <v>341</v>
      </c>
      <c r="C11" s="11">
        <v>4.8000000000000001E-2</v>
      </c>
      <c r="D11" s="12">
        <v>461</v>
      </c>
      <c r="E11" s="11">
        <v>2.5999999999999999E-2</v>
      </c>
      <c r="F11" s="10">
        <v>56246</v>
      </c>
      <c r="G11" s="11">
        <v>2.1000000000000001E-2</v>
      </c>
      <c r="H11" s="11">
        <v>9.5000000000000001E-2</v>
      </c>
      <c r="I11" s="10">
        <v>34656500</v>
      </c>
      <c r="J11" s="12" t="s">
        <v>2539</v>
      </c>
      <c r="K11" s="10">
        <v>5336</v>
      </c>
      <c r="L11" s="12" t="s">
        <v>2540</v>
      </c>
      <c r="M11" s="10">
        <v>505589480</v>
      </c>
      <c r="N11" s="10">
        <v>69236</v>
      </c>
      <c r="O11" s="12">
        <v>10</v>
      </c>
    </row>
    <row r="12" spans="1:15" ht="27" x14ac:dyDescent="0.3">
      <c r="A12" s="9">
        <v>43488</v>
      </c>
      <c r="B12" s="12">
        <v>127</v>
      </c>
      <c r="C12" s="11">
        <v>2.1000000000000001E-2</v>
      </c>
      <c r="D12" s="12">
        <v>140</v>
      </c>
      <c r="E12" s="11">
        <v>8.0000000000000002E-3</v>
      </c>
      <c r="F12" s="10">
        <v>16357</v>
      </c>
      <c r="G12" s="11">
        <v>6.0000000000000001E-3</v>
      </c>
      <c r="H12" s="11">
        <v>0.191</v>
      </c>
      <c r="I12" s="10">
        <v>18852900</v>
      </c>
      <c r="J12" s="12" t="s">
        <v>2541</v>
      </c>
      <c r="K12" s="10">
        <v>3121</v>
      </c>
      <c r="L12" s="12" t="s">
        <v>2542</v>
      </c>
      <c r="M12" s="10">
        <v>524442380</v>
      </c>
      <c r="N12" s="10">
        <v>72357</v>
      </c>
      <c r="O12" s="12">
        <v>10</v>
      </c>
    </row>
    <row r="13" spans="1:15" ht="27" x14ac:dyDescent="0.3">
      <c r="A13" s="9">
        <v>43489</v>
      </c>
      <c r="B13" s="12">
        <v>119</v>
      </c>
      <c r="C13" s="11">
        <v>1.9E-2</v>
      </c>
      <c r="D13" s="12">
        <v>133</v>
      </c>
      <c r="E13" s="11">
        <v>7.0000000000000001E-3</v>
      </c>
      <c r="F13" s="10">
        <v>16085</v>
      </c>
      <c r="G13" s="11">
        <v>6.0000000000000001E-3</v>
      </c>
      <c r="H13" s="11">
        <v>0.2</v>
      </c>
      <c r="I13" s="10">
        <v>19622100</v>
      </c>
      <c r="J13" s="12" t="s">
        <v>2543</v>
      </c>
      <c r="K13" s="10">
        <v>3219</v>
      </c>
      <c r="L13" s="12" t="s">
        <v>2544</v>
      </c>
      <c r="M13" s="10">
        <v>544064480</v>
      </c>
      <c r="N13" s="10">
        <v>75576</v>
      </c>
      <c r="O13" s="12">
        <v>12</v>
      </c>
    </row>
    <row r="14" spans="1:15" ht="27" x14ac:dyDescent="0.3">
      <c r="A14" s="9">
        <v>43490</v>
      </c>
      <c r="B14" s="12">
        <v>119</v>
      </c>
      <c r="C14" s="11">
        <v>1.9E-2</v>
      </c>
      <c r="D14" s="12">
        <v>128</v>
      </c>
      <c r="E14" s="11">
        <v>7.0000000000000001E-3</v>
      </c>
      <c r="F14" s="10">
        <v>15455</v>
      </c>
      <c r="G14" s="11">
        <v>5.0000000000000001E-3</v>
      </c>
      <c r="H14" s="11">
        <v>0.17799999999999999</v>
      </c>
      <c r="I14" s="10">
        <v>17262000</v>
      </c>
      <c r="J14" s="12" t="s">
        <v>2545</v>
      </c>
      <c r="K14" s="10">
        <v>2745</v>
      </c>
      <c r="L14" s="12" t="s">
        <v>2546</v>
      </c>
      <c r="M14" s="10">
        <v>561326480</v>
      </c>
      <c r="N14" s="10">
        <v>78321</v>
      </c>
      <c r="O14" s="12">
        <v>12</v>
      </c>
    </row>
    <row r="15" spans="1:15" ht="27" x14ac:dyDescent="0.3">
      <c r="A15" s="9">
        <v>43491</v>
      </c>
      <c r="B15" s="12">
        <v>114</v>
      </c>
      <c r="C15" s="11">
        <v>1.7000000000000001E-2</v>
      </c>
      <c r="D15" s="12">
        <v>135</v>
      </c>
      <c r="E15" s="11">
        <v>7.0000000000000001E-3</v>
      </c>
      <c r="F15" s="10">
        <v>15973</v>
      </c>
      <c r="G15" s="11">
        <v>5.0000000000000001E-3</v>
      </c>
      <c r="H15" s="11">
        <v>0.23200000000000001</v>
      </c>
      <c r="I15" s="10">
        <v>29409030</v>
      </c>
      <c r="J15" s="12" t="s">
        <v>2547</v>
      </c>
      <c r="K15" s="10">
        <v>3710</v>
      </c>
      <c r="L15" s="12" t="s">
        <v>2548</v>
      </c>
      <c r="M15" s="10">
        <v>590735510</v>
      </c>
      <c r="N15" s="10">
        <v>82031</v>
      </c>
      <c r="O15" s="12">
        <v>13</v>
      </c>
    </row>
    <row r="16" spans="1:15" ht="27" x14ac:dyDescent="0.3">
      <c r="A16" s="9">
        <v>43492</v>
      </c>
      <c r="B16" s="12">
        <v>107</v>
      </c>
      <c r="C16" s="11">
        <v>1.6E-2</v>
      </c>
      <c r="D16" s="12">
        <v>127</v>
      </c>
      <c r="E16" s="11">
        <v>7.0000000000000001E-3</v>
      </c>
      <c r="F16" s="10">
        <v>14542</v>
      </c>
      <c r="G16" s="11">
        <v>5.0000000000000001E-3</v>
      </c>
      <c r="H16" s="11">
        <v>0.21199999999999999</v>
      </c>
      <c r="I16" s="10">
        <v>24741050</v>
      </c>
      <c r="J16" s="12" t="s">
        <v>2549</v>
      </c>
      <c r="K16" s="10">
        <v>3079</v>
      </c>
      <c r="L16" s="12" t="s">
        <v>2550</v>
      </c>
      <c r="M16" s="10">
        <v>615476560</v>
      </c>
      <c r="N16" s="10">
        <v>85110</v>
      </c>
      <c r="O16" s="12">
        <v>13</v>
      </c>
    </row>
    <row r="17" spans="1:15" ht="27" x14ac:dyDescent="0.3">
      <c r="A17" s="9">
        <v>43493</v>
      </c>
      <c r="B17" s="12">
        <v>83</v>
      </c>
      <c r="C17" s="11">
        <v>1.4E-2</v>
      </c>
      <c r="D17" s="12">
        <v>95</v>
      </c>
      <c r="E17" s="11">
        <v>5.0000000000000001E-3</v>
      </c>
      <c r="F17" s="10">
        <v>10721</v>
      </c>
      <c r="G17" s="11">
        <v>4.0000000000000001E-3</v>
      </c>
      <c r="H17" s="11">
        <v>8.8999999999999996E-2</v>
      </c>
      <c r="I17" s="10">
        <v>6190400</v>
      </c>
      <c r="J17" s="12" t="s">
        <v>2551</v>
      </c>
      <c r="K17" s="12">
        <v>951</v>
      </c>
      <c r="L17" s="12" t="s">
        <v>2552</v>
      </c>
      <c r="M17" s="10">
        <v>621666960</v>
      </c>
      <c r="N17" s="10">
        <v>86061</v>
      </c>
      <c r="O17" s="12">
        <v>14</v>
      </c>
    </row>
    <row r="18" spans="1:15" ht="27" x14ac:dyDescent="0.3">
      <c r="A18" s="9">
        <v>43494</v>
      </c>
      <c r="B18" s="12">
        <v>80</v>
      </c>
      <c r="C18" s="11">
        <v>1.2999999999999999E-2</v>
      </c>
      <c r="D18" s="12">
        <v>90</v>
      </c>
      <c r="E18" s="11">
        <v>5.0000000000000001E-3</v>
      </c>
      <c r="F18" s="10">
        <v>10192</v>
      </c>
      <c r="G18" s="11">
        <v>4.0000000000000001E-3</v>
      </c>
      <c r="H18" s="11">
        <v>0.123</v>
      </c>
      <c r="I18" s="10">
        <v>7813750</v>
      </c>
      <c r="J18" s="12" t="s">
        <v>2553</v>
      </c>
      <c r="K18" s="10">
        <v>1252</v>
      </c>
      <c r="L18" s="12" t="s">
        <v>2554</v>
      </c>
      <c r="M18" s="10">
        <v>629480710</v>
      </c>
      <c r="N18" s="10">
        <v>87313</v>
      </c>
      <c r="O18" s="12">
        <v>16</v>
      </c>
    </row>
    <row r="19" spans="1:15" ht="27" x14ac:dyDescent="0.3">
      <c r="A19" s="9">
        <v>43495</v>
      </c>
      <c r="B19" s="12">
        <v>14</v>
      </c>
      <c r="C19" s="11">
        <v>3.0000000000000001E-3</v>
      </c>
      <c r="D19" s="12">
        <v>16</v>
      </c>
      <c r="E19" s="11">
        <v>1E-3</v>
      </c>
      <c r="F19" s="10">
        <v>1635</v>
      </c>
      <c r="G19" s="11">
        <v>1E-3</v>
      </c>
      <c r="H19" s="11">
        <v>0.503</v>
      </c>
      <c r="I19" s="10">
        <v>4709100</v>
      </c>
      <c r="J19" s="12" t="s">
        <v>2555</v>
      </c>
      <c r="K19" s="12">
        <v>822</v>
      </c>
      <c r="L19" s="12" t="s">
        <v>2556</v>
      </c>
      <c r="M19" s="10">
        <v>634189810</v>
      </c>
      <c r="N19" s="10">
        <v>88135</v>
      </c>
      <c r="O19" s="12">
        <v>16</v>
      </c>
    </row>
    <row r="20" spans="1:15" ht="27" x14ac:dyDescent="0.3">
      <c r="A20" s="9">
        <v>43496</v>
      </c>
      <c r="B20" s="12">
        <v>10</v>
      </c>
      <c r="C20" s="11">
        <v>2E-3</v>
      </c>
      <c r="D20" s="12">
        <v>10</v>
      </c>
      <c r="E20" s="11">
        <v>1E-3</v>
      </c>
      <c r="F20" s="12">
        <v>984</v>
      </c>
      <c r="G20" s="11">
        <v>0</v>
      </c>
      <c r="H20" s="11">
        <v>0.41299999999999998</v>
      </c>
      <c r="I20" s="10">
        <v>2189300</v>
      </c>
      <c r="J20" s="12" t="s">
        <v>2557</v>
      </c>
      <c r="K20" s="12">
        <v>406</v>
      </c>
      <c r="L20" s="12" t="s">
        <v>2558</v>
      </c>
      <c r="M20" s="10">
        <v>636379110</v>
      </c>
      <c r="N20" s="10">
        <v>88541</v>
      </c>
      <c r="O20" s="12">
        <v>24</v>
      </c>
    </row>
    <row r="21" spans="1:15" ht="27" x14ac:dyDescent="0.3">
      <c r="A21" s="9">
        <v>43497</v>
      </c>
      <c r="B21" s="12">
        <v>7</v>
      </c>
      <c r="C21" s="11">
        <v>1E-3</v>
      </c>
      <c r="D21" s="12">
        <v>8</v>
      </c>
      <c r="E21" s="11">
        <v>0</v>
      </c>
      <c r="F21" s="12">
        <v>661</v>
      </c>
      <c r="G21" s="11">
        <v>0</v>
      </c>
      <c r="H21" s="11">
        <v>0.55400000000000005</v>
      </c>
      <c r="I21" s="10">
        <v>1963500</v>
      </c>
      <c r="J21" s="12" t="s">
        <v>2559</v>
      </c>
      <c r="K21" s="12">
        <v>366</v>
      </c>
      <c r="L21" s="12" t="s">
        <v>2560</v>
      </c>
      <c r="M21" s="10">
        <v>638342610</v>
      </c>
      <c r="N21" s="10">
        <v>88907</v>
      </c>
      <c r="O21" s="12">
        <v>19</v>
      </c>
    </row>
    <row r="22" spans="1:15" ht="27" x14ac:dyDescent="0.3">
      <c r="A22" s="9">
        <v>43498</v>
      </c>
      <c r="B22" s="12">
        <v>4</v>
      </c>
      <c r="C22" s="11">
        <v>1E-3</v>
      </c>
      <c r="D22" s="12">
        <v>4</v>
      </c>
      <c r="E22" s="11">
        <v>0</v>
      </c>
      <c r="F22" s="12">
        <v>300</v>
      </c>
      <c r="G22" s="11">
        <v>0</v>
      </c>
      <c r="H22" s="11">
        <v>0.17299999999999999</v>
      </c>
      <c r="I22" s="10">
        <v>473200</v>
      </c>
      <c r="J22" s="12" t="s">
        <v>2561</v>
      </c>
      <c r="K22" s="12">
        <v>52</v>
      </c>
      <c r="L22" s="12" t="s">
        <v>2562</v>
      </c>
      <c r="M22" s="10">
        <v>638815810</v>
      </c>
      <c r="N22" s="10">
        <v>88959</v>
      </c>
      <c r="O22" s="12">
        <v>48</v>
      </c>
    </row>
    <row r="23" spans="1:15" ht="27" x14ac:dyDescent="0.3">
      <c r="A23" s="9">
        <v>43499</v>
      </c>
      <c r="B23" s="12">
        <v>4</v>
      </c>
      <c r="C23" s="11">
        <v>1E-3</v>
      </c>
      <c r="D23" s="12">
        <v>4</v>
      </c>
      <c r="E23" s="11">
        <v>0</v>
      </c>
      <c r="F23" s="12">
        <v>236</v>
      </c>
      <c r="G23" s="11">
        <v>0</v>
      </c>
      <c r="H23" s="11">
        <v>0.157</v>
      </c>
      <c r="I23" s="10">
        <v>321400</v>
      </c>
      <c r="J23" s="12" t="s">
        <v>2563</v>
      </c>
      <c r="K23" s="12">
        <v>37</v>
      </c>
      <c r="L23" s="12" t="s">
        <v>2564</v>
      </c>
      <c r="M23" s="10">
        <v>639137210</v>
      </c>
      <c r="N23" s="10">
        <v>88996</v>
      </c>
      <c r="O23" s="12">
        <v>48</v>
      </c>
    </row>
    <row r="24" spans="1:15" ht="27" x14ac:dyDescent="0.3">
      <c r="A24" s="9">
        <v>43500</v>
      </c>
      <c r="B24" s="12">
        <v>3</v>
      </c>
      <c r="C24" s="11">
        <v>1E-3</v>
      </c>
      <c r="D24" s="12">
        <v>3</v>
      </c>
      <c r="E24" s="11">
        <v>0</v>
      </c>
      <c r="F24" s="12">
        <v>158</v>
      </c>
      <c r="G24" s="11">
        <v>0</v>
      </c>
      <c r="H24" s="11">
        <v>0.215</v>
      </c>
      <c r="I24" s="10">
        <v>285150</v>
      </c>
      <c r="J24" s="12" t="s">
        <v>2565</v>
      </c>
      <c r="K24" s="12">
        <v>34</v>
      </c>
      <c r="L24" s="12" t="s">
        <v>2566</v>
      </c>
      <c r="M24" s="10">
        <v>639422360</v>
      </c>
      <c r="N24" s="10">
        <v>89030</v>
      </c>
      <c r="O24" s="12">
        <v>46</v>
      </c>
    </row>
    <row r="25" spans="1:15" ht="27" x14ac:dyDescent="0.3">
      <c r="A25" s="9">
        <v>43501</v>
      </c>
      <c r="B25" s="12">
        <v>2</v>
      </c>
      <c r="C25" s="11">
        <v>0</v>
      </c>
      <c r="D25" s="12">
        <v>2</v>
      </c>
      <c r="E25" s="11">
        <v>0</v>
      </c>
      <c r="F25" s="12">
        <v>64</v>
      </c>
      <c r="G25" s="11">
        <v>0</v>
      </c>
      <c r="H25" s="11">
        <v>0.188</v>
      </c>
      <c r="I25" s="10">
        <v>116000</v>
      </c>
      <c r="J25" s="12" t="s">
        <v>2567</v>
      </c>
      <c r="K25" s="12">
        <v>12</v>
      </c>
      <c r="L25" s="12" t="s">
        <v>2568</v>
      </c>
      <c r="M25" s="10">
        <v>639538360</v>
      </c>
      <c r="N25" s="10">
        <v>89042</v>
      </c>
      <c r="O25" s="12">
        <v>58</v>
      </c>
    </row>
    <row r="26" spans="1:15" ht="27" x14ac:dyDescent="0.3">
      <c r="A26" s="9">
        <v>43502</v>
      </c>
      <c r="B26" s="12">
        <v>1</v>
      </c>
      <c r="C26" s="11">
        <v>0</v>
      </c>
      <c r="D26" s="12">
        <v>1</v>
      </c>
      <c r="E26" s="11">
        <v>0</v>
      </c>
      <c r="F26" s="12">
        <v>29</v>
      </c>
      <c r="G26" s="11">
        <v>0</v>
      </c>
      <c r="H26" s="11">
        <v>6.9000000000000006E-2</v>
      </c>
      <c r="I26" s="10">
        <v>13000</v>
      </c>
      <c r="J26" s="12" t="s">
        <v>2569</v>
      </c>
      <c r="K26" s="12">
        <v>2</v>
      </c>
      <c r="L26" s="12" t="s">
        <v>2570</v>
      </c>
      <c r="M26" s="10">
        <v>639551360</v>
      </c>
      <c r="N26" s="10">
        <v>89044</v>
      </c>
      <c r="O26" s="12">
        <v>77</v>
      </c>
    </row>
    <row r="27" spans="1:15" ht="27" x14ac:dyDescent="0.3">
      <c r="A27" s="9">
        <v>43503</v>
      </c>
      <c r="B27" s="12">
        <v>2</v>
      </c>
      <c r="C27" s="11">
        <v>0</v>
      </c>
      <c r="D27" s="12">
        <v>2</v>
      </c>
      <c r="E27" s="11">
        <v>0</v>
      </c>
      <c r="F27" s="12">
        <v>353</v>
      </c>
      <c r="G27" s="11">
        <v>0</v>
      </c>
      <c r="H27" s="11">
        <v>0.48199999999999998</v>
      </c>
      <c r="I27" s="10">
        <v>854000</v>
      </c>
      <c r="J27" s="12" t="s">
        <v>2571</v>
      </c>
      <c r="K27" s="12">
        <v>170</v>
      </c>
      <c r="L27" s="12" t="s">
        <v>2572</v>
      </c>
      <c r="M27" s="10">
        <v>640405360</v>
      </c>
      <c r="N27" s="10">
        <v>89214</v>
      </c>
      <c r="O27" s="12">
        <v>27</v>
      </c>
    </row>
    <row r="28" spans="1:15" ht="27" x14ac:dyDescent="0.3">
      <c r="A28" s="9">
        <v>43504</v>
      </c>
      <c r="B28" s="12">
        <v>6</v>
      </c>
      <c r="C28" s="11">
        <v>1E-3</v>
      </c>
      <c r="D28" s="12">
        <v>6</v>
      </c>
      <c r="E28" s="11">
        <v>0</v>
      </c>
      <c r="F28" s="12">
        <v>830</v>
      </c>
      <c r="G28" s="11">
        <v>0</v>
      </c>
      <c r="H28" s="11">
        <v>0.55100000000000005</v>
      </c>
      <c r="I28" s="10">
        <v>2717000</v>
      </c>
      <c r="J28" s="12" t="s">
        <v>2573</v>
      </c>
      <c r="K28" s="12">
        <v>457</v>
      </c>
      <c r="L28" s="12" t="s">
        <v>2574</v>
      </c>
      <c r="M28" s="10">
        <v>643122360</v>
      </c>
      <c r="N28" s="10">
        <v>89671</v>
      </c>
      <c r="O28" s="12">
        <v>20</v>
      </c>
    </row>
    <row r="29" spans="1:15" ht="27" x14ac:dyDescent="0.3">
      <c r="A29" s="9">
        <v>43507</v>
      </c>
      <c r="B29" s="12">
        <v>5</v>
      </c>
      <c r="C29" s="11">
        <v>1E-3</v>
      </c>
      <c r="D29" s="12">
        <v>5</v>
      </c>
      <c r="E29" s="11">
        <v>0</v>
      </c>
      <c r="F29" s="12">
        <v>560</v>
      </c>
      <c r="G29" s="11">
        <v>0</v>
      </c>
      <c r="H29" s="11">
        <v>0.70199999999999996</v>
      </c>
      <c r="I29" s="10">
        <v>1965000</v>
      </c>
      <c r="J29" s="12" t="s">
        <v>2575</v>
      </c>
      <c r="K29" s="12">
        <v>393</v>
      </c>
      <c r="L29" s="12" t="s">
        <v>2576</v>
      </c>
      <c r="M29" s="10">
        <v>645087360</v>
      </c>
      <c r="N29" s="10">
        <v>90064</v>
      </c>
      <c r="O29" s="12">
        <v>16</v>
      </c>
    </row>
    <row r="30" spans="1:15" ht="27" x14ac:dyDescent="0.3">
      <c r="A30" s="9">
        <v>43508</v>
      </c>
      <c r="B30" s="12">
        <v>3</v>
      </c>
      <c r="C30" s="11">
        <v>1E-3</v>
      </c>
      <c r="D30" s="12">
        <v>3</v>
      </c>
      <c r="E30" s="11">
        <v>0</v>
      </c>
      <c r="F30" s="12">
        <v>249</v>
      </c>
      <c r="G30" s="11">
        <v>0</v>
      </c>
      <c r="H30" s="11">
        <v>0.76700000000000002</v>
      </c>
      <c r="I30" s="10">
        <v>1072000</v>
      </c>
      <c r="J30" s="12" t="s">
        <v>2577</v>
      </c>
      <c r="K30" s="12">
        <v>191</v>
      </c>
      <c r="L30" s="12" t="s">
        <v>2578</v>
      </c>
      <c r="M30" s="10">
        <v>646159360</v>
      </c>
      <c r="N30" s="10">
        <v>90255</v>
      </c>
      <c r="O30" s="12">
        <v>26</v>
      </c>
    </row>
    <row r="31" spans="1:15" ht="27" x14ac:dyDescent="0.3">
      <c r="A31" s="9">
        <v>43509</v>
      </c>
      <c r="B31" s="12">
        <v>6</v>
      </c>
      <c r="C31" s="11">
        <v>1E-3</v>
      </c>
      <c r="D31" s="12">
        <v>6</v>
      </c>
      <c r="E31" s="11">
        <v>0</v>
      </c>
      <c r="F31" s="12">
        <v>764</v>
      </c>
      <c r="G31" s="11">
        <v>0</v>
      </c>
      <c r="H31" s="11">
        <v>0.5</v>
      </c>
      <c r="I31" s="10">
        <v>1937000</v>
      </c>
      <c r="J31" s="12" t="s">
        <v>2579</v>
      </c>
      <c r="K31" s="12">
        <v>382</v>
      </c>
      <c r="L31" s="12" t="s">
        <v>2580</v>
      </c>
      <c r="M31" s="10">
        <v>648096360</v>
      </c>
      <c r="N31" s="10">
        <v>90637</v>
      </c>
      <c r="O31" s="12">
        <v>23</v>
      </c>
    </row>
    <row r="32" spans="1:15" ht="27" x14ac:dyDescent="0.3">
      <c r="A32" s="9">
        <v>43510</v>
      </c>
      <c r="B32" s="12">
        <v>5</v>
      </c>
      <c r="C32" s="11">
        <v>1E-3</v>
      </c>
      <c r="D32" s="12">
        <v>5</v>
      </c>
      <c r="E32" s="11">
        <v>0</v>
      </c>
      <c r="F32" s="12">
        <v>541</v>
      </c>
      <c r="G32" s="11">
        <v>0</v>
      </c>
      <c r="H32" s="11">
        <v>0.66700000000000004</v>
      </c>
      <c r="I32" s="10">
        <v>1989000</v>
      </c>
      <c r="J32" s="12" t="s">
        <v>2581</v>
      </c>
      <c r="K32" s="12">
        <v>361</v>
      </c>
      <c r="L32" s="12" t="s">
        <v>2582</v>
      </c>
      <c r="M32" s="10">
        <v>650085360</v>
      </c>
      <c r="N32" s="10">
        <v>90998</v>
      </c>
      <c r="O32" s="12">
        <v>24</v>
      </c>
    </row>
    <row r="33" spans="1:15" ht="27" x14ac:dyDescent="0.3">
      <c r="A33" s="9">
        <v>43511</v>
      </c>
      <c r="B33" s="12">
        <v>3</v>
      </c>
      <c r="C33" s="11">
        <v>0</v>
      </c>
      <c r="D33" s="12">
        <v>3</v>
      </c>
      <c r="E33" s="11">
        <v>0</v>
      </c>
      <c r="F33" s="12">
        <v>401</v>
      </c>
      <c r="G33" s="11">
        <v>0</v>
      </c>
      <c r="H33" s="11">
        <v>0.75800000000000001</v>
      </c>
      <c r="I33" s="10">
        <v>1542000</v>
      </c>
      <c r="J33" s="12" t="s">
        <v>2583</v>
      </c>
      <c r="K33" s="12">
        <v>304</v>
      </c>
      <c r="L33" s="12" t="s">
        <v>2584</v>
      </c>
      <c r="M33" s="10">
        <v>651627360</v>
      </c>
      <c r="N33" s="10">
        <v>91302</v>
      </c>
      <c r="O33" s="12">
        <v>24</v>
      </c>
    </row>
    <row r="34" spans="1:15" ht="27" x14ac:dyDescent="0.3">
      <c r="A34" s="9">
        <v>43514</v>
      </c>
      <c r="B34" s="12">
        <v>1</v>
      </c>
      <c r="C34" s="11">
        <v>0</v>
      </c>
      <c r="D34" s="12">
        <v>1</v>
      </c>
      <c r="E34" s="11">
        <v>0</v>
      </c>
      <c r="F34" s="12">
        <v>106</v>
      </c>
      <c r="G34" s="11">
        <v>0</v>
      </c>
      <c r="H34" s="11">
        <v>1.9E-2</v>
      </c>
      <c r="I34" s="10">
        <v>14000</v>
      </c>
      <c r="J34" s="12" t="s">
        <v>2585</v>
      </c>
      <c r="K34" s="12">
        <v>2</v>
      </c>
      <c r="L34" s="12" t="s">
        <v>1408</v>
      </c>
      <c r="M34" s="10">
        <v>651641360</v>
      </c>
      <c r="N34" s="10">
        <v>91304</v>
      </c>
      <c r="O34" s="12">
        <v>74</v>
      </c>
    </row>
    <row r="35" spans="1:15" ht="27" x14ac:dyDescent="0.3">
      <c r="A35" s="9">
        <v>43516</v>
      </c>
      <c r="B35" s="12">
        <v>2</v>
      </c>
      <c r="C35" s="11">
        <v>0</v>
      </c>
      <c r="D35" s="12">
        <v>2</v>
      </c>
      <c r="E35" s="11">
        <v>0</v>
      </c>
      <c r="F35" s="12">
        <v>210</v>
      </c>
      <c r="G35" s="11">
        <v>0</v>
      </c>
      <c r="H35" s="11">
        <v>0.57099999999999995</v>
      </c>
      <c r="I35" s="10">
        <v>659000</v>
      </c>
      <c r="J35" s="12" t="s">
        <v>2586</v>
      </c>
      <c r="K35" s="12">
        <v>120</v>
      </c>
      <c r="L35" s="12" t="s">
        <v>2587</v>
      </c>
      <c r="M35" s="10">
        <v>652300360</v>
      </c>
      <c r="N35" s="10">
        <v>91424</v>
      </c>
      <c r="O35" s="12">
        <v>37</v>
      </c>
    </row>
    <row r="36" spans="1:15" ht="27" x14ac:dyDescent="0.3">
      <c r="A36" s="9">
        <v>43518</v>
      </c>
      <c r="B36" s="12">
        <v>1</v>
      </c>
      <c r="C36" s="11">
        <v>0</v>
      </c>
      <c r="D36" s="12">
        <v>1</v>
      </c>
      <c r="E36" s="11">
        <v>0</v>
      </c>
      <c r="F36" s="12">
        <v>66</v>
      </c>
      <c r="G36" s="11">
        <v>0</v>
      </c>
      <c r="H36" s="11">
        <v>1</v>
      </c>
      <c r="I36" s="10">
        <v>330000</v>
      </c>
      <c r="J36" s="12" t="s">
        <v>2588</v>
      </c>
      <c r="K36" s="12">
        <v>66</v>
      </c>
      <c r="L36" s="12" t="s">
        <v>2589</v>
      </c>
      <c r="M36" s="10">
        <v>652630360</v>
      </c>
      <c r="N36" s="10">
        <v>91490</v>
      </c>
      <c r="O36" s="12">
        <v>47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42A0F-BDE5-410D-8A92-E418B5D3A8C6}">
  <dimension ref="A1:O41"/>
  <sheetViews>
    <sheetView workbookViewId="0">
      <selection activeCell="A5" sqref="A5:O14"/>
    </sheetView>
  </sheetViews>
  <sheetFormatPr defaultRowHeight="16.5" x14ac:dyDescent="0.3"/>
  <sheetData>
    <row r="1" spans="1:15" ht="19.5" x14ac:dyDescent="0.3">
      <c r="A1" s="197" t="s">
        <v>2590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43481</v>
      </c>
      <c r="B5" s="12">
        <v>540</v>
      </c>
      <c r="C5" s="11">
        <v>7.5999999999999998E-2</v>
      </c>
      <c r="D5" s="10">
        <v>1562</v>
      </c>
      <c r="E5" s="11">
        <v>8.5999999999999993E-2</v>
      </c>
      <c r="F5" s="10">
        <v>218635</v>
      </c>
      <c r="G5" s="11">
        <v>7.6999999999999999E-2</v>
      </c>
      <c r="H5" s="11">
        <v>6.5000000000000002E-2</v>
      </c>
      <c r="I5" s="10">
        <v>110733670</v>
      </c>
      <c r="J5" s="12" t="s">
        <v>2591</v>
      </c>
      <c r="K5" s="10">
        <v>14163</v>
      </c>
      <c r="L5" s="12" t="s">
        <v>2592</v>
      </c>
      <c r="M5" s="10">
        <v>249243170</v>
      </c>
      <c r="N5" s="10">
        <v>28943</v>
      </c>
      <c r="O5" s="12">
        <v>6</v>
      </c>
    </row>
    <row r="6" spans="1:15" ht="27" x14ac:dyDescent="0.3">
      <c r="A6" s="9">
        <v>43482</v>
      </c>
      <c r="B6" s="12">
        <v>506</v>
      </c>
      <c r="C6" s="11">
        <v>6.9000000000000006E-2</v>
      </c>
      <c r="D6" s="10">
        <v>1174</v>
      </c>
      <c r="E6" s="11">
        <v>6.4000000000000001E-2</v>
      </c>
      <c r="F6" s="10">
        <v>159072</v>
      </c>
      <c r="G6" s="11">
        <v>5.6000000000000001E-2</v>
      </c>
      <c r="H6" s="11">
        <v>6.0999999999999999E-2</v>
      </c>
      <c r="I6" s="10">
        <v>75643050</v>
      </c>
      <c r="J6" s="12" t="s">
        <v>2593</v>
      </c>
      <c r="K6" s="10">
        <v>9636</v>
      </c>
      <c r="L6" s="12" t="s">
        <v>2594</v>
      </c>
      <c r="M6" s="10">
        <v>324886220</v>
      </c>
      <c r="N6" s="10">
        <v>38579</v>
      </c>
      <c r="O6" s="12">
        <v>7</v>
      </c>
    </row>
    <row r="7" spans="1:15" ht="27" x14ac:dyDescent="0.3">
      <c r="A7" s="9">
        <v>43483</v>
      </c>
      <c r="B7" s="12">
        <v>498</v>
      </c>
      <c r="C7" s="11">
        <v>6.8000000000000005E-2</v>
      </c>
      <c r="D7" s="10">
        <v>1068</v>
      </c>
      <c r="E7" s="11">
        <v>5.8000000000000003E-2</v>
      </c>
      <c r="F7" s="10">
        <v>140238</v>
      </c>
      <c r="G7" s="11">
        <v>4.9000000000000002E-2</v>
      </c>
      <c r="H7" s="11">
        <v>6.6000000000000003E-2</v>
      </c>
      <c r="I7" s="10">
        <v>78813260</v>
      </c>
      <c r="J7" s="12" t="s">
        <v>2595</v>
      </c>
      <c r="K7" s="10">
        <v>9194</v>
      </c>
      <c r="L7" s="12" t="s">
        <v>2596</v>
      </c>
      <c r="M7" s="10">
        <v>403699480</v>
      </c>
      <c r="N7" s="10">
        <v>47773</v>
      </c>
      <c r="O7" s="12">
        <v>7</v>
      </c>
    </row>
    <row r="8" spans="1:15" ht="27" x14ac:dyDescent="0.3">
      <c r="A8" s="9">
        <v>43484</v>
      </c>
      <c r="B8" s="12">
        <v>492</v>
      </c>
      <c r="C8" s="11">
        <v>6.3E-2</v>
      </c>
      <c r="D8" s="12">
        <v>864</v>
      </c>
      <c r="E8" s="11">
        <v>4.3999999999999997E-2</v>
      </c>
      <c r="F8" s="10">
        <v>104275</v>
      </c>
      <c r="G8" s="11">
        <v>3.5000000000000003E-2</v>
      </c>
      <c r="H8" s="11">
        <v>0.123</v>
      </c>
      <c r="I8" s="10">
        <v>110732140</v>
      </c>
      <c r="J8" s="12" t="s">
        <v>2597</v>
      </c>
      <c r="K8" s="10">
        <v>12836</v>
      </c>
      <c r="L8" s="12" t="s">
        <v>2598</v>
      </c>
      <c r="M8" s="10">
        <v>514431620</v>
      </c>
      <c r="N8" s="10">
        <v>60609</v>
      </c>
      <c r="O8" s="12">
        <v>12</v>
      </c>
    </row>
    <row r="9" spans="1:15" ht="27" x14ac:dyDescent="0.3">
      <c r="A9" s="9">
        <v>43485</v>
      </c>
      <c r="B9" s="12">
        <v>475</v>
      </c>
      <c r="C9" s="11">
        <v>6.2E-2</v>
      </c>
      <c r="D9" s="12">
        <v>826</v>
      </c>
      <c r="E9" s="11">
        <v>4.3999999999999997E-2</v>
      </c>
      <c r="F9" s="10">
        <v>98067</v>
      </c>
      <c r="G9" s="11">
        <v>3.3000000000000002E-2</v>
      </c>
      <c r="H9" s="11">
        <v>0.114</v>
      </c>
      <c r="I9" s="10">
        <v>95515200</v>
      </c>
      <c r="J9" s="12" t="s">
        <v>2599</v>
      </c>
      <c r="K9" s="10">
        <v>11169</v>
      </c>
      <c r="L9" s="12" t="s">
        <v>2600</v>
      </c>
      <c r="M9" s="10">
        <v>609946820</v>
      </c>
      <c r="N9" s="10">
        <v>71778</v>
      </c>
      <c r="O9" s="12">
        <v>12</v>
      </c>
    </row>
    <row r="10" spans="1:15" ht="27" x14ac:dyDescent="0.3">
      <c r="A10" s="9">
        <v>43486</v>
      </c>
      <c r="B10" s="12">
        <v>447</v>
      </c>
      <c r="C10" s="11">
        <v>6.5000000000000002E-2</v>
      </c>
      <c r="D10" s="12">
        <v>797</v>
      </c>
      <c r="E10" s="11">
        <v>4.5999999999999999E-2</v>
      </c>
      <c r="F10" s="10">
        <v>98965</v>
      </c>
      <c r="G10" s="11">
        <v>3.5999999999999997E-2</v>
      </c>
      <c r="H10" s="11">
        <v>5.3999999999999999E-2</v>
      </c>
      <c r="I10" s="10">
        <v>42147650</v>
      </c>
      <c r="J10" s="12" t="s">
        <v>2601</v>
      </c>
      <c r="K10" s="10">
        <v>5300</v>
      </c>
      <c r="L10" s="12" t="s">
        <v>2602</v>
      </c>
      <c r="M10" s="10">
        <v>652094470</v>
      </c>
      <c r="N10" s="10">
        <v>77078</v>
      </c>
      <c r="O10" s="12">
        <v>9</v>
      </c>
    </row>
    <row r="11" spans="1:15" ht="27" x14ac:dyDescent="0.3">
      <c r="A11" s="9">
        <v>43487</v>
      </c>
      <c r="B11" s="12">
        <v>440</v>
      </c>
      <c r="C11" s="11">
        <v>6.2E-2</v>
      </c>
      <c r="D11" s="12">
        <v>788</v>
      </c>
      <c r="E11" s="11">
        <v>4.4999999999999998E-2</v>
      </c>
      <c r="F11" s="10">
        <v>97550</v>
      </c>
      <c r="G11" s="11">
        <v>3.5999999999999997E-2</v>
      </c>
      <c r="H11" s="11">
        <v>5.8000000000000003E-2</v>
      </c>
      <c r="I11" s="10">
        <v>44654350</v>
      </c>
      <c r="J11" s="12" t="s">
        <v>2603</v>
      </c>
      <c r="K11" s="10">
        <v>5620</v>
      </c>
      <c r="L11" s="12" t="s">
        <v>2604</v>
      </c>
      <c r="M11" s="10">
        <v>696748820</v>
      </c>
      <c r="N11" s="10">
        <v>82698</v>
      </c>
      <c r="O11" s="12">
        <v>9</v>
      </c>
    </row>
    <row r="12" spans="1:15" ht="27" x14ac:dyDescent="0.3">
      <c r="A12" s="9">
        <v>43488</v>
      </c>
      <c r="B12" s="12">
        <v>74</v>
      </c>
      <c r="C12" s="11">
        <v>1.2E-2</v>
      </c>
      <c r="D12" s="12">
        <v>95</v>
      </c>
      <c r="E12" s="11">
        <v>5.0000000000000001E-3</v>
      </c>
      <c r="F12" s="10">
        <v>9460</v>
      </c>
      <c r="G12" s="11">
        <v>3.0000000000000001E-3</v>
      </c>
      <c r="H12" s="11">
        <v>5.5E-2</v>
      </c>
      <c r="I12" s="10">
        <v>3898650</v>
      </c>
      <c r="J12" s="12" t="s">
        <v>2605</v>
      </c>
      <c r="K12" s="12">
        <v>525</v>
      </c>
      <c r="L12" s="12" t="s">
        <v>2606</v>
      </c>
      <c r="M12" s="10">
        <v>700647470</v>
      </c>
      <c r="N12" s="10">
        <v>83223</v>
      </c>
      <c r="O12" s="12">
        <v>21</v>
      </c>
    </row>
    <row r="13" spans="1:15" ht="27" x14ac:dyDescent="0.3">
      <c r="A13" s="9">
        <v>43489</v>
      </c>
      <c r="B13" s="12">
        <v>65</v>
      </c>
      <c r="C13" s="11">
        <v>0.01</v>
      </c>
      <c r="D13" s="12">
        <v>78</v>
      </c>
      <c r="E13" s="11">
        <v>4.0000000000000001E-3</v>
      </c>
      <c r="F13" s="10">
        <v>7666</v>
      </c>
      <c r="G13" s="11">
        <v>3.0000000000000001E-3</v>
      </c>
      <c r="H13" s="11">
        <v>5.2999999999999999E-2</v>
      </c>
      <c r="I13" s="10">
        <v>2953150</v>
      </c>
      <c r="J13" s="12" t="s">
        <v>2607</v>
      </c>
      <c r="K13" s="12">
        <v>408</v>
      </c>
      <c r="L13" s="12" t="s">
        <v>2608</v>
      </c>
      <c r="M13" s="10">
        <v>703600620</v>
      </c>
      <c r="N13" s="10">
        <v>83631</v>
      </c>
      <c r="O13" s="12">
        <v>25</v>
      </c>
    </row>
    <row r="14" spans="1:15" ht="27" x14ac:dyDescent="0.3">
      <c r="A14" s="9">
        <v>43490</v>
      </c>
      <c r="B14" s="12">
        <v>59</v>
      </c>
      <c r="C14" s="11">
        <v>8.9999999999999993E-3</v>
      </c>
      <c r="D14" s="12">
        <v>71</v>
      </c>
      <c r="E14" s="11">
        <v>4.0000000000000001E-3</v>
      </c>
      <c r="F14" s="10">
        <v>7243</v>
      </c>
      <c r="G14" s="11">
        <v>2E-3</v>
      </c>
      <c r="H14" s="11">
        <v>6.3E-2</v>
      </c>
      <c r="I14" s="10">
        <v>3611200</v>
      </c>
      <c r="J14" s="12" t="s">
        <v>2609</v>
      </c>
      <c r="K14" s="12">
        <v>456</v>
      </c>
      <c r="L14" s="12" t="s">
        <v>2610</v>
      </c>
      <c r="M14" s="10">
        <v>707211820</v>
      </c>
      <c r="N14" s="10">
        <v>84087</v>
      </c>
      <c r="O14" s="12">
        <v>23</v>
      </c>
    </row>
    <row r="15" spans="1:15" ht="27" x14ac:dyDescent="0.3">
      <c r="A15" s="9">
        <v>43491</v>
      </c>
      <c r="B15" s="12">
        <v>40</v>
      </c>
      <c r="C15" s="11">
        <v>6.0000000000000001E-3</v>
      </c>
      <c r="D15" s="12">
        <v>47</v>
      </c>
      <c r="E15" s="11">
        <v>2E-3</v>
      </c>
      <c r="F15" s="10">
        <v>4174</v>
      </c>
      <c r="G15" s="11">
        <v>1E-3</v>
      </c>
      <c r="H15" s="11">
        <v>8.2000000000000003E-2</v>
      </c>
      <c r="I15" s="10">
        <v>2601550</v>
      </c>
      <c r="J15" s="12" t="s">
        <v>2611</v>
      </c>
      <c r="K15" s="12">
        <v>343</v>
      </c>
      <c r="L15" s="12" t="s">
        <v>2612</v>
      </c>
      <c r="M15" s="10">
        <v>709813370</v>
      </c>
      <c r="N15" s="10">
        <v>84430</v>
      </c>
      <c r="O15" s="12">
        <v>28</v>
      </c>
    </row>
    <row r="16" spans="1:15" ht="27" x14ac:dyDescent="0.3">
      <c r="A16" s="9">
        <v>43492</v>
      </c>
      <c r="B16" s="12">
        <v>44</v>
      </c>
      <c r="C16" s="11">
        <v>7.0000000000000001E-3</v>
      </c>
      <c r="D16" s="12">
        <v>54</v>
      </c>
      <c r="E16" s="11">
        <v>3.0000000000000001E-3</v>
      </c>
      <c r="F16" s="10">
        <v>5286</v>
      </c>
      <c r="G16" s="11">
        <v>2E-3</v>
      </c>
      <c r="H16" s="11">
        <v>7.2999999999999995E-2</v>
      </c>
      <c r="I16" s="10">
        <v>2934500</v>
      </c>
      <c r="J16" s="12" t="s">
        <v>2613</v>
      </c>
      <c r="K16" s="12">
        <v>388</v>
      </c>
      <c r="L16" s="12" t="s">
        <v>2614</v>
      </c>
      <c r="M16" s="10">
        <v>712747870</v>
      </c>
      <c r="N16" s="10">
        <v>84818</v>
      </c>
      <c r="O16" s="12">
        <v>25</v>
      </c>
    </row>
    <row r="17" spans="1:15" ht="27" x14ac:dyDescent="0.3">
      <c r="A17" s="9">
        <v>43493</v>
      </c>
      <c r="B17" s="12">
        <v>34</v>
      </c>
      <c r="C17" s="11">
        <v>6.0000000000000001E-3</v>
      </c>
      <c r="D17" s="12">
        <v>43</v>
      </c>
      <c r="E17" s="11">
        <v>2E-3</v>
      </c>
      <c r="F17" s="10">
        <v>4480</v>
      </c>
      <c r="G17" s="11">
        <v>2E-3</v>
      </c>
      <c r="H17" s="11">
        <v>4.4999999999999998E-2</v>
      </c>
      <c r="I17" s="10">
        <v>1427300</v>
      </c>
      <c r="J17" s="12" t="s">
        <v>2615</v>
      </c>
      <c r="K17" s="12">
        <v>200</v>
      </c>
      <c r="L17" s="12" t="s">
        <v>2616</v>
      </c>
      <c r="M17" s="10">
        <v>714175170</v>
      </c>
      <c r="N17" s="10">
        <v>85018</v>
      </c>
      <c r="O17" s="12">
        <v>33</v>
      </c>
    </row>
    <row r="18" spans="1:15" ht="27" x14ac:dyDescent="0.3">
      <c r="A18" s="9">
        <v>43494</v>
      </c>
      <c r="B18" s="12">
        <v>45</v>
      </c>
      <c r="C18" s="11">
        <v>7.0000000000000001E-3</v>
      </c>
      <c r="D18" s="12">
        <v>53</v>
      </c>
      <c r="E18" s="11">
        <v>3.0000000000000001E-3</v>
      </c>
      <c r="F18" s="10">
        <v>5197</v>
      </c>
      <c r="G18" s="11">
        <v>2E-3</v>
      </c>
      <c r="H18" s="11">
        <v>5.0999999999999997E-2</v>
      </c>
      <c r="I18" s="10">
        <v>1887150</v>
      </c>
      <c r="J18" s="12" t="s">
        <v>2617</v>
      </c>
      <c r="K18" s="12">
        <v>264</v>
      </c>
      <c r="L18" s="12" t="s">
        <v>2618</v>
      </c>
      <c r="M18" s="10">
        <v>716062320</v>
      </c>
      <c r="N18" s="10">
        <v>85282</v>
      </c>
      <c r="O18" s="12">
        <v>34</v>
      </c>
    </row>
    <row r="19" spans="1:15" ht="27" x14ac:dyDescent="0.3">
      <c r="A19" s="9">
        <v>43495</v>
      </c>
      <c r="B19" s="12">
        <v>6</v>
      </c>
      <c r="C19" s="11">
        <v>1E-3</v>
      </c>
      <c r="D19" s="12">
        <v>9</v>
      </c>
      <c r="E19" s="11">
        <v>0</v>
      </c>
      <c r="F19" s="12">
        <v>987</v>
      </c>
      <c r="G19" s="11">
        <v>0</v>
      </c>
      <c r="H19" s="11">
        <v>0.16400000000000001</v>
      </c>
      <c r="I19" s="10">
        <v>1281650</v>
      </c>
      <c r="J19" s="12" t="s">
        <v>2619</v>
      </c>
      <c r="K19" s="12">
        <v>162</v>
      </c>
      <c r="L19" s="12" t="s">
        <v>2620</v>
      </c>
      <c r="M19" s="10">
        <v>717343970</v>
      </c>
      <c r="N19" s="10">
        <v>85444</v>
      </c>
      <c r="O19" s="12">
        <v>38</v>
      </c>
    </row>
    <row r="20" spans="1:15" ht="27" x14ac:dyDescent="0.3">
      <c r="A20" s="9">
        <v>43496</v>
      </c>
      <c r="B20" s="12">
        <v>19</v>
      </c>
      <c r="C20" s="11">
        <v>3.0000000000000001E-3</v>
      </c>
      <c r="D20" s="12">
        <v>25</v>
      </c>
      <c r="E20" s="11">
        <v>1E-3</v>
      </c>
      <c r="F20" s="10">
        <v>2966</v>
      </c>
      <c r="G20" s="11">
        <v>1E-3</v>
      </c>
      <c r="H20" s="11">
        <v>3.3000000000000002E-2</v>
      </c>
      <c r="I20" s="10">
        <v>1067000</v>
      </c>
      <c r="J20" s="12" t="s">
        <v>2621</v>
      </c>
      <c r="K20" s="12">
        <v>99</v>
      </c>
      <c r="L20" s="12" t="s">
        <v>2622</v>
      </c>
      <c r="M20" s="10">
        <v>718410970</v>
      </c>
      <c r="N20" s="10">
        <v>85543</v>
      </c>
      <c r="O20" s="12">
        <v>41</v>
      </c>
    </row>
    <row r="21" spans="1:15" ht="27" x14ac:dyDescent="0.3">
      <c r="A21" s="9">
        <v>43497</v>
      </c>
      <c r="B21" s="12">
        <v>4</v>
      </c>
      <c r="C21" s="11">
        <v>1E-3</v>
      </c>
      <c r="D21" s="12">
        <v>4</v>
      </c>
      <c r="E21" s="11">
        <v>0</v>
      </c>
      <c r="F21" s="12">
        <v>417</v>
      </c>
      <c r="G21" s="11">
        <v>0</v>
      </c>
      <c r="H21" s="11">
        <v>1.4E-2</v>
      </c>
      <c r="I21" s="10">
        <v>26000</v>
      </c>
      <c r="J21" s="12" t="s">
        <v>2623</v>
      </c>
      <c r="K21" s="12">
        <v>6</v>
      </c>
      <c r="L21" s="12" t="s">
        <v>2624</v>
      </c>
      <c r="M21" s="10">
        <v>718436970</v>
      </c>
      <c r="N21" s="10">
        <v>85549</v>
      </c>
      <c r="O21" s="12">
        <v>62</v>
      </c>
    </row>
    <row r="22" spans="1:15" ht="27" x14ac:dyDescent="0.3">
      <c r="A22" s="9">
        <v>43498</v>
      </c>
      <c r="B22" s="12">
        <v>4</v>
      </c>
      <c r="C22" s="11">
        <v>1E-3</v>
      </c>
      <c r="D22" s="12">
        <v>4</v>
      </c>
      <c r="E22" s="11">
        <v>0</v>
      </c>
      <c r="F22" s="12">
        <v>369</v>
      </c>
      <c r="G22" s="11">
        <v>0</v>
      </c>
      <c r="H22" s="11">
        <v>2.7E-2</v>
      </c>
      <c r="I22" s="10">
        <v>50000</v>
      </c>
      <c r="J22" s="12" t="s">
        <v>2625</v>
      </c>
      <c r="K22" s="12">
        <v>10</v>
      </c>
      <c r="L22" s="12" t="s">
        <v>1128</v>
      </c>
      <c r="M22" s="10">
        <v>718486970</v>
      </c>
      <c r="N22" s="10">
        <v>85559</v>
      </c>
      <c r="O22" s="12">
        <v>69</v>
      </c>
    </row>
    <row r="23" spans="1:15" ht="27" x14ac:dyDescent="0.3">
      <c r="A23" s="9">
        <v>43499</v>
      </c>
      <c r="B23" s="12">
        <v>4</v>
      </c>
      <c r="C23" s="11">
        <v>1E-3</v>
      </c>
      <c r="D23" s="12">
        <v>4</v>
      </c>
      <c r="E23" s="11">
        <v>0</v>
      </c>
      <c r="F23" s="12">
        <v>369</v>
      </c>
      <c r="G23" s="11">
        <v>0</v>
      </c>
      <c r="H23" s="11">
        <v>0.03</v>
      </c>
      <c r="I23" s="10">
        <v>56000</v>
      </c>
      <c r="J23" s="12" t="s">
        <v>2626</v>
      </c>
      <c r="K23" s="12">
        <v>11</v>
      </c>
      <c r="L23" s="12" t="s">
        <v>2627</v>
      </c>
      <c r="M23" s="10">
        <v>718542970</v>
      </c>
      <c r="N23" s="10">
        <v>85570</v>
      </c>
      <c r="O23" s="12">
        <v>63</v>
      </c>
    </row>
    <row r="24" spans="1:15" ht="27" x14ac:dyDescent="0.3">
      <c r="A24" s="9">
        <v>43500</v>
      </c>
      <c r="B24" s="12">
        <v>4</v>
      </c>
      <c r="C24" s="11">
        <v>1E-3</v>
      </c>
      <c r="D24" s="12">
        <v>4</v>
      </c>
      <c r="E24" s="11">
        <v>0</v>
      </c>
      <c r="F24" s="12">
        <v>369</v>
      </c>
      <c r="G24" s="11">
        <v>0</v>
      </c>
      <c r="H24" s="11">
        <v>0.114</v>
      </c>
      <c r="I24" s="10">
        <v>242000</v>
      </c>
      <c r="J24" s="12" t="s">
        <v>2628</v>
      </c>
      <c r="K24" s="12">
        <v>42</v>
      </c>
      <c r="L24" s="12" t="s">
        <v>2629</v>
      </c>
      <c r="M24" s="10">
        <v>718784970</v>
      </c>
      <c r="N24" s="10">
        <v>85612</v>
      </c>
      <c r="O24" s="12">
        <v>44</v>
      </c>
    </row>
    <row r="25" spans="1:15" ht="27" x14ac:dyDescent="0.3">
      <c r="A25" s="9">
        <v>43501</v>
      </c>
      <c r="B25" s="12">
        <v>4</v>
      </c>
      <c r="C25" s="11">
        <v>1E-3</v>
      </c>
      <c r="D25" s="12">
        <v>4</v>
      </c>
      <c r="E25" s="11">
        <v>0</v>
      </c>
      <c r="F25" s="12">
        <v>369</v>
      </c>
      <c r="G25" s="11">
        <v>0</v>
      </c>
      <c r="H25" s="11">
        <v>9.1999999999999998E-2</v>
      </c>
      <c r="I25" s="10">
        <v>194000</v>
      </c>
      <c r="J25" s="12" t="s">
        <v>2630</v>
      </c>
      <c r="K25" s="12">
        <v>34</v>
      </c>
      <c r="L25" s="12" t="s">
        <v>2631</v>
      </c>
      <c r="M25" s="10">
        <v>718978970</v>
      </c>
      <c r="N25" s="10">
        <v>85646</v>
      </c>
      <c r="O25" s="12">
        <v>46</v>
      </c>
    </row>
    <row r="26" spans="1:15" ht="27" x14ac:dyDescent="0.3">
      <c r="A26" s="9">
        <v>43502</v>
      </c>
      <c r="B26" s="12">
        <v>4</v>
      </c>
      <c r="C26" s="11">
        <v>1E-3</v>
      </c>
      <c r="D26" s="12">
        <v>4</v>
      </c>
      <c r="E26" s="11">
        <v>0</v>
      </c>
      <c r="F26" s="12">
        <v>369</v>
      </c>
      <c r="G26" s="11">
        <v>0</v>
      </c>
      <c r="H26" s="11">
        <v>3.3000000000000002E-2</v>
      </c>
      <c r="I26" s="10">
        <v>62000</v>
      </c>
      <c r="J26" s="12" t="s">
        <v>2632</v>
      </c>
      <c r="K26" s="12">
        <v>12</v>
      </c>
      <c r="L26" s="12" t="s">
        <v>2568</v>
      </c>
      <c r="M26" s="10">
        <v>719040970</v>
      </c>
      <c r="N26" s="10">
        <v>85658</v>
      </c>
      <c r="O26" s="12">
        <v>68</v>
      </c>
    </row>
    <row r="27" spans="1:15" ht="27" x14ac:dyDescent="0.3">
      <c r="A27" s="9">
        <v>43503</v>
      </c>
      <c r="B27" s="12">
        <v>3</v>
      </c>
      <c r="C27" s="11">
        <v>1E-3</v>
      </c>
      <c r="D27" s="12">
        <v>3</v>
      </c>
      <c r="E27" s="11">
        <v>0</v>
      </c>
      <c r="F27" s="12">
        <v>304</v>
      </c>
      <c r="G27" s="11">
        <v>0</v>
      </c>
      <c r="H27" s="11">
        <v>0.01</v>
      </c>
      <c r="I27" s="10">
        <v>8000</v>
      </c>
      <c r="J27" s="12" t="s">
        <v>2633</v>
      </c>
      <c r="K27" s="12">
        <v>3</v>
      </c>
      <c r="L27" s="12" t="s">
        <v>2634</v>
      </c>
      <c r="M27" s="10">
        <v>719048970</v>
      </c>
      <c r="N27" s="10">
        <v>85661</v>
      </c>
      <c r="O27" s="12">
        <v>70</v>
      </c>
    </row>
    <row r="28" spans="1:15" ht="27" x14ac:dyDescent="0.3">
      <c r="A28" s="9">
        <v>43504</v>
      </c>
      <c r="B28" s="12">
        <v>4</v>
      </c>
      <c r="C28" s="11">
        <v>1E-3</v>
      </c>
      <c r="D28" s="12">
        <v>4</v>
      </c>
      <c r="E28" s="11">
        <v>0</v>
      </c>
      <c r="F28" s="12">
        <v>454</v>
      </c>
      <c r="G28" s="11">
        <v>0</v>
      </c>
      <c r="H28" s="11">
        <v>0.33700000000000002</v>
      </c>
      <c r="I28" s="10">
        <v>908000</v>
      </c>
      <c r="J28" s="12" t="s">
        <v>2635</v>
      </c>
      <c r="K28" s="12">
        <v>153</v>
      </c>
      <c r="L28" s="12" t="s">
        <v>2636</v>
      </c>
      <c r="M28" s="10">
        <v>719956970</v>
      </c>
      <c r="N28" s="10">
        <v>85814</v>
      </c>
      <c r="O28" s="12">
        <v>33</v>
      </c>
    </row>
    <row r="29" spans="1:15" ht="27" x14ac:dyDescent="0.3">
      <c r="A29" s="9">
        <v>43505</v>
      </c>
      <c r="B29" s="12">
        <v>3</v>
      </c>
      <c r="C29" s="11">
        <v>0</v>
      </c>
      <c r="D29" s="12">
        <v>3</v>
      </c>
      <c r="E29" s="11">
        <v>0</v>
      </c>
      <c r="F29" s="12">
        <v>257</v>
      </c>
      <c r="G29" s="11">
        <v>0</v>
      </c>
      <c r="H29" s="11">
        <v>1.2E-2</v>
      </c>
      <c r="I29" s="10">
        <v>8000</v>
      </c>
      <c r="J29" s="12" t="s">
        <v>2637</v>
      </c>
      <c r="K29" s="12">
        <v>3</v>
      </c>
      <c r="L29" s="12" t="s">
        <v>2638</v>
      </c>
      <c r="M29" s="10">
        <v>719964970</v>
      </c>
      <c r="N29" s="10">
        <v>85817</v>
      </c>
      <c r="O29" s="12">
        <v>76</v>
      </c>
    </row>
    <row r="30" spans="1:15" x14ac:dyDescent="0.3">
      <c r="A30" s="9">
        <v>43506</v>
      </c>
      <c r="B30" s="12">
        <v>3</v>
      </c>
      <c r="C30" s="11">
        <v>1E-3</v>
      </c>
      <c r="D30" s="12">
        <v>3</v>
      </c>
      <c r="E30" s="11">
        <v>0</v>
      </c>
      <c r="F30" s="12">
        <v>257</v>
      </c>
      <c r="G30" s="11">
        <v>0</v>
      </c>
      <c r="H30" s="11">
        <v>1.2E-2</v>
      </c>
      <c r="I30" s="10">
        <v>8000</v>
      </c>
      <c r="J30" s="12" t="s">
        <v>292</v>
      </c>
      <c r="K30" s="12">
        <v>3</v>
      </c>
      <c r="L30" s="12" t="s">
        <v>292</v>
      </c>
      <c r="M30" s="10">
        <v>719972970</v>
      </c>
      <c r="N30" s="10">
        <v>85820</v>
      </c>
      <c r="O30" s="12">
        <v>70</v>
      </c>
    </row>
    <row r="31" spans="1:15" x14ac:dyDescent="0.3">
      <c r="A31" s="9">
        <v>43507</v>
      </c>
      <c r="B31" s="12">
        <v>3</v>
      </c>
      <c r="C31" s="11">
        <v>1E-3</v>
      </c>
      <c r="D31" s="12">
        <v>3</v>
      </c>
      <c r="E31" s="11">
        <v>0</v>
      </c>
      <c r="F31" s="12">
        <v>257</v>
      </c>
      <c r="G31" s="11">
        <v>0</v>
      </c>
      <c r="H31" s="11">
        <v>1.2E-2</v>
      </c>
      <c r="I31" s="10">
        <v>8000</v>
      </c>
      <c r="J31" s="12" t="s">
        <v>292</v>
      </c>
      <c r="K31" s="12">
        <v>3</v>
      </c>
      <c r="L31" s="12" t="s">
        <v>292</v>
      </c>
      <c r="M31" s="10">
        <v>719980970</v>
      </c>
      <c r="N31" s="10">
        <v>85823</v>
      </c>
      <c r="O31" s="12">
        <v>59</v>
      </c>
    </row>
    <row r="32" spans="1:15" ht="27" x14ac:dyDescent="0.3">
      <c r="A32" s="9">
        <v>43508</v>
      </c>
      <c r="B32" s="12">
        <v>4</v>
      </c>
      <c r="C32" s="11">
        <v>1E-3</v>
      </c>
      <c r="D32" s="12">
        <v>4</v>
      </c>
      <c r="E32" s="11">
        <v>0</v>
      </c>
      <c r="F32" s="12">
        <v>447</v>
      </c>
      <c r="G32" s="11">
        <v>0</v>
      </c>
      <c r="H32" s="11">
        <v>8.9999999999999993E-3</v>
      </c>
      <c r="I32" s="10">
        <v>9000</v>
      </c>
      <c r="J32" s="12" t="s">
        <v>2639</v>
      </c>
      <c r="K32" s="12">
        <v>4</v>
      </c>
      <c r="L32" s="12" t="s">
        <v>2431</v>
      </c>
      <c r="M32" s="10">
        <v>719989970</v>
      </c>
      <c r="N32" s="10">
        <v>85827</v>
      </c>
      <c r="O32" s="12">
        <v>70</v>
      </c>
    </row>
    <row r="33" spans="1:15" ht="27" x14ac:dyDescent="0.3">
      <c r="A33" s="9">
        <v>43509</v>
      </c>
      <c r="B33" s="12">
        <v>3</v>
      </c>
      <c r="C33" s="11">
        <v>1E-3</v>
      </c>
      <c r="D33" s="12">
        <v>3</v>
      </c>
      <c r="E33" s="11">
        <v>0</v>
      </c>
      <c r="F33" s="12">
        <v>257</v>
      </c>
      <c r="G33" s="11">
        <v>0</v>
      </c>
      <c r="H33" s="11">
        <v>1.2E-2</v>
      </c>
      <c r="I33" s="10">
        <v>8000</v>
      </c>
      <c r="J33" s="12" t="s">
        <v>2640</v>
      </c>
      <c r="K33" s="12">
        <v>3</v>
      </c>
      <c r="L33" s="12" t="s">
        <v>2429</v>
      </c>
      <c r="M33" s="10">
        <v>719997970</v>
      </c>
      <c r="N33" s="10">
        <v>85830</v>
      </c>
      <c r="O33" s="12">
        <v>78</v>
      </c>
    </row>
    <row r="34" spans="1:15" ht="27" x14ac:dyDescent="0.3">
      <c r="A34" s="9">
        <v>43510</v>
      </c>
      <c r="B34" s="12">
        <v>1</v>
      </c>
      <c r="C34" s="11">
        <v>0</v>
      </c>
      <c r="D34" s="12">
        <v>1</v>
      </c>
      <c r="E34" s="11">
        <v>0</v>
      </c>
      <c r="F34" s="12">
        <v>220</v>
      </c>
      <c r="G34" s="11">
        <v>0</v>
      </c>
      <c r="H34" s="11">
        <v>0.83599999999999997</v>
      </c>
      <c r="I34" s="10">
        <v>1656000</v>
      </c>
      <c r="J34" s="12" t="s">
        <v>2641</v>
      </c>
      <c r="K34" s="12">
        <v>184</v>
      </c>
      <c r="L34" s="12" t="s">
        <v>2642</v>
      </c>
      <c r="M34" s="10">
        <v>721653970</v>
      </c>
      <c r="N34" s="10">
        <v>86014</v>
      </c>
      <c r="O34" s="12">
        <v>35</v>
      </c>
    </row>
    <row r="35" spans="1:15" ht="27" x14ac:dyDescent="0.3">
      <c r="A35" s="9">
        <v>43516</v>
      </c>
      <c r="B35" s="12">
        <v>2</v>
      </c>
      <c r="C35" s="11">
        <v>0</v>
      </c>
      <c r="D35" s="12">
        <v>2</v>
      </c>
      <c r="E35" s="11">
        <v>0</v>
      </c>
      <c r="F35" s="12">
        <v>298</v>
      </c>
      <c r="G35" s="11">
        <v>0</v>
      </c>
      <c r="H35" s="11">
        <v>1</v>
      </c>
      <c r="I35" s="10">
        <v>2384000</v>
      </c>
      <c r="J35" s="12" t="s">
        <v>2643</v>
      </c>
      <c r="K35" s="12">
        <v>298</v>
      </c>
      <c r="L35" s="12" t="s">
        <v>2644</v>
      </c>
      <c r="M35" s="10">
        <v>724037970</v>
      </c>
      <c r="N35" s="10">
        <v>86312</v>
      </c>
      <c r="O35" s="12">
        <v>31</v>
      </c>
    </row>
    <row r="36" spans="1:15" ht="27" x14ac:dyDescent="0.3">
      <c r="A36" s="9">
        <v>43520</v>
      </c>
      <c r="B36" s="12">
        <v>2</v>
      </c>
      <c r="C36" s="11">
        <v>0</v>
      </c>
      <c r="D36" s="12">
        <v>2</v>
      </c>
      <c r="E36" s="11">
        <v>0</v>
      </c>
      <c r="F36" s="12">
        <v>526</v>
      </c>
      <c r="G36" s="11">
        <v>0</v>
      </c>
      <c r="H36" s="11">
        <v>1</v>
      </c>
      <c r="I36" s="10">
        <v>4208000</v>
      </c>
      <c r="J36" s="12" t="s">
        <v>2645</v>
      </c>
      <c r="K36" s="12">
        <v>526</v>
      </c>
      <c r="L36" s="12" t="s">
        <v>2646</v>
      </c>
      <c r="M36" s="10">
        <v>728245970</v>
      </c>
      <c r="N36" s="10">
        <v>86838</v>
      </c>
      <c r="O36" s="12">
        <v>25</v>
      </c>
    </row>
    <row r="37" spans="1:15" ht="27" x14ac:dyDescent="0.3">
      <c r="A37" s="9">
        <v>43540</v>
      </c>
      <c r="B37" s="12">
        <v>2</v>
      </c>
      <c r="C37" s="11">
        <v>0</v>
      </c>
      <c r="D37" s="12">
        <v>2</v>
      </c>
      <c r="E37" s="11">
        <v>0</v>
      </c>
      <c r="F37" s="12">
        <v>343</v>
      </c>
      <c r="G37" s="11">
        <v>0</v>
      </c>
      <c r="H37" s="11">
        <v>1</v>
      </c>
      <c r="I37" s="10">
        <v>2744000</v>
      </c>
      <c r="J37" s="12" t="s">
        <v>2647</v>
      </c>
      <c r="K37" s="12">
        <v>343</v>
      </c>
      <c r="L37" s="12" t="s">
        <v>2648</v>
      </c>
      <c r="M37" s="10">
        <v>730989970</v>
      </c>
      <c r="N37" s="10">
        <v>87181</v>
      </c>
      <c r="O37" s="12">
        <v>28</v>
      </c>
    </row>
    <row r="38" spans="1:15" ht="27" x14ac:dyDescent="0.3">
      <c r="A38" s="9">
        <v>43549</v>
      </c>
      <c r="B38" s="12">
        <v>7</v>
      </c>
      <c r="C38" s="11">
        <v>1E-3</v>
      </c>
      <c r="D38" s="12">
        <v>7</v>
      </c>
      <c r="E38" s="11">
        <v>0</v>
      </c>
      <c r="F38" s="10">
        <v>1789</v>
      </c>
      <c r="G38" s="11">
        <v>1E-3</v>
      </c>
      <c r="H38" s="11">
        <v>0.98199999999999998</v>
      </c>
      <c r="I38" s="10">
        <v>15804000</v>
      </c>
      <c r="J38" s="12" t="s">
        <v>2649</v>
      </c>
      <c r="K38" s="10">
        <v>1756</v>
      </c>
      <c r="L38" s="12" t="s">
        <v>2650</v>
      </c>
      <c r="M38" s="10">
        <v>746793970</v>
      </c>
      <c r="N38" s="10">
        <v>88937</v>
      </c>
      <c r="O38" s="12">
        <v>6</v>
      </c>
    </row>
    <row r="39" spans="1:15" ht="27" x14ac:dyDescent="0.3">
      <c r="A39" s="9">
        <v>43551</v>
      </c>
      <c r="B39" s="12">
        <v>1</v>
      </c>
      <c r="C39" s="11">
        <v>0</v>
      </c>
      <c r="D39" s="12">
        <v>1</v>
      </c>
      <c r="E39" s="11">
        <v>0</v>
      </c>
      <c r="F39" s="12">
        <v>162</v>
      </c>
      <c r="G39" s="11">
        <v>0</v>
      </c>
      <c r="H39" s="11">
        <v>1</v>
      </c>
      <c r="I39" s="10">
        <v>972000</v>
      </c>
      <c r="J39" s="12" t="s">
        <v>2651</v>
      </c>
      <c r="K39" s="12">
        <v>162</v>
      </c>
      <c r="L39" s="12" t="s">
        <v>2652</v>
      </c>
      <c r="M39" s="10">
        <v>747765970</v>
      </c>
      <c r="N39" s="10">
        <v>89099</v>
      </c>
      <c r="O39" s="12">
        <v>44</v>
      </c>
    </row>
    <row r="40" spans="1:15" ht="27" x14ac:dyDescent="0.3">
      <c r="A40" s="9">
        <v>43565</v>
      </c>
      <c r="B40" s="12">
        <v>1</v>
      </c>
      <c r="C40" s="11">
        <v>0</v>
      </c>
      <c r="D40" s="12">
        <v>1</v>
      </c>
      <c r="E40" s="11">
        <v>0</v>
      </c>
      <c r="F40" s="12">
        <v>32</v>
      </c>
      <c r="G40" s="11">
        <v>0</v>
      </c>
      <c r="H40" s="11">
        <v>1</v>
      </c>
      <c r="I40" s="10">
        <v>288000</v>
      </c>
      <c r="J40" s="12" t="s">
        <v>2653</v>
      </c>
      <c r="K40" s="12">
        <v>32</v>
      </c>
      <c r="L40" s="12" t="s">
        <v>1383</v>
      </c>
      <c r="M40" s="10">
        <v>748053970</v>
      </c>
      <c r="N40" s="10">
        <v>89131</v>
      </c>
      <c r="O40" s="12">
        <v>59</v>
      </c>
    </row>
    <row r="41" spans="1:15" ht="27" x14ac:dyDescent="0.3">
      <c r="A41" s="9">
        <v>43595</v>
      </c>
      <c r="B41" s="12">
        <v>1</v>
      </c>
      <c r="C41" s="11">
        <v>0</v>
      </c>
      <c r="D41" s="12">
        <v>1</v>
      </c>
      <c r="E41" s="11">
        <v>0</v>
      </c>
      <c r="F41" s="12">
        <v>132</v>
      </c>
      <c r="G41" s="11">
        <v>0</v>
      </c>
      <c r="H41" s="11">
        <v>0.81100000000000005</v>
      </c>
      <c r="I41" s="10">
        <v>753000</v>
      </c>
      <c r="J41" s="12" t="s">
        <v>2654</v>
      </c>
      <c r="K41" s="12">
        <v>107</v>
      </c>
      <c r="L41" s="12" t="s">
        <v>2655</v>
      </c>
      <c r="M41" s="10">
        <v>748806970</v>
      </c>
      <c r="N41" s="10">
        <v>89238</v>
      </c>
      <c r="O41" s="12">
        <v>39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8FD8E-A8E7-49E8-90D1-11224BF5508A}">
  <dimension ref="A1:O39"/>
  <sheetViews>
    <sheetView workbookViewId="0">
      <selection activeCell="A5" sqref="A5:O6"/>
    </sheetView>
  </sheetViews>
  <sheetFormatPr defaultRowHeight="16.5" x14ac:dyDescent="0.3"/>
  <sheetData>
    <row r="1" spans="1:15" ht="19.5" x14ac:dyDescent="0.3">
      <c r="A1" s="197" t="s">
        <v>2656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43453</v>
      </c>
      <c r="B5" s="12">
        <v>296</v>
      </c>
      <c r="C5" s="11">
        <v>4.7E-2</v>
      </c>
      <c r="D5" s="12">
        <v>310</v>
      </c>
      <c r="E5" s="11">
        <v>1.7999999999999999E-2</v>
      </c>
      <c r="F5" s="10">
        <v>37031</v>
      </c>
      <c r="G5" s="11">
        <v>1.4E-2</v>
      </c>
      <c r="H5" s="11">
        <v>0.159</v>
      </c>
      <c r="I5" s="10">
        <v>42574100</v>
      </c>
      <c r="J5" s="12" t="s">
        <v>2657</v>
      </c>
      <c r="K5" s="10">
        <v>5904</v>
      </c>
      <c r="L5" s="12" t="s">
        <v>2658</v>
      </c>
      <c r="M5" s="10">
        <v>55260100</v>
      </c>
      <c r="N5" s="10">
        <v>7396</v>
      </c>
      <c r="O5" s="12">
        <v>12</v>
      </c>
    </row>
    <row r="6" spans="1:15" ht="27" x14ac:dyDescent="0.3">
      <c r="A6" s="9">
        <v>43454</v>
      </c>
      <c r="B6" s="12">
        <v>286</v>
      </c>
      <c r="C6" s="11">
        <v>4.3999999999999997E-2</v>
      </c>
      <c r="D6" s="12">
        <v>300</v>
      </c>
      <c r="E6" s="11">
        <v>1.7000000000000001E-2</v>
      </c>
      <c r="F6" s="10">
        <v>35739</v>
      </c>
      <c r="G6" s="11">
        <v>1.2999999999999999E-2</v>
      </c>
      <c r="H6" s="11">
        <v>0.12</v>
      </c>
      <c r="I6" s="10">
        <v>32084900</v>
      </c>
      <c r="J6" s="12" t="s">
        <v>2659</v>
      </c>
      <c r="K6" s="10">
        <v>4299</v>
      </c>
      <c r="L6" s="12" t="s">
        <v>2660</v>
      </c>
      <c r="M6" s="10">
        <v>87345000</v>
      </c>
      <c r="N6" s="10">
        <v>11695</v>
      </c>
      <c r="O6" s="12">
        <v>11</v>
      </c>
    </row>
    <row r="7" spans="1:15" ht="27" x14ac:dyDescent="0.3">
      <c r="A7" s="9">
        <v>43455</v>
      </c>
      <c r="B7" s="12">
        <v>298</v>
      </c>
      <c r="C7" s="11">
        <v>4.4999999999999998E-2</v>
      </c>
      <c r="D7" s="12">
        <v>318</v>
      </c>
      <c r="E7" s="11">
        <v>1.7999999999999999E-2</v>
      </c>
      <c r="F7" s="10">
        <v>37406</v>
      </c>
      <c r="G7" s="11">
        <v>1.4E-2</v>
      </c>
      <c r="H7" s="11">
        <v>0.11700000000000001</v>
      </c>
      <c r="I7" s="10">
        <v>35288950</v>
      </c>
      <c r="J7" s="12" t="s">
        <v>2661</v>
      </c>
      <c r="K7" s="10">
        <v>4393</v>
      </c>
      <c r="L7" s="12" t="s">
        <v>2662</v>
      </c>
      <c r="M7" s="10">
        <v>122633950</v>
      </c>
      <c r="N7" s="10">
        <v>16088</v>
      </c>
      <c r="O7" s="12">
        <v>11</v>
      </c>
    </row>
    <row r="8" spans="1:15" ht="27" x14ac:dyDescent="0.3">
      <c r="A8" s="9">
        <v>43456</v>
      </c>
      <c r="B8" s="12">
        <v>428</v>
      </c>
      <c r="C8" s="11">
        <v>6.2E-2</v>
      </c>
      <c r="D8" s="12">
        <v>559</v>
      </c>
      <c r="E8" s="11">
        <v>2.9000000000000001E-2</v>
      </c>
      <c r="F8" s="10">
        <v>69534</v>
      </c>
      <c r="G8" s="11">
        <v>2.4E-2</v>
      </c>
      <c r="H8" s="11">
        <v>0.64100000000000001</v>
      </c>
      <c r="I8" s="10">
        <v>348391550</v>
      </c>
      <c r="J8" s="12" t="s">
        <v>2663</v>
      </c>
      <c r="K8" s="10">
        <v>44580</v>
      </c>
      <c r="L8" s="12" t="s">
        <v>2664</v>
      </c>
      <c r="M8" s="10">
        <v>471025500</v>
      </c>
      <c r="N8" s="10">
        <v>60668</v>
      </c>
      <c r="O8" s="12">
        <v>6</v>
      </c>
    </row>
    <row r="9" spans="1:15" ht="27" x14ac:dyDescent="0.3">
      <c r="A9" s="9">
        <v>43457</v>
      </c>
      <c r="B9" s="12">
        <v>489</v>
      </c>
      <c r="C9" s="11">
        <v>7.0000000000000007E-2</v>
      </c>
      <c r="D9" s="12">
        <v>697</v>
      </c>
      <c r="E9" s="11">
        <v>3.6999999999999998E-2</v>
      </c>
      <c r="F9" s="10">
        <v>89046</v>
      </c>
      <c r="G9" s="11">
        <v>0.03</v>
      </c>
      <c r="H9" s="11">
        <v>0.58299999999999996</v>
      </c>
      <c r="I9" s="10">
        <v>411474300</v>
      </c>
      <c r="J9" s="12" t="s">
        <v>2665</v>
      </c>
      <c r="K9" s="10">
        <v>51871</v>
      </c>
      <c r="L9" s="12" t="s">
        <v>2666</v>
      </c>
      <c r="M9" s="10">
        <v>882499800</v>
      </c>
      <c r="N9" s="10">
        <v>112539</v>
      </c>
      <c r="O9" s="12">
        <v>6</v>
      </c>
    </row>
    <row r="10" spans="1:15" ht="40.5" x14ac:dyDescent="0.3">
      <c r="A10" s="9">
        <v>43458</v>
      </c>
      <c r="B10" s="12">
        <v>419</v>
      </c>
      <c r="C10" s="11">
        <v>5.6000000000000001E-2</v>
      </c>
      <c r="D10" s="12">
        <v>570</v>
      </c>
      <c r="E10" s="11">
        <v>0.03</v>
      </c>
      <c r="F10" s="10">
        <v>73016</v>
      </c>
      <c r="G10" s="11">
        <v>2.4E-2</v>
      </c>
      <c r="H10" s="11">
        <v>0.153</v>
      </c>
      <c r="I10" s="10">
        <v>82617600</v>
      </c>
      <c r="J10" s="12" t="s">
        <v>2667</v>
      </c>
      <c r="K10" s="10">
        <v>11141</v>
      </c>
      <c r="L10" s="12" t="s">
        <v>2668</v>
      </c>
      <c r="M10" s="10">
        <v>965117400</v>
      </c>
      <c r="N10" s="10">
        <v>123680</v>
      </c>
      <c r="O10" s="12">
        <v>8</v>
      </c>
    </row>
    <row r="11" spans="1:15" ht="27" x14ac:dyDescent="0.3">
      <c r="A11" s="9">
        <v>43459</v>
      </c>
      <c r="B11" s="12">
        <v>444</v>
      </c>
      <c r="C11" s="11">
        <v>0.06</v>
      </c>
      <c r="D11" s="12">
        <v>660</v>
      </c>
      <c r="E11" s="11">
        <v>3.3000000000000002E-2</v>
      </c>
      <c r="F11" s="10">
        <v>83608</v>
      </c>
      <c r="G11" s="11">
        <v>2.7E-2</v>
      </c>
      <c r="H11" s="11">
        <v>0.83099999999999996</v>
      </c>
      <c r="I11" s="10">
        <v>542747000</v>
      </c>
      <c r="J11" s="12" t="s">
        <v>2669</v>
      </c>
      <c r="K11" s="10">
        <v>69481</v>
      </c>
      <c r="L11" s="12" t="s">
        <v>2670</v>
      </c>
      <c r="M11" s="10">
        <v>1507864400</v>
      </c>
      <c r="N11" s="10">
        <v>193161</v>
      </c>
      <c r="O11" s="12">
        <v>8</v>
      </c>
    </row>
    <row r="12" spans="1:15" ht="40.5" x14ac:dyDescent="0.3">
      <c r="A12" s="9">
        <v>43460</v>
      </c>
      <c r="B12" s="12">
        <v>187</v>
      </c>
      <c r="C12" s="11">
        <v>2.8000000000000001E-2</v>
      </c>
      <c r="D12" s="12">
        <v>205</v>
      </c>
      <c r="E12" s="11">
        <v>1.0999999999999999E-2</v>
      </c>
      <c r="F12" s="10">
        <v>24460</v>
      </c>
      <c r="G12" s="11">
        <v>8.0000000000000002E-3</v>
      </c>
      <c r="H12" s="11">
        <v>0.186</v>
      </c>
      <c r="I12" s="10">
        <v>32791200</v>
      </c>
      <c r="J12" s="12" t="s">
        <v>2671</v>
      </c>
      <c r="K12" s="10">
        <v>4556</v>
      </c>
      <c r="L12" s="12" t="s">
        <v>2672</v>
      </c>
      <c r="M12" s="10">
        <v>1540655600</v>
      </c>
      <c r="N12" s="10">
        <v>197717</v>
      </c>
      <c r="O12" s="12">
        <v>10</v>
      </c>
    </row>
    <row r="13" spans="1:15" ht="27" x14ac:dyDescent="0.3">
      <c r="A13" s="9">
        <v>43461</v>
      </c>
      <c r="B13" s="12">
        <v>195</v>
      </c>
      <c r="C13" s="11">
        <v>2.9000000000000001E-2</v>
      </c>
      <c r="D13" s="12">
        <v>219</v>
      </c>
      <c r="E13" s="11">
        <v>1.2E-2</v>
      </c>
      <c r="F13" s="10">
        <v>25705</v>
      </c>
      <c r="G13" s="11">
        <v>8.9999999999999993E-3</v>
      </c>
      <c r="H13" s="11">
        <v>0.20699999999999999</v>
      </c>
      <c r="I13" s="10">
        <v>39648350</v>
      </c>
      <c r="J13" s="12" t="s">
        <v>2673</v>
      </c>
      <c r="K13" s="10">
        <v>5309</v>
      </c>
      <c r="L13" s="12" t="s">
        <v>2674</v>
      </c>
      <c r="M13" s="10">
        <v>1580303950</v>
      </c>
      <c r="N13" s="10">
        <v>203026</v>
      </c>
      <c r="O13" s="12">
        <v>10</v>
      </c>
    </row>
    <row r="14" spans="1:15" ht="27" x14ac:dyDescent="0.3">
      <c r="A14" s="9">
        <v>43462</v>
      </c>
      <c r="B14" s="12">
        <v>201</v>
      </c>
      <c r="C14" s="11">
        <v>2.9000000000000001E-2</v>
      </c>
      <c r="D14" s="12">
        <v>240</v>
      </c>
      <c r="E14" s="11">
        <v>1.2999999999999999E-2</v>
      </c>
      <c r="F14" s="10">
        <v>28509</v>
      </c>
      <c r="G14" s="11">
        <v>0.01</v>
      </c>
      <c r="H14" s="11">
        <v>0.20200000000000001</v>
      </c>
      <c r="I14" s="10">
        <v>45916700</v>
      </c>
      <c r="J14" s="12" t="s">
        <v>2675</v>
      </c>
      <c r="K14" s="10">
        <v>5752</v>
      </c>
      <c r="L14" s="12" t="s">
        <v>2676</v>
      </c>
      <c r="M14" s="10">
        <v>1626220650</v>
      </c>
      <c r="N14" s="10">
        <v>208778</v>
      </c>
      <c r="O14" s="12">
        <v>10</v>
      </c>
    </row>
    <row r="15" spans="1:15" ht="27" x14ac:dyDescent="0.3">
      <c r="A15" s="9">
        <v>43463</v>
      </c>
      <c r="B15" s="12">
        <v>301</v>
      </c>
      <c r="C15" s="11">
        <v>4.1000000000000002E-2</v>
      </c>
      <c r="D15" s="12">
        <v>426</v>
      </c>
      <c r="E15" s="11">
        <v>2.1999999999999999E-2</v>
      </c>
      <c r="F15" s="10">
        <v>52702</v>
      </c>
      <c r="G15" s="11">
        <v>1.7000000000000001E-2</v>
      </c>
      <c r="H15" s="11">
        <v>0.47099999999999997</v>
      </c>
      <c r="I15" s="10">
        <v>192448850</v>
      </c>
      <c r="J15" s="12" t="s">
        <v>2677</v>
      </c>
      <c r="K15" s="10">
        <v>24821</v>
      </c>
      <c r="L15" s="12" t="s">
        <v>2678</v>
      </c>
      <c r="M15" s="10">
        <v>1818669500</v>
      </c>
      <c r="N15" s="10">
        <v>233599</v>
      </c>
      <c r="O15" s="12">
        <v>9</v>
      </c>
    </row>
    <row r="16" spans="1:15" ht="27" x14ac:dyDescent="0.3">
      <c r="A16" s="9">
        <v>43464</v>
      </c>
      <c r="B16" s="12">
        <v>316</v>
      </c>
      <c r="C16" s="11">
        <v>4.3999999999999997E-2</v>
      </c>
      <c r="D16" s="12">
        <v>448</v>
      </c>
      <c r="E16" s="11">
        <v>2.3E-2</v>
      </c>
      <c r="F16" s="10">
        <v>55680</v>
      </c>
      <c r="G16" s="11">
        <v>1.7999999999999999E-2</v>
      </c>
      <c r="H16" s="11">
        <v>0.47</v>
      </c>
      <c r="I16" s="10">
        <v>206060050</v>
      </c>
      <c r="J16" s="12" t="s">
        <v>2679</v>
      </c>
      <c r="K16" s="10">
        <v>26154</v>
      </c>
      <c r="L16" s="12" t="s">
        <v>2680</v>
      </c>
      <c r="M16" s="10">
        <v>2024729550</v>
      </c>
      <c r="N16" s="10">
        <v>259753</v>
      </c>
      <c r="O16" s="12">
        <v>9</v>
      </c>
    </row>
    <row r="17" spans="1:15" ht="27" x14ac:dyDescent="0.3">
      <c r="A17" s="9">
        <v>43465</v>
      </c>
      <c r="B17" s="12">
        <v>269</v>
      </c>
      <c r="C17" s="11">
        <v>3.9E-2</v>
      </c>
      <c r="D17" s="12">
        <v>370</v>
      </c>
      <c r="E17" s="11">
        <v>1.9E-2</v>
      </c>
      <c r="F17" s="10">
        <v>45551</v>
      </c>
      <c r="G17" s="11">
        <v>1.4999999999999999E-2</v>
      </c>
      <c r="H17" s="11">
        <v>0.38300000000000001</v>
      </c>
      <c r="I17" s="10">
        <v>123978500</v>
      </c>
      <c r="J17" s="12" t="s">
        <v>2681</v>
      </c>
      <c r="K17" s="10">
        <v>17453</v>
      </c>
      <c r="L17" s="12" t="s">
        <v>2682</v>
      </c>
      <c r="M17" s="10">
        <v>2148708050</v>
      </c>
      <c r="N17" s="10">
        <v>277206</v>
      </c>
      <c r="O17" s="12">
        <v>9</v>
      </c>
    </row>
    <row r="18" spans="1:15" ht="27" x14ac:dyDescent="0.3">
      <c r="A18" s="9">
        <v>43466</v>
      </c>
      <c r="B18" s="12">
        <v>336</v>
      </c>
      <c r="C18" s="11">
        <v>4.7E-2</v>
      </c>
      <c r="D18" s="12">
        <v>500</v>
      </c>
      <c r="E18" s="11">
        <v>2.5999999999999999E-2</v>
      </c>
      <c r="F18" s="10">
        <v>61382</v>
      </c>
      <c r="G18" s="11">
        <v>0.02</v>
      </c>
      <c r="H18" s="11">
        <v>0.47899999999999998</v>
      </c>
      <c r="I18" s="10">
        <v>233903600</v>
      </c>
      <c r="J18" s="12" t="s">
        <v>2683</v>
      </c>
      <c r="K18" s="10">
        <v>29372</v>
      </c>
      <c r="L18" s="12" t="s">
        <v>2684</v>
      </c>
      <c r="M18" s="10">
        <v>2382611650</v>
      </c>
      <c r="N18" s="10">
        <v>306578</v>
      </c>
      <c r="O18" s="12">
        <v>9</v>
      </c>
    </row>
    <row r="19" spans="1:15" ht="40.5" x14ac:dyDescent="0.3">
      <c r="A19" s="9">
        <v>43467</v>
      </c>
      <c r="B19" s="12">
        <v>280</v>
      </c>
      <c r="C19" s="11">
        <v>4.1000000000000002E-2</v>
      </c>
      <c r="D19" s="12">
        <v>383</v>
      </c>
      <c r="E19" s="11">
        <v>2.1000000000000001E-2</v>
      </c>
      <c r="F19" s="10">
        <v>46780</v>
      </c>
      <c r="G19" s="11">
        <v>1.6E-2</v>
      </c>
      <c r="H19" s="11">
        <v>0.223</v>
      </c>
      <c r="I19" s="10">
        <v>74949850</v>
      </c>
      <c r="J19" s="12" t="s">
        <v>2685</v>
      </c>
      <c r="K19" s="10">
        <v>10414</v>
      </c>
      <c r="L19" s="12" t="s">
        <v>2686</v>
      </c>
      <c r="M19" s="10">
        <v>2457561500</v>
      </c>
      <c r="N19" s="10">
        <v>316992</v>
      </c>
      <c r="O19" s="12">
        <v>9</v>
      </c>
    </row>
    <row r="20" spans="1:15" ht="27" x14ac:dyDescent="0.3">
      <c r="A20" s="9">
        <v>43468</v>
      </c>
      <c r="B20" s="12">
        <v>148</v>
      </c>
      <c r="C20" s="11">
        <v>2.1000000000000001E-2</v>
      </c>
      <c r="D20" s="12">
        <v>180</v>
      </c>
      <c r="E20" s="11">
        <v>0.01</v>
      </c>
      <c r="F20" s="10">
        <v>21914</v>
      </c>
      <c r="G20" s="11">
        <v>8.0000000000000002E-3</v>
      </c>
      <c r="H20" s="11">
        <v>0.192</v>
      </c>
      <c r="I20" s="10">
        <v>30272350</v>
      </c>
      <c r="J20" s="12" t="s">
        <v>2687</v>
      </c>
      <c r="K20" s="10">
        <v>4200</v>
      </c>
      <c r="L20" s="12" t="s">
        <v>2688</v>
      </c>
      <c r="M20" s="10">
        <v>2487833850</v>
      </c>
      <c r="N20" s="10">
        <v>321192</v>
      </c>
      <c r="O20" s="12">
        <v>10</v>
      </c>
    </row>
    <row r="21" spans="1:15" ht="27" x14ac:dyDescent="0.3">
      <c r="A21" s="9">
        <v>43469</v>
      </c>
      <c r="B21" s="12">
        <v>154</v>
      </c>
      <c r="C21" s="11">
        <v>2.1999999999999999E-2</v>
      </c>
      <c r="D21" s="12">
        <v>194</v>
      </c>
      <c r="E21" s="11">
        <v>0.01</v>
      </c>
      <c r="F21" s="10">
        <v>23581</v>
      </c>
      <c r="G21" s="11">
        <v>8.0000000000000002E-3</v>
      </c>
      <c r="H21" s="11">
        <v>0.16800000000000001</v>
      </c>
      <c r="I21" s="10">
        <v>31924700</v>
      </c>
      <c r="J21" s="12" t="s">
        <v>2689</v>
      </c>
      <c r="K21" s="10">
        <v>3967</v>
      </c>
      <c r="L21" s="12" t="s">
        <v>2690</v>
      </c>
      <c r="M21" s="10">
        <v>2519758550</v>
      </c>
      <c r="N21" s="10">
        <v>325159</v>
      </c>
      <c r="O21" s="12">
        <v>9</v>
      </c>
    </row>
    <row r="22" spans="1:15" ht="27" x14ac:dyDescent="0.3">
      <c r="A22" s="9">
        <v>43470</v>
      </c>
      <c r="B22" s="12">
        <v>160</v>
      </c>
      <c r="C22" s="11">
        <v>2.1000000000000001E-2</v>
      </c>
      <c r="D22" s="12">
        <v>207</v>
      </c>
      <c r="E22" s="11">
        <v>1.0999999999999999E-2</v>
      </c>
      <c r="F22" s="10">
        <v>24237</v>
      </c>
      <c r="G22" s="11">
        <v>8.0000000000000002E-3</v>
      </c>
      <c r="H22" s="11">
        <v>0.33300000000000002</v>
      </c>
      <c r="I22" s="10">
        <v>63989400</v>
      </c>
      <c r="J22" s="12" t="s">
        <v>2691</v>
      </c>
      <c r="K22" s="10">
        <v>8061</v>
      </c>
      <c r="L22" s="12" t="s">
        <v>2692</v>
      </c>
      <c r="M22" s="10">
        <v>2583747950</v>
      </c>
      <c r="N22" s="10">
        <v>333220</v>
      </c>
      <c r="O22" s="12">
        <v>10</v>
      </c>
    </row>
    <row r="23" spans="1:15" ht="27" x14ac:dyDescent="0.3">
      <c r="A23" s="9">
        <v>43471</v>
      </c>
      <c r="B23" s="12">
        <v>157</v>
      </c>
      <c r="C23" s="11">
        <v>0.02</v>
      </c>
      <c r="D23" s="12">
        <v>210</v>
      </c>
      <c r="E23" s="11">
        <v>1.0999999999999999E-2</v>
      </c>
      <c r="F23" s="10">
        <v>24584</v>
      </c>
      <c r="G23" s="11">
        <v>8.0000000000000002E-3</v>
      </c>
      <c r="H23" s="11">
        <v>0.31900000000000001</v>
      </c>
      <c r="I23" s="10">
        <v>62798150</v>
      </c>
      <c r="J23" s="12" t="s">
        <v>2693</v>
      </c>
      <c r="K23" s="10">
        <v>7849</v>
      </c>
      <c r="L23" s="12" t="s">
        <v>2694</v>
      </c>
      <c r="M23" s="10">
        <v>2646546100</v>
      </c>
      <c r="N23" s="10">
        <v>341069</v>
      </c>
      <c r="O23" s="12">
        <v>10</v>
      </c>
    </row>
    <row r="24" spans="1:15" ht="27" x14ac:dyDescent="0.3">
      <c r="A24" s="9">
        <v>43472</v>
      </c>
      <c r="B24" s="12">
        <v>151</v>
      </c>
      <c r="C24" s="11">
        <v>2.1999999999999999E-2</v>
      </c>
      <c r="D24" s="12">
        <v>191</v>
      </c>
      <c r="E24" s="11">
        <v>1.0999999999999999E-2</v>
      </c>
      <c r="F24" s="10">
        <v>22459</v>
      </c>
      <c r="G24" s="11">
        <v>8.0000000000000002E-3</v>
      </c>
      <c r="H24" s="11">
        <v>0.107</v>
      </c>
      <c r="I24" s="10">
        <v>17413400</v>
      </c>
      <c r="J24" s="12" t="s">
        <v>2695</v>
      </c>
      <c r="K24" s="10">
        <v>2412</v>
      </c>
      <c r="L24" s="12" t="s">
        <v>2696</v>
      </c>
      <c r="M24" s="10">
        <v>2663959500</v>
      </c>
      <c r="N24" s="10">
        <v>343481</v>
      </c>
      <c r="O24" s="12">
        <v>13</v>
      </c>
    </row>
    <row r="25" spans="1:15" ht="27" x14ac:dyDescent="0.3">
      <c r="A25" s="9">
        <v>43473</v>
      </c>
      <c r="B25" s="12">
        <v>156</v>
      </c>
      <c r="C25" s="11">
        <v>2.1999999999999999E-2</v>
      </c>
      <c r="D25" s="12">
        <v>195</v>
      </c>
      <c r="E25" s="11">
        <v>1.0999999999999999E-2</v>
      </c>
      <c r="F25" s="10">
        <v>23659</v>
      </c>
      <c r="G25" s="11">
        <v>8.9999999999999993E-3</v>
      </c>
      <c r="H25" s="11">
        <v>0.114</v>
      </c>
      <c r="I25" s="10">
        <v>19549700</v>
      </c>
      <c r="J25" s="12" t="s">
        <v>2697</v>
      </c>
      <c r="K25" s="10">
        <v>2702</v>
      </c>
      <c r="L25" s="12" t="s">
        <v>2698</v>
      </c>
      <c r="M25" s="10">
        <v>2683509200</v>
      </c>
      <c r="N25" s="10">
        <v>346183</v>
      </c>
      <c r="O25" s="12">
        <v>14</v>
      </c>
    </row>
    <row r="26" spans="1:15" ht="27" x14ac:dyDescent="0.3">
      <c r="A26" s="9">
        <v>43474</v>
      </c>
      <c r="B26" s="12">
        <v>70</v>
      </c>
      <c r="C26" s="11">
        <v>1.0999999999999999E-2</v>
      </c>
      <c r="D26" s="12">
        <v>79</v>
      </c>
      <c r="E26" s="11">
        <v>4.0000000000000001E-3</v>
      </c>
      <c r="F26" s="10">
        <v>8168</v>
      </c>
      <c r="G26" s="11">
        <v>3.0000000000000001E-3</v>
      </c>
      <c r="H26" s="11">
        <v>0.152</v>
      </c>
      <c r="I26" s="10">
        <v>8987150</v>
      </c>
      <c r="J26" s="12" t="s">
        <v>2699</v>
      </c>
      <c r="K26" s="10">
        <v>1243</v>
      </c>
      <c r="L26" s="12" t="s">
        <v>2700</v>
      </c>
      <c r="M26" s="10">
        <v>2692496350</v>
      </c>
      <c r="N26" s="10">
        <v>347426</v>
      </c>
      <c r="O26" s="12">
        <v>15</v>
      </c>
    </row>
    <row r="27" spans="1:15" ht="27" x14ac:dyDescent="0.3">
      <c r="A27" s="9">
        <v>43475</v>
      </c>
      <c r="B27" s="12">
        <v>38</v>
      </c>
      <c r="C27" s="11">
        <v>6.0000000000000001E-3</v>
      </c>
      <c r="D27" s="12">
        <v>42</v>
      </c>
      <c r="E27" s="11">
        <v>2E-3</v>
      </c>
      <c r="F27" s="10">
        <v>4083</v>
      </c>
      <c r="G27" s="11">
        <v>1E-3</v>
      </c>
      <c r="H27" s="11">
        <v>0.186</v>
      </c>
      <c r="I27" s="10">
        <v>5308500</v>
      </c>
      <c r="J27" s="12" t="s">
        <v>2701</v>
      </c>
      <c r="K27" s="12">
        <v>759</v>
      </c>
      <c r="L27" s="12" t="s">
        <v>2702</v>
      </c>
      <c r="M27" s="10">
        <v>2697804850</v>
      </c>
      <c r="N27" s="10">
        <v>348185</v>
      </c>
      <c r="O27" s="12">
        <v>19</v>
      </c>
    </row>
    <row r="28" spans="1:15" ht="27" x14ac:dyDescent="0.3">
      <c r="A28" s="9">
        <v>43476</v>
      </c>
      <c r="B28" s="12">
        <v>40</v>
      </c>
      <c r="C28" s="11">
        <v>6.0000000000000001E-3</v>
      </c>
      <c r="D28" s="12">
        <v>45</v>
      </c>
      <c r="E28" s="11">
        <v>2E-3</v>
      </c>
      <c r="F28" s="10">
        <v>4395</v>
      </c>
      <c r="G28" s="11">
        <v>1E-3</v>
      </c>
      <c r="H28" s="11">
        <v>0.158</v>
      </c>
      <c r="I28" s="10">
        <v>5554800</v>
      </c>
      <c r="J28" s="12" t="s">
        <v>2703</v>
      </c>
      <c r="K28" s="12">
        <v>693</v>
      </c>
      <c r="L28" s="12" t="s">
        <v>2704</v>
      </c>
      <c r="M28" s="10">
        <v>2703359650</v>
      </c>
      <c r="N28" s="10">
        <v>348878</v>
      </c>
      <c r="O28" s="12">
        <v>20</v>
      </c>
    </row>
    <row r="29" spans="1:15" ht="27" x14ac:dyDescent="0.3">
      <c r="A29" s="9">
        <v>43477</v>
      </c>
      <c r="B29" s="12">
        <v>39</v>
      </c>
      <c r="C29" s="11">
        <v>6.0000000000000001E-3</v>
      </c>
      <c r="D29" s="12">
        <v>42</v>
      </c>
      <c r="E29" s="11">
        <v>2E-3</v>
      </c>
      <c r="F29" s="10">
        <v>3873</v>
      </c>
      <c r="G29" s="11">
        <v>1E-3</v>
      </c>
      <c r="H29" s="11">
        <v>0.36799999999999999</v>
      </c>
      <c r="I29" s="10">
        <v>11295600</v>
      </c>
      <c r="J29" s="12" t="s">
        <v>2705</v>
      </c>
      <c r="K29" s="10">
        <v>1427</v>
      </c>
      <c r="L29" s="12" t="s">
        <v>2706</v>
      </c>
      <c r="M29" s="10">
        <v>2714655250</v>
      </c>
      <c r="N29" s="10">
        <v>350305</v>
      </c>
      <c r="O29" s="12">
        <v>16</v>
      </c>
    </row>
    <row r="30" spans="1:15" ht="27" x14ac:dyDescent="0.3">
      <c r="A30" s="9">
        <v>43478</v>
      </c>
      <c r="B30" s="12">
        <v>38</v>
      </c>
      <c r="C30" s="11">
        <v>5.0000000000000001E-3</v>
      </c>
      <c r="D30" s="12">
        <v>41</v>
      </c>
      <c r="E30" s="11">
        <v>2E-3</v>
      </c>
      <c r="F30" s="10">
        <v>3856</v>
      </c>
      <c r="G30" s="11">
        <v>1E-3</v>
      </c>
      <c r="H30" s="11">
        <v>0.36599999999999999</v>
      </c>
      <c r="I30" s="10">
        <v>11293200</v>
      </c>
      <c r="J30" s="12" t="s">
        <v>2707</v>
      </c>
      <c r="K30" s="10">
        <v>1413</v>
      </c>
      <c r="L30" s="12" t="s">
        <v>2708</v>
      </c>
      <c r="M30" s="10">
        <v>2725948450</v>
      </c>
      <c r="N30" s="10">
        <v>351718</v>
      </c>
      <c r="O30" s="12">
        <v>16</v>
      </c>
    </row>
    <row r="31" spans="1:15" ht="27" x14ac:dyDescent="0.3">
      <c r="A31" s="9">
        <v>43479</v>
      </c>
      <c r="B31" s="12">
        <v>38</v>
      </c>
      <c r="C31" s="11">
        <v>6.0000000000000001E-3</v>
      </c>
      <c r="D31" s="12">
        <v>43</v>
      </c>
      <c r="E31" s="11">
        <v>2E-3</v>
      </c>
      <c r="F31" s="10">
        <v>4305</v>
      </c>
      <c r="G31" s="11">
        <v>2E-3</v>
      </c>
      <c r="H31" s="11">
        <v>0.10299999999999999</v>
      </c>
      <c r="I31" s="10">
        <v>3188600</v>
      </c>
      <c r="J31" s="12" t="s">
        <v>2709</v>
      </c>
      <c r="K31" s="12">
        <v>442</v>
      </c>
      <c r="L31" s="12" t="s">
        <v>2710</v>
      </c>
      <c r="M31" s="10">
        <v>2729137050</v>
      </c>
      <c r="N31" s="10">
        <v>352160</v>
      </c>
      <c r="O31" s="12">
        <v>22</v>
      </c>
    </row>
    <row r="32" spans="1:15" ht="27" x14ac:dyDescent="0.3">
      <c r="A32" s="9">
        <v>43480</v>
      </c>
      <c r="B32" s="12">
        <v>39</v>
      </c>
      <c r="C32" s="11">
        <v>6.0000000000000001E-3</v>
      </c>
      <c r="D32" s="12">
        <v>45</v>
      </c>
      <c r="E32" s="11">
        <v>3.0000000000000001E-3</v>
      </c>
      <c r="F32" s="10">
        <v>4515</v>
      </c>
      <c r="G32" s="11">
        <v>2E-3</v>
      </c>
      <c r="H32" s="11">
        <v>0.11899999999999999</v>
      </c>
      <c r="I32" s="10">
        <v>3778100</v>
      </c>
      <c r="J32" s="12" t="s">
        <v>2711</v>
      </c>
      <c r="K32" s="12">
        <v>536</v>
      </c>
      <c r="L32" s="12" t="s">
        <v>2712</v>
      </c>
      <c r="M32" s="10">
        <v>2732915150</v>
      </c>
      <c r="N32" s="10">
        <v>352696</v>
      </c>
      <c r="O32" s="12">
        <v>24</v>
      </c>
    </row>
    <row r="33" spans="1:15" ht="27" x14ac:dyDescent="0.3">
      <c r="A33" s="9">
        <v>43481</v>
      </c>
      <c r="B33" s="12">
        <v>3</v>
      </c>
      <c r="C33" s="11">
        <v>0</v>
      </c>
      <c r="D33" s="12">
        <v>3</v>
      </c>
      <c r="E33" s="11">
        <v>0</v>
      </c>
      <c r="F33" s="12">
        <v>255</v>
      </c>
      <c r="G33" s="11">
        <v>0</v>
      </c>
      <c r="H33" s="11">
        <v>7.0999999999999994E-2</v>
      </c>
      <c r="I33" s="10">
        <v>122500</v>
      </c>
      <c r="J33" s="12" t="s">
        <v>2713</v>
      </c>
      <c r="K33" s="12">
        <v>18</v>
      </c>
      <c r="L33" s="12" t="s">
        <v>2714</v>
      </c>
      <c r="M33" s="10">
        <v>2733037650</v>
      </c>
      <c r="N33" s="10">
        <v>352714</v>
      </c>
      <c r="O33" s="12">
        <v>74</v>
      </c>
    </row>
    <row r="34" spans="1:15" ht="27" x14ac:dyDescent="0.3">
      <c r="A34" s="9">
        <v>43482</v>
      </c>
      <c r="B34" s="12">
        <v>2</v>
      </c>
      <c r="C34" s="11">
        <v>0</v>
      </c>
      <c r="D34" s="12">
        <v>2</v>
      </c>
      <c r="E34" s="11">
        <v>0</v>
      </c>
      <c r="F34" s="12">
        <v>118</v>
      </c>
      <c r="G34" s="11">
        <v>0</v>
      </c>
      <c r="H34" s="11">
        <v>5.8999999999999997E-2</v>
      </c>
      <c r="I34" s="10">
        <v>53000</v>
      </c>
      <c r="J34" s="12" t="s">
        <v>2715</v>
      </c>
      <c r="K34" s="12">
        <v>7</v>
      </c>
      <c r="L34" s="12" t="s">
        <v>2716</v>
      </c>
      <c r="M34" s="10">
        <v>2733090650</v>
      </c>
      <c r="N34" s="10">
        <v>352721</v>
      </c>
      <c r="O34" s="12">
        <v>77</v>
      </c>
    </row>
    <row r="35" spans="1:15" ht="27" x14ac:dyDescent="0.3">
      <c r="A35" s="9">
        <v>43483</v>
      </c>
      <c r="B35" s="12">
        <v>1</v>
      </c>
      <c r="C35" s="11">
        <v>0</v>
      </c>
      <c r="D35" s="12">
        <v>1</v>
      </c>
      <c r="E35" s="11">
        <v>0</v>
      </c>
      <c r="F35" s="12">
        <v>89</v>
      </c>
      <c r="G35" s="11">
        <v>0</v>
      </c>
      <c r="H35" s="11">
        <v>7.9000000000000001E-2</v>
      </c>
      <c r="I35" s="10">
        <v>59000</v>
      </c>
      <c r="J35" s="12" t="s">
        <v>2717</v>
      </c>
      <c r="K35" s="12">
        <v>7</v>
      </c>
      <c r="L35" s="12" t="s">
        <v>292</v>
      </c>
      <c r="M35" s="10">
        <v>2733149650</v>
      </c>
      <c r="N35" s="10">
        <v>352728</v>
      </c>
      <c r="O35" s="12">
        <v>76</v>
      </c>
    </row>
    <row r="36" spans="1:15" ht="27" x14ac:dyDescent="0.3">
      <c r="A36" s="9">
        <v>43484</v>
      </c>
      <c r="B36" s="12">
        <v>5</v>
      </c>
      <c r="C36" s="11">
        <v>1E-3</v>
      </c>
      <c r="D36" s="12">
        <v>7</v>
      </c>
      <c r="E36" s="11">
        <v>0</v>
      </c>
      <c r="F36" s="12">
        <v>798</v>
      </c>
      <c r="G36" s="11">
        <v>0</v>
      </c>
      <c r="H36" s="11">
        <v>0.13800000000000001</v>
      </c>
      <c r="I36" s="10">
        <v>861000</v>
      </c>
      <c r="J36" s="12" t="s">
        <v>2718</v>
      </c>
      <c r="K36" s="12">
        <v>110</v>
      </c>
      <c r="L36" s="12" t="s">
        <v>2719</v>
      </c>
      <c r="M36" s="10">
        <v>2734010650</v>
      </c>
      <c r="N36" s="10">
        <v>352838</v>
      </c>
      <c r="O36" s="12">
        <v>48</v>
      </c>
    </row>
    <row r="37" spans="1:15" ht="27" x14ac:dyDescent="0.3">
      <c r="A37" s="9">
        <v>43485</v>
      </c>
      <c r="B37" s="12">
        <v>6</v>
      </c>
      <c r="C37" s="11">
        <v>1E-3</v>
      </c>
      <c r="D37" s="12">
        <v>8</v>
      </c>
      <c r="E37" s="11">
        <v>0</v>
      </c>
      <c r="F37" s="12">
        <v>905</v>
      </c>
      <c r="G37" s="11">
        <v>0</v>
      </c>
      <c r="H37" s="11">
        <v>0.16600000000000001</v>
      </c>
      <c r="I37" s="10">
        <v>1202000</v>
      </c>
      <c r="J37" s="12" t="s">
        <v>2720</v>
      </c>
      <c r="K37" s="12">
        <v>150</v>
      </c>
      <c r="L37" s="12" t="s">
        <v>2721</v>
      </c>
      <c r="M37" s="10">
        <v>2735212650</v>
      </c>
      <c r="N37" s="10">
        <v>352988</v>
      </c>
      <c r="O37" s="12">
        <v>36</v>
      </c>
    </row>
    <row r="38" spans="1:15" ht="27" x14ac:dyDescent="0.3">
      <c r="A38" s="9">
        <v>43486</v>
      </c>
      <c r="B38" s="12">
        <v>2</v>
      </c>
      <c r="C38" s="11">
        <v>0</v>
      </c>
      <c r="D38" s="12">
        <v>3</v>
      </c>
      <c r="E38" s="11">
        <v>0</v>
      </c>
      <c r="F38" s="12">
        <v>365</v>
      </c>
      <c r="G38" s="11">
        <v>0</v>
      </c>
      <c r="H38" s="11">
        <v>1.6E-2</v>
      </c>
      <c r="I38" s="10">
        <v>44000</v>
      </c>
      <c r="J38" s="12" t="s">
        <v>2722</v>
      </c>
      <c r="K38" s="12">
        <v>6</v>
      </c>
      <c r="L38" s="12" t="s">
        <v>2723</v>
      </c>
      <c r="M38" s="10">
        <v>2735256650</v>
      </c>
      <c r="N38" s="10">
        <v>352994</v>
      </c>
      <c r="O38" s="12">
        <v>72</v>
      </c>
    </row>
    <row r="39" spans="1:15" ht="27" x14ac:dyDescent="0.3">
      <c r="A39" s="9">
        <v>43487</v>
      </c>
      <c r="B39" s="12">
        <v>3</v>
      </c>
      <c r="C39" s="11">
        <v>0</v>
      </c>
      <c r="D39" s="12">
        <v>5</v>
      </c>
      <c r="E39" s="11">
        <v>0</v>
      </c>
      <c r="F39" s="12">
        <v>460</v>
      </c>
      <c r="G39" s="11">
        <v>0</v>
      </c>
      <c r="H39" s="11">
        <v>3.9E-2</v>
      </c>
      <c r="I39" s="10">
        <v>143000</v>
      </c>
      <c r="J39" s="12" t="s">
        <v>2724</v>
      </c>
      <c r="K39" s="12">
        <v>18</v>
      </c>
      <c r="L39" s="12" t="s">
        <v>2725</v>
      </c>
      <c r="M39" s="10">
        <v>2735399650</v>
      </c>
      <c r="N39" s="10">
        <v>353012</v>
      </c>
      <c r="O39" s="12">
        <v>70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4A930-7653-410D-B336-4F7E73DCD173}">
  <dimension ref="A1:O99"/>
  <sheetViews>
    <sheetView workbookViewId="0">
      <selection activeCell="H7" sqref="H7:H19"/>
    </sheetView>
  </sheetViews>
  <sheetFormatPr defaultRowHeight="16.5" x14ac:dyDescent="0.3"/>
  <sheetData>
    <row r="1" spans="1:15" ht="19.5" x14ac:dyDescent="0.3">
      <c r="A1" s="197" t="s">
        <v>2726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43444</v>
      </c>
      <c r="B5" s="12">
        <v>301</v>
      </c>
      <c r="C5" s="11">
        <v>0.05</v>
      </c>
      <c r="D5" s="12">
        <v>460</v>
      </c>
      <c r="E5" s="11">
        <v>2.5999999999999999E-2</v>
      </c>
      <c r="F5" s="10">
        <v>67932</v>
      </c>
      <c r="G5" s="11">
        <v>2.4E-2</v>
      </c>
      <c r="H5" s="11">
        <v>8.4000000000000005E-2</v>
      </c>
      <c r="I5" s="10">
        <v>45960950</v>
      </c>
      <c r="J5" s="12" t="s">
        <v>2727</v>
      </c>
      <c r="K5" s="10">
        <v>5706</v>
      </c>
      <c r="L5" s="12" t="s">
        <v>2728</v>
      </c>
      <c r="M5" s="10">
        <v>81568600</v>
      </c>
      <c r="N5" s="10">
        <v>9141</v>
      </c>
      <c r="O5" s="12">
        <v>7</v>
      </c>
    </row>
    <row r="6" spans="1:15" ht="27" x14ac:dyDescent="0.3">
      <c r="A6" s="9">
        <v>43445</v>
      </c>
      <c r="B6" s="12">
        <v>303</v>
      </c>
      <c r="C6" s="11">
        <v>4.8000000000000001E-2</v>
      </c>
      <c r="D6" s="12">
        <v>465</v>
      </c>
      <c r="E6" s="11">
        <v>2.5999999999999999E-2</v>
      </c>
      <c r="F6" s="10">
        <v>68733</v>
      </c>
      <c r="G6" s="11">
        <v>2.4E-2</v>
      </c>
      <c r="H6" s="11">
        <v>9.4E-2</v>
      </c>
      <c r="I6" s="10">
        <v>52616600</v>
      </c>
      <c r="J6" s="12" t="s">
        <v>2729</v>
      </c>
      <c r="K6" s="10">
        <v>6459</v>
      </c>
      <c r="L6" s="12" t="s">
        <v>2730</v>
      </c>
      <c r="M6" s="10">
        <v>134185200</v>
      </c>
      <c r="N6" s="10">
        <v>15600</v>
      </c>
      <c r="O6" s="12">
        <v>6</v>
      </c>
    </row>
    <row r="7" spans="1:15" ht="27" x14ac:dyDescent="0.3">
      <c r="A7" s="9">
        <v>43446</v>
      </c>
      <c r="B7" s="12">
        <v>676</v>
      </c>
      <c r="C7" s="11">
        <v>0.113</v>
      </c>
      <c r="D7" s="10">
        <v>2720</v>
      </c>
      <c r="E7" s="11">
        <v>0.151</v>
      </c>
      <c r="F7" s="10">
        <v>427668</v>
      </c>
      <c r="G7" s="11">
        <v>0.14899999999999999</v>
      </c>
      <c r="H7" s="11">
        <v>9.5000000000000001E-2</v>
      </c>
      <c r="I7" s="10">
        <v>313158050</v>
      </c>
      <c r="J7" s="12" t="s">
        <v>2731</v>
      </c>
      <c r="K7" s="10">
        <v>40476</v>
      </c>
      <c r="L7" s="12" t="s">
        <v>2732</v>
      </c>
      <c r="M7" s="10">
        <v>447343250</v>
      </c>
      <c r="N7" s="10">
        <v>56076</v>
      </c>
      <c r="O7" s="12">
        <v>4</v>
      </c>
    </row>
    <row r="8" spans="1:15" ht="27" x14ac:dyDescent="0.3">
      <c r="A8" s="9">
        <v>43447</v>
      </c>
      <c r="B8" s="12">
        <v>688</v>
      </c>
      <c r="C8" s="11">
        <v>0.107</v>
      </c>
      <c r="D8" s="10">
        <v>2609</v>
      </c>
      <c r="E8" s="11">
        <v>0.14499999999999999</v>
      </c>
      <c r="F8" s="10">
        <v>409209</v>
      </c>
      <c r="G8" s="11">
        <v>0.14399999999999999</v>
      </c>
      <c r="H8" s="11">
        <v>8.7999999999999995E-2</v>
      </c>
      <c r="I8" s="10">
        <v>282711800</v>
      </c>
      <c r="J8" s="12" t="s">
        <v>2733</v>
      </c>
      <c r="K8" s="10">
        <v>36083</v>
      </c>
      <c r="L8" s="12" t="s">
        <v>2734</v>
      </c>
      <c r="M8" s="10">
        <v>730055050</v>
      </c>
      <c r="N8" s="10">
        <v>92159</v>
      </c>
      <c r="O8" s="12">
        <v>4</v>
      </c>
    </row>
    <row r="9" spans="1:15" ht="27" x14ac:dyDescent="0.3">
      <c r="A9" s="9">
        <v>43448</v>
      </c>
      <c r="B9" s="12">
        <v>705</v>
      </c>
      <c r="C9" s="11">
        <v>0.10199999999999999</v>
      </c>
      <c r="D9" s="10">
        <v>2505</v>
      </c>
      <c r="E9" s="11">
        <v>0.13500000000000001</v>
      </c>
      <c r="F9" s="10">
        <v>388715</v>
      </c>
      <c r="G9" s="11">
        <v>0.13300000000000001</v>
      </c>
      <c r="H9" s="11">
        <v>0.13100000000000001</v>
      </c>
      <c r="I9" s="10">
        <v>427097063</v>
      </c>
      <c r="J9" s="12" t="s">
        <v>2735</v>
      </c>
      <c r="K9" s="10">
        <v>51009</v>
      </c>
      <c r="L9" s="12" t="s">
        <v>2736</v>
      </c>
      <c r="M9" s="10">
        <v>1157152113</v>
      </c>
      <c r="N9" s="10">
        <v>143168</v>
      </c>
      <c r="O9" s="12">
        <v>4</v>
      </c>
    </row>
    <row r="10" spans="1:15" ht="27" x14ac:dyDescent="0.3">
      <c r="A10" s="9">
        <v>43449</v>
      </c>
      <c r="B10" s="12">
        <v>703</v>
      </c>
      <c r="C10" s="11">
        <v>9.5000000000000001E-2</v>
      </c>
      <c r="D10" s="10">
        <v>2500</v>
      </c>
      <c r="E10" s="11">
        <v>0.127</v>
      </c>
      <c r="F10" s="10">
        <v>369702</v>
      </c>
      <c r="G10" s="11">
        <v>0.12</v>
      </c>
      <c r="H10" s="11">
        <v>0.34399999999999997</v>
      </c>
      <c r="I10" s="10">
        <v>1072923313</v>
      </c>
      <c r="J10" s="12" t="s">
        <v>2737</v>
      </c>
      <c r="K10" s="10">
        <v>127349</v>
      </c>
      <c r="L10" s="12" t="s">
        <v>2738</v>
      </c>
      <c r="M10" s="10">
        <v>2230075426</v>
      </c>
      <c r="N10" s="10">
        <v>270517</v>
      </c>
      <c r="O10" s="12">
        <v>4</v>
      </c>
    </row>
    <row r="11" spans="1:15" ht="27" x14ac:dyDescent="0.3">
      <c r="A11" s="9">
        <v>43450</v>
      </c>
      <c r="B11" s="12">
        <v>722</v>
      </c>
      <c r="C11" s="11">
        <v>0.1</v>
      </c>
      <c r="D11" s="10">
        <v>2513</v>
      </c>
      <c r="E11" s="11">
        <v>0.13</v>
      </c>
      <c r="F11" s="10">
        <v>369016</v>
      </c>
      <c r="G11" s="11">
        <v>0.122</v>
      </c>
      <c r="H11" s="11">
        <v>0.32500000000000001</v>
      </c>
      <c r="I11" s="10">
        <v>1017039900</v>
      </c>
      <c r="J11" s="12" t="s">
        <v>2739</v>
      </c>
      <c r="K11" s="10">
        <v>119810</v>
      </c>
      <c r="L11" s="12" t="s">
        <v>2740</v>
      </c>
      <c r="M11" s="10">
        <v>3247115326</v>
      </c>
      <c r="N11" s="10">
        <v>390327</v>
      </c>
      <c r="O11" s="12">
        <v>3</v>
      </c>
    </row>
    <row r="12" spans="1:15" ht="40.5" x14ac:dyDescent="0.3">
      <c r="A12" s="9">
        <v>43451</v>
      </c>
      <c r="B12" s="12">
        <v>638</v>
      </c>
      <c r="C12" s="11">
        <v>0.106</v>
      </c>
      <c r="D12" s="10">
        <v>2353</v>
      </c>
      <c r="E12" s="11">
        <v>0.13400000000000001</v>
      </c>
      <c r="F12" s="10">
        <v>353244</v>
      </c>
      <c r="G12" s="11">
        <v>0.127</v>
      </c>
      <c r="H12" s="11">
        <v>9.6000000000000002E-2</v>
      </c>
      <c r="I12" s="10">
        <v>265282600</v>
      </c>
      <c r="J12" s="12" t="s">
        <v>2741</v>
      </c>
      <c r="K12" s="10">
        <v>33838</v>
      </c>
      <c r="L12" s="12" t="s">
        <v>2742</v>
      </c>
      <c r="M12" s="10">
        <v>3512397926</v>
      </c>
      <c r="N12" s="10">
        <v>424165</v>
      </c>
      <c r="O12" s="12">
        <v>4</v>
      </c>
    </row>
    <row r="13" spans="1:15" ht="27" x14ac:dyDescent="0.3">
      <c r="A13" s="9">
        <v>43452</v>
      </c>
      <c r="B13" s="12">
        <v>677</v>
      </c>
      <c r="C13" s="11">
        <v>0.104</v>
      </c>
      <c r="D13" s="10">
        <v>2334</v>
      </c>
      <c r="E13" s="11">
        <v>0.13100000000000001</v>
      </c>
      <c r="F13" s="10">
        <v>352127</v>
      </c>
      <c r="G13" s="11">
        <v>0.126</v>
      </c>
      <c r="H13" s="11">
        <v>0.111</v>
      </c>
      <c r="I13" s="10">
        <v>303096350</v>
      </c>
      <c r="J13" s="12" t="s">
        <v>2743</v>
      </c>
      <c r="K13" s="10">
        <v>39170</v>
      </c>
      <c r="L13" s="12" t="s">
        <v>2744</v>
      </c>
      <c r="M13" s="10">
        <v>3815494276</v>
      </c>
      <c r="N13" s="10">
        <v>463335</v>
      </c>
      <c r="O13" s="12">
        <v>4</v>
      </c>
    </row>
    <row r="14" spans="1:15" ht="40.5" x14ac:dyDescent="0.3">
      <c r="A14" s="9">
        <v>43453</v>
      </c>
      <c r="B14" s="12">
        <v>156</v>
      </c>
      <c r="C14" s="11">
        <v>2.5000000000000001E-2</v>
      </c>
      <c r="D14" s="12">
        <v>190</v>
      </c>
      <c r="E14" s="11">
        <v>1.0999999999999999E-2</v>
      </c>
      <c r="F14" s="10">
        <v>21879</v>
      </c>
      <c r="G14" s="11">
        <v>8.0000000000000002E-3</v>
      </c>
      <c r="H14" s="11">
        <v>0.29799999999999999</v>
      </c>
      <c r="I14" s="10">
        <v>49402800</v>
      </c>
      <c r="J14" s="12" t="s">
        <v>2745</v>
      </c>
      <c r="K14" s="10">
        <v>6511</v>
      </c>
      <c r="L14" s="12" t="s">
        <v>2746</v>
      </c>
      <c r="M14" s="10">
        <v>3864897076</v>
      </c>
      <c r="N14" s="10">
        <v>469846</v>
      </c>
      <c r="O14" s="12">
        <v>9</v>
      </c>
    </row>
    <row r="15" spans="1:15" ht="27" x14ac:dyDescent="0.3">
      <c r="A15" s="9">
        <v>43454</v>
      </c>
      <c r="B15" s="12">
        <v>173</v>
      </c>
      <c r="C15" s="11">
        <v>2.7E-2</v>
      </c>
      <c r="D15" s="12">
        <v>222</v>
      </c>
      <c r="E15" s="11">
        <v>1.2999999999999999E-2</v>
      </c>
      <c r="F15" s="10">
        <v>26444</v>
      </c>
      <c r="G15" s="11">
        <v>0.01</v>
      </c>
      <c r="H15" s="11">
        <v>0.316</v>
      </c>
      <c r="I15" s="10">
        <v>63580150</v>
      </c>
      <c r="J15" s="12" t="s">
        <v>2747</v>
      </c>
      <c r="K15" s="10">
        <v>8345</v>
      </c>
      <c r="L15" s="12" t="s">
        <v>2748</v>
      </c>
      <c r="M15" s="10">
        <v>3928477226</v>
      </c>
      <c r="N15" s="10">
        <v>478191</v>
      </c>
      <c r="O15" s="12">
        <v>8</v>
      </c>
    </row>
    <row r="16" spans="1:15" ht="27" x14ac:dyDescent="0.3">
      <c r="A16" s="9">
        <v>43455</v>
      </c>
      <c r="B16" s="12">
        <v>212</v>
      </c>
      <c r="C16" s="11">
        <v>3.2000000000000001E-2</v>
      </c>
      <c r="D16" s="12">
        <v>281</v>
      </c>
      <c r="E16" s="11">
        <v>1.6E-2</v>
      </c>
      <c r="F16" s="10">
        <v>35460</v>
      </c>
      <c r="G16" s="11">
        <v>1.2999999999999999E-2</v>
      </c>
      <c r="H16" s="11">
        <v>0.32700000000000001</v>
      </c>
      <c r="I16" s="10">
        <v>99542800</v>
      </c>
      <c r="J16" s="12" t="s">
        <v>2749</v>
      </c>
      <c r="K16" s="10">
        <v>11593</v>
      </c>
      <c r="L16" s="12" t="s">
        <v>2750</v>
      </c>
      <c r="M16" s="10">
        <v>4028020026</v>
      </c>
      <c r="N16" s="10">
        <v>489784</v>
      </c>
      <c r="O16" s="12">
        <v>7</v>
      </c>
    </row>
    <row r="17" spans="1:15" ht="27" x14ac:dyDescent="0.3">
      <c r="A17" s="9">
        <v>43456</v>
      </c>
      <c r="B17" s="12">
        <v>264</v>
      </c>
      <c r="C17" s="11">
        <v>3.7999999999999999E-2</v>
      </c>
      <c r="D17" s="12">
        <v>389</v>
      </c>
      <c r="E17" s="11">
        <v>2.1000000000000001E-2</v>
      </c>
      <c r="F17" s="10">
        <v>49492</v>
      </c>
      <c r="G17" s="11">
        <v>1.7000000000000001E-2</v>
      </c>
      <c r="H17" s="11">
        <v>0.50800000000000001</v>
      </c>
      <c r="I17" s="10">
        <v>219864600</v>
      </c>
      <c r="J17" s="12" t="s">
        <v>2751</v>
      </c>
      <c r="K17" s="10">
        <v>25134</v>
      </c>
      <c r="L17" s="12" t="s">
        <v>2752</v>
      </c>
      <c r="M17" s="10">
        <v>4247884626</v>
      </c>
      <c r="N17" s="10">
        <v>514918</v>
      </c>
      <c r="O17" s="12">
        <v>8</v>
      </c>
    </row>
    <row r="18" spans="1:15" ht="27" x14ac:dyDescent="0.3">
      <c r="A18" s="9">
        <v>43457</v>
      </c>
      <c r="B18" s="12">
        <v>287</v>
      </c>
      <c r="C18" s="11">
        <v>4.1000000000000002E-2</v>
      </c>
      <c r="D18" s="12">
        <v>438</v>
      </c>
      <c r="E18" s="11">
        <v>2.3E-2</v>
      </c>
      <c r="F18" s="10">
        <v>57545</v>
      </c>
      <c r="G18" s="11">
        <v>0.02</v>
      </c>
      <c r="H18" s="11">
        <v>0.46700000000000003</v>
      </c>
      <c r="I18" s="10">
        <v>237284100</v>
      </c>
      <c r="J18" s="12" t="s">
        <v>2753</v>
      </c>
      <c r="K18" s="10">
        <v>26876</v>
      </c>
      <c r="L18" s="12" t="s">
        <v>2754</v>
      </c>
      <c r="M18" s="10">
        <v>4485168726</v>
      </c>
      <c r="N18" s="10">
        <v>541794</v>
      </c>
      <c r="O18" s="12">
        <v>8</v>
      </c>
    </row>
    <row r="19" spans="1:15" ht="27" x14ac:dyDescent="0.3">
      <c r="A19" s="9">
        <v>43458</v>
      </c>
      <c r="B19" s="12">
        <v>259</v>
      </c>
      <c r="C19" s="11">
        <v>3.5000000000000003E-2</v>
      </c>
      <c r="D19" s="12">
        <v>402</v>
      </c>
      <c r="E19" s="11">
        <v>2.1000000000000001E-2</v>
      </c>
      <c r="F19" s="10">
        <v>51869</v>
      </c>
      <c r="G19" s="11">
        <v>1.7000000000000001E-2</v>
      </c>
      <c r="H19" s="11">
        <v>0.34100000000000003</v>
      </c>
      <c r="I19" s="10">
        <v>140081450</v>
      </c>
      <c r="J19" s="12" t="s">
        <v>2755</v>
      </c>
      <c r="K19" s="10">
        <v>17677</v>
      </c>
      <c r="L19" s="12" t="s">
        <v>2756</v>
      </c>
      <c r="M19" s="10">
        <v>4625250176</v>
      </c>
      <c r="N19" s="10">
        <v>559471</v>
      </c>
      <c r="O19" s="12">
        <v>7</v>
      </c>
    </row>
    <row r="20" spans="1:15" ht="27" x14ac:dyDescent="0.3">
      <c r="A20" s="9">
        <v>43459</v>
      </c>
      <c r="B20" s="12">
        <v>166</v>
      </c>
      <c r="C20" s="11">
        <v>2.1999999999999999E-2</v>
      </c>
      <c r="D20" s="12">
        <v>271</v>
      </c>
      <c r="E20" s="11">
        <v>1.4E-2</v>
      </c>
      <c r="F20" s="10">
        <v>34236</v>
      </c>
      <c r="G20" s="11">
        <v>1.0999999999999999E-2</v>
      </c>
      <c r="H20" s="11">
        <v>0.61199999999999999</v>
      </c>
      <c r="I20" s="10">
        <v>184844900</v>
      </c>
      <c r="J20" s="12" t="s">
        <v>2757</v>
      </c>
      <c r="K20" s="10">
        <v>20956</v>
      </c>
      <c r="L20" s="12" t="s">
        <v>2758</v>
      </c>
      <c r="M20" s="10">
        <v>4810095076</v>
      </c>
      <c r="N20" s="10">
        <v>580427</v>
      </c>
      <c r="O20" s="12">
        <v>10</v>
      </c>
    </row>
    <row r="21" spans="1:15" ht="40.5" x14ac:dyDescent="0.3">
      <c r="A21" s="9">
        <v>43460</v>
      </c>
      <c r="B21" s="12">
        <v>133</v>
      </c>
      <c r="C21" s="11">
        <v>0.02</v>
      </c>
      <c r="D21" s="12">
        <v>200</v>
      </c>
      <c r="E21" s="11">
        <v>1.0999999999999999E-2</v>
      </c>
      <c r="F21" s="10">
        <v>24555</v>
      </c>
      <c r="G21" s="11">
        <v>8.0000000000000002E-3</v>
      </c>
      <c r="H21" s="11">
        <v>0.33800000000000002</v>
      </c>
      <c r="I21" s="10">
        <v>54809600</v>
      </c>
      <c r="J21" s="12" t="s">
        <v>2759</v>
      </c>
      <c r="K21" s="10">
        <v>8298</v>
      </c>
      <c r="L21" s="12" t="s">
        <v>2760</v>
      </c>
      <c r="M21" s="10">
        <v>4864904676</v>
      </c>
      <c r="N21" s="10">
        <v>588725</v>
      </c>
      <c r="O21" s="12">
        <v>9</v>
      </c>
    </row>
    <row r="22" spans="1:15" ht="27" x14ac:dyDescent="0.3">
      <c r="A22" s="9">
        <v>43461</v>
      </c>
      <c r="B22" s="12">
        <v>133</v>
      </c>
      <c r="C22" s="11">
        <v>0.02</v>
      </c>
      <c r="D22" s="12">
        <v>204</v>
      </c>
      <c r="E22" s="11">
        <v>1.0999999999999999E-2</v>
      </c>
      <c r="F22" s="10">
        <v>25526</v>
      </c>
      <c r="G22" s="11">
        <v>8.9999999999999993E-3</v>
      </c>
      <c r="H22" s="11">
        <v>0.23200000000000001</v>
      </c>
      <c r="I22" s="10">
        <v>48342000</v>
      </c>
      <c r="J22" s="12" t="s">
        <v>2761</v>
      </c>
      <c r="K22" s="10">
        <v>5933</v>
      </c>
      <c r="L22" s="12" t="s">
        <v>2762</v>
      </c>
      <c r="M22" s="10">
        <v>4913246676</v>
      </c>
      <c r="N22" s="10">
        <v>594658</v>
      </c>
      <c r="O22" s="12">
        <v>9</v>
      </c>
    </row>
    <row r="23" spans="1:15" ht="27" x14ac:dyDescent="0.3">
      <c r="A23" s="9">
        <v>43462</v>
      </c>
      <c r="B23" s="12">
        <v>149</v>
      </c>
      <c r="C23" s="11">
        <v>2.1999999999999999E-2</v>
      </c>
      <c r="D23" s="12">
        <v>240</v>
      </c>
      <c r="E23" s="11">
        <v>1.2999999999999999E-2</v>
      </c>
      <c r="F23" s="10">
        <v>31048</v>
      </c>
      <c r="G23" s="11">
        <v>0.01</v>
      </c>
      <c r="H23" s="11">
        <v>0.25800000000000001</v>
      </c>
      <c r="I23" s="10">
        <v>70793100</v>
      </c>
      <c r="J23" s="12" t="s">
        <v>2763</v>
      </c>
      <c r="K23" s="10">
        <v>7997</v>
      </c>
      <c r="L23" s="12" t="s">
        <v>2764</v>
      </c>
      <c r="M23" s="10">
        <v>4984039776</v>
      </c>
      <c r="N23" s="10">
        <v>602655</v>
      </c>
      <c r="O23" s="12">
        <v>9</v>
      </c>
    </row>
    <row r="24" spans="1:15" ht="27" x14ac:dyDescent="0.3">
      <c r="A24" s="9">
        <v>43463</v>
      </c>
      <c r="B24" s="12">
        <v>148</v>
      </c>
      <c r="C24" s="11">
        <v>0.02</v>
      </c>
      <c r="D24" s="12">
        <v>263</v>
      </c>
      <c r="E24" s="11">
        <v>1.2999999999999999E-2</v>
      </c>
      <c r="F24" s="10">
        <v>34124</v>
      </c>
      <c r="G24" s="11">
        <v>1.0999999999999999E-2</v>
      </c>
      <c r="H24" s="11">
        <v>0.371</v>
      </c>
      <c r="I24" s="10">
        <v>113032750</v>
      </c>
      <c r="J24" s="12" t="s">
        <v>2765</v>
      </c>
      <c r="K24" s="10">
        <v>12648</v>
      </c>
      <c r="L24" s="12" t="s">
        <v>2766</v>
      </c>
      <c r="M24" s="10">
        <v>5097072526</v>
      </c>
      <c r="N24" s="10">
        <v>615303</v>
      </c>
      <c r="O24" s="12">
        <v>10</v>
      </c>
    </row>
    <row r="25" spans="1:15" ht="27" x14ac:dyDescent="0.3">
      <c r="A25" s="9">
        <v>43464</v>
      </c>
      <c r="B25" s="12">
        <v>152</v>
      </c>
      <c r="C25" s="11">
        <v>2.1000000000000001E-2</v>
      </c>
      <c r="D25" s="12">
        <v>269</v>
      </c>
      <c r="E25" s="11">
        <v>1.4E-2</v>
      </c>
      <c r="F25" s="10">
        <v>33859</v>
      </c>
      <c r="G25" s="11">
        <v>1.0999999999999999E-2</v>
      </c>
      <c r="H25" s="11">
        <v>0.38500000000000001</v>
      </c>
      <c r="I25" s="10">
        <v>116712200</v>
      </c>
      <c r="J25" s="12" t="s">
        <v>2767</v>
      </c>
      <c r="K25" s="10">
        <v>13024</v>
      </c>
      <c r="L25" s="12" t="s">
        <v>2768</v>
      </c>
      <c r="M25" s="10">
        <v>5213784726</v>
      </c>
      <c r="N25" s="10">
        <v>628327</v>
      </c>
      <c r="O25" s="12">
        <v>10</v>
      </c>
    </row>
    <row r="26" spans="1:15" ht="27" x14ac:dyDescent="0.3">
      <c r="A26" s="9">
        <v>43465</v>
      </c>
      <c r="B26" s="12">
        <v>152</v>
      </c>
      <c r="C26" s="11">
        <v>2.1999999999999999E-2</v>
      </c>
      <c r="D26" s="12">
        <v>270</v>
      </c>
      <c r="E26" s="11">
        <v>1.4E-2</v>
      </c>
      <c r="F26" s="10">
        <v>34314</v>
      </c>
      <c r="G26" s="11">
        <v>1.0999999999999999E-2</v>
      </c>
      <c r="H26" s="11">
        <v>0.33800000000000002</v>
      </c>
      <c r="I26" s="10">
        <v>91504350</v>
      </c>
      <c r="J26" s="12" t="s">
        <v>2769</v>
      </c>
      <c r="K26" s="10">
        <v>11607</v>
      </c>
      <c r="L26" s="12" t="s">
        <v>2770</v>
      </c>
      <c r="M26" s="10">
        <v>5305289076</v>
      </c>
      <c r="N26" s="10">
        <v>639934</v>
      </c>
      <c r="O26" s="12">
        <v>10</v>
      </c>
    </row>
    <row r="27" spans="1:15" ht="27" x14ac:dyDescent="0.3">
      <c r="A27" s="9">
        <v>43466</v>
      </c>
      <c r="B27" s="12">
        <v>134</v>
      </c>
      <c r="C27" s="11">
        <v>1.9E-2</v>
      </c>
      <c r="D27" s="12">
        <v>248</v>
      </c>
      <c r="E27" s="11">
        <v>1.2999999999999999E-2</v>
      </c>
      <c r="F27" s="10">
        <v>32255</v>
      </c>
      <c r="G27" s="11">
        <v>1.0999999999999999E-2</v>
      </c>
      <c r="H27" s="11">
        <v>0.41199999999999998</v>
      </c>
      <c r="I27" s="10">
        <v>116656150</v>
      </c>
      <c r="J27" s="12" t="s">
        <v>2771</v>
      </c>
      <c r="K27" s="10">
        <v>13287</v>
      </c>
      <c r="L27" s="12" t="s">
        <v>2772</v>
      </c>
      <c r="M27" s="10">
        <v>5421945226</v>
      </c>
      <c r="N27" s="10">
        <v>653221</v>
      </c>
      <c r="O27" s="12">
        <v>11</v>
      </c>
    </row>
    <row r="28" spans="1:15" ht="27" x14ac:dyDescent="0.3">
      <c r="A28" s="9">
        <v>43467</v>
      </c>
      <c r="B28" s="12">
        <v>133</v>
      </c>
      <c r="C28" s="11">
        <v>0.02</v>
      </c>
      <c r="D28" s="12">
        <v>233</v>
      </c>
      <c r="E28" s="11">
        <v>1.2999999999999999E-2</v>
      </c>
      <c r="F28" s="10">
        <v>29419</v>
      </c>
      <c r="G28" s="11">
        <v>0.01</v>
      </c>
      <c r="H28" s="11">
        <v>0.2</v>
      </c>
      <c r="I28" s="10">
        <v>47624800</v>
      </c>
      <c r="J28" s="12" t="s">
        <v>2773</v>
      </c>
      <c r="K28" s="10">
        <v>5889</v>
      </c>
      <c r="L28" s="12" t="s">
        <v>2774</v>
      </c>
      <c r="M28" s="10">
        <v>5469570026</v>
      </c>
      <c r="N28" s="10">
        <v>659110</v>
      </c>
      <c r="O28" s="12">
        <v>11</v>
      </c>
    </row>
    <row r="29" spans="1:15" ht="27" x14ac:dyDescent="0.3">
      <c r="A29" s="9">
        <v>43468</v>
      </c>
      <c r="B29" s="12">
        <v>92</v>
      </c>
      <c r="C29" s="11">
        <v>1.2999999999999999E-2</v>
      </c>
      <c r="D29" s="12">
        <v>138</v>
      </c>
      <c r="E29" s="11">
        <v>7.0000000000000001E-3</v>
      </c>
      <c r="F29" s="10">
        <v>17353</v>
      </c>
      <c r="G29" s="11">
        <v>6.0000000000000001E-3</v>
      </c>
      <c r="H29" s="11">
        <v>0.18099999999999999</v>
      </c>
      <c r="I29" s="10">
        <v>25680850</v>
      </c>
      <c r="J29" s="12" t="s">
        <v>2775</v>
      </c>
      <c r="K29" s="10">
        <v>3137</v>
      </c>
      <c r="L29" s="12" t="s">
        <v>2776</v>
      </c>
      <c r="M29" s="10">
        <v>5495250876</v>
      </c>
      <c r="N29" s="10">
        <v>662247</v>
      </c>
      <c r="O29" s="12">
        <v>15</v>
      </c>
    </row>
    <row r="30" spans="1:15" ht="27" x14ac:dyDescent="0.3">
      <c r="A30" s="9">
        <v>43469</v>
      </c>
      <c r="B30" s="12">
        <v>100</v>
      </c>
      <c r="C30" s="11">
        <v>1.4E-2</v>
      </c>
      <c r="D30" s="12">
        <v>168</v>
      </c>
      <c r="E30" s="11">
        <v>8.9999999999999993E-3</v>
      </c>
      <c r="F30" s="10">
        <v>21735</v>
      </c>
      <c r="G30" s="11">
        <v>7.0000000000000001E-3</v>
      </c>
      <c r="H30" s="11">
        <v>0.18099999999999999</v>
      </c>
      <c r="I30" s="10">
        <v>35810750</v>
      </c>
      <c r="J30" s="12" t="s">
        <v>2777</v>
      </c>
      <c r="K30" s="10">
        <v>3929</v>
      </c>
      <c r="L30" s="12" t="s">
        <v>2778</v>
      </c>
      <c r="M30" s="10">
        <v>5531061626</v>
      </c>
      <c r="N30" s="10">
        <v>666176</v>
      </c>
      <c r="O30" s="12">
        <v>10</v>
      </c>
    </row>
    <row r="31" spans="1:15" ht="27" x14ac:dyDescent="0.3">
      <c r="A31" s="9">
        <v>43470</v>
      </c>
      <c r="B31" s="12">
        <v>99</v>
      </c>
      <c r="C31" s="11">
        <v>1.2999999999999999E-2</v>
      </c>
      <c r="D31" s="12">
        <v>162</v>
      </c>
      <c r="E31" s="11">
        <v>8.0000000000000002E-3</v>
      </c>
      <c r="F31" s="10">
        <v>21417</v>
      </c>
      <c r="G31" s="11">
        <v>7.0000000000000001E-3</v>
      </c>
      <c r="H31" s="11">
        <v>0.29199999999999998</v>
      </c>
      <c r="I31" s="10">
        <v>57142150</v>
      </c>
      <c r="J31" s="12" t="s">
        <v>2779</v>
      </c>
      <c r="K31" s="10">
        <v>6262</v>
      </c>
      <c r="L31" s="12" t="s">
        <v>2780</v>
      </c>
      <c r="M31" s="10">
        <v>5588203776</v>
      </c>
      <c r="N31" s="10">
        <v>672438</v>
      </c>
      <c r="O31" s="12">
        <v>11</v>
      </c>
    </row>
    <row r="32" spans="1:15" ht="27" x14ac:dyDescent="0.3">
      <c r="A32" s="9">
        <v>43471</v>
      </c>
      <c r="B32" s="12">
        <v>109</v>
      </c>
      <c r="C32" s="11">
        <v>1.4E-2</v>
      </c>
      <c r="D32" s="12">
        <v>167</v>
      </c>
      <c r="E32" s="11">
        <v>8.9999999999999993E-3</v>
      </c>
      <c r="F32" s="10">
        <v>23022</v>
      </c>
      <c r="G32" s="11">
        <v>8.0000000000000002E-3</v>
      </c>
      <c r="H32" s="11">
        <v>0.246</v>
      </c>
      <c r="I32" s="10">
        <v>51745900</v>
      </c>
      <c r="J32" s="12" t="s">
        <v>2781</v>
      </c>
      <c r="K32" s="10">
        <v>5662</v>
      </c>
      <c r="L32" s="12" t="s">
        <v>2782</v>
      </c>
      <c r="M32" s="10">
        <v>5639949676</v>
      </c>
      <c r="N32" s="10">
        <v>678100</v>
      </c>
      <c r="O32" s="12">
        <v>11</v>
      </c>
    </row>
    <row r="33" spans="1:15" ht="27" x14ac:dyDescent="0.3">
      <c r="A33" s="9">
        <v>43472</v>
      </c>
      <c r="B33" s="12">
        <v>90</v>
      </c>
      <c r="C33" s="11">
        <v>1.2999999999999999E-2</v>
      </c>
      <c r="D33" s="12">
        <v>166</v>
      </c>
      <c r="E33" s="11">
        <v>8.9999999999999993E-3</v>
      </c>
      <c r="F33" s="10">
        <v>21605</v>
      </c>
      <c r="G33" s="11">
        <v>8.0000000000000002E-3</v>
      </c>
      <c r="H33" s="11">
        <v>0.14899999999999999</v>
      </c>
      <c r="I33" s="10">
        <v>26324100</v>
      </c>
      <c r="J33" s="12" t="s">
        <v>2783</v>
      </c>
      <c r="K33" s="10">
        <v>3214</v>
      </c>
      <c r="L33" s="12" t="s">
        <v>2784</v>
      </c>
      <c r="M33" s="10">
        <v>5666273776</v>
      </c>
      <c r="N33" s="10">
        <v>681314</v>
      </c>
      <c r="O33" s="12">
        <v>10</v>
      </c>
    </row>
    <row r="34" spans="1:15" ht="27" x14ac:dyDescent="0.3">
      <c r="A34" s="9">
        <v>43473</v>
      </c>
      <c r="B34" s="12">
        <v>95</v>
      </c>
      <c r="C34" s="11">
        <v>1.4E-2</v>
      </c>
      <c r="D34" s="12">
        <v>172</v>
      </c>
      <c r="E34" s="11">
        <v>0.01</v>
      </c>
      <c r="F34" s="10">
        <v>22270</v>
      </c>
      <c r="G34" s="11">
        <v>8.0000000000000002E-3</v>
      </c>
      <c r="H34" s="11">
        <v>0.155</v>
      </c>
      <c r="I34" s="10">
        <v>28434950</v>
      </c>
      <c r="J34" s="12" t="s">
        <v>2785</v>
      </c>
      <c r="K34" s="10">
        <v>3452</v>
      </c>
      <c r="L34" s="12" t="s">
        <v>2786</v>
      </c>
      <c r="M34" s="10">
        <v>5694708726</v>
      </c>
      <c r="N34" s="10">
        <v>684766</v>
      </c>
      <c r="O34" s="12">
        <v>11</v>
      </c>
    </row>
    <row r="35" spans="1:15" ht="27" x14ac:dyDescent="0.3">
      <c r="A35" s="9">
        <v>43474</v>
      </c>
      <c r="B35" s="12">
        <v>47</v>
      </c>
      <c r="C35" s="11">
        <v>8.0000000000000002E-3</v>
      </c>
      <c r="D35" s="12">
        <v>77</v>
      </c>
      <c r="E35" s="11">
        <v>4.0000000000000001E-3</v>
      </c>
      <c r="F35" s="10">
        <v>9281</v>
      </c>
      <c r="G35" s="11">
        <v>3.0000000000000001E-3</v>
      </c>
      <c r="H35" s="11">
        <v>0.18</v>
      </c>
      <c r="I35" s="10">
        <v>13832700</v>
      </c>
      <c r="J35" s="12" t="s">
        <v>2787</v>
      </c>
      <c r="K35" s="10">
        <v>1675</v>
      </c>
      <c r="L35" s="12" t="s">
        <v>2788</v>
      </c>
      <c r="M35" s="10">
        <v>5708541426</v>
      </c>
      <c r="N35" s="10">
        <v>686441</v>
      </c>
      <c r="O35" s="12">
        <v>13</v>
      </c>
    </row>
    <row r="36" spans="1:15" ht="27" x14ac:dyDescent="0.3">
      <c r="A36" s="9">
        <v>43475</v>
      </c>
      <c r="B36" s="12">
        <v>43</v>
      </c>
      <c r="C36" s="11">
        <v>6.0000000000000001E-3</v>
      </c>
      <c r="D36" s="12">
        <v>73</v>
      </c>
      <c r="E36" s="11">
        <v>4.0000000000000001E-3</v>
      </c>
      <c r="F36" s="10">
        <v>9202</v>
      </c>
      <c r="G36" s="11">
        <v>3.0000000000000001E-3</v>
      </c>
      <c r="H36" s="11">
        <v>0.157</v>
      </c>
      <c r="I36" s="10">
        <v>11776800</v>
      </c>
      <c r="J36" s="12" t="s">
        <v>2789</v>
      </c>
      <c r="K36" s="10">
        <v>1443</v>
      </c>
      <c r="L36" s="12" t="s">
        <v>2790</v>
      </c>
      <c r="M36" s="10">
        <v>5720318226</v>
      </c>
      <c r="N36" s="10">
        <v>687884</v>
      </c>
      <c r="O36" s="12">
        <v>15</v>
      </c>
    </row>
    <row r="37" spans="1:15" ht="27" x14ac:dyDescent="0.3">
      <c r="A37" s="9">
        <v>43476</v>
      </c>
      <c r="B37" s="12">
        <v>55</v>
      </c>
      <c r="C37" s="11">
        <v>8.0000000000000002E-3</v>
      </c>
      <c r="D37" s="12">
        <v>90</v>
      </c>
      <c r="E37" s="11">
        <v>5.0000000000000001E-3</v>
      </c>
      <c r="F37" s="10">
        <v>11276</v>
      </c>
      <c r="G37" s="11">
        <v>4.0000000000000001E-3</v>
      </c>
      <c r="H37" s="11">
        <v>0.17199999999999999</v>
      </c>
      <c r="I37" s="10">
        <v>17876400</v>
      </c>
      <c r="J37" s="12" t="s">
        <v>2791</v>
      </c>
      <c r="K37" s="10">
        <v>1939</v>
      </c>
      <c r="L37" s="12" t="s">
        <v>2792</v>
      </c>
      <c r="M37" s="10">
        <v>5738194626</v>
      </c>
      <c r="N37" s="10">
        <v>689823</v>
      </c>
      <c r="O37" s="12">
        <v>14</v>
      </c>
    </row>
    <row r="38" spans="1:15" ht="27" x14ac:dyDescent="0.3">
      <c r="A38" s="9">
        <v>43477</v>
      </c>
      <c r="B38" s="12">
        <v>59</v>
      </c>
      <c r="C38" s="11">
        <v>8.0000000000000002E-3</v>
      </c>
      <c r="D38" s="12">
        <v>97</v>
      </c>
      <c r="E38" s="11">
        <v>5.0000000000000001E-3</v>
      </c>
      <c r="F38" s="10">
        <v>13900</v>
      </c>
      <c r="G38" s="11">
        <v>5.0000000000000001E-3</v>
      </c>
      <c r="H38" s="11">
        <v>0.23899999999999999</v>
      </c>
      <c r="I38" s="10">
        <v>30423880</v>
      </c>
      <c r="J38" s="12" t="s">
        <v>2793</v>
      </c>
      <c r="K38" s="10">
        <v>3320</v>
      </c>
      <c r="L38" s="12" t="s">
        <v>2794</v>
      </c>
      <c r="M38" s="10">
        <v>5768618506</v>
      </c>
      <c r="N38" s="10">
        <v>693143</v>
      </c>
      <c r="O38" s="12">
        <v>14</v>
      </c>
    </row>
    <row r="39" spans="1:15" ht="27" x14ac:dyDescent="0.3">
      <c r="A39" s="9">
        <v>43478</v>
      </c>
      <c r="B39" s="12">
        <v>52</v>
      </c>
      <c r="C39" s="11">
        <v>7.0000000000000001E-3</v>
      </c>
      <c r="D39" s="12">
        <v>89</v>
      </c>
      <c r="E39" s="11">
        <v>5.0000000000000001E-3</v>
      </c>
      <c r="F39" s="10">
        <v>12085</v>
      </c>
      <c r="G39" s="11">
        <v>4.0000000000000001E-3</v>
      </c>
      <c r="H39" s="11">
        <v>0.23100000000000001</v>
      </c>
      <c r="I39" s="10">
        <v>25404190</v>
      </c>
      <c r="J39" s="12" t="s">
        <v>2795</v>
      </c>
      <c r="K39" s="10">
        <v>2789</v>
      </c>
      <c r="L39" s="12" t="s">
        <v>2796</v>
      </c>
      <c r="M39" s="10">
        <v>5794022696</v>
      </c>
      <c r="N39" s="10">
        <v>695932</v>
      </c>
      <c r="O39" s="12">
        <v>13</v>
      </c>
    </row>
    <row r="40" spans="1:15" ht="27" x14ac:dyDescent="0.3">
      <c r="A40" s="9">
        <v>43479</v>
      </c>
      <c r="B40" s="12">
        <v>45</v>
      </c>
      <c r="C40" s="11">
        <v>7.0000000000000001E-3</v>
      </c>
      <c r="D40" s="12">
        <v>86</v>
      </c>
      <c r="E40" s="11">
        <v>5.0000000000000001E-3</v>
      </c>
      <c r="F40" s="10">
        <v>12410</v>
      </c>
      <c r="G40" s="11">
        <v>4.0000000000000001E-3</v>
      </c>
      <c r="H40" s="11">
        <v>9.6000000000000002E-2</v>
      </c>
      <c r="I40" s="10">
        <v>9735630</v>
      </c>
      <c r="J40" s="12" t="s">
        <v>2797</v>
      </c>
      <c r="K40" s="10">
        <v>1191</v>
      </c>
      <c r="L40" s="12" t="s">
        <v>2798</v>
      </c>
      <c r="M40" s="10">
        <v>5803758326</v>
      </c>
      <c r="N40" s="10">
        <v>697123</v>
      </c>
      <c r="O40" s="12">
        <v>12</v>
      </c>
    </row>
    <row r="41" spans="1:15" ht="27" x14ac:dyDescent="0.3">
      <c r="A41" s="9">
        <v>43480</v>
      </c>
      <c r="B41" s="12">
        <v>49</v>
      </c>
      <c r="C41" s="11">
        <v>7.0000000000000001E-3</v>
      </c>
      <c r="D41" s="12">
        <v>86</v>
      </c>
      <c r="E41" s="11">
        <v>5.0000000000000001E-3</v>
      </c>
      <c r="F41" s="10">
        <v>11399</v>
      </c>
      <c r="G41" s="11">
        <v>4.0000000000000001E-3</v>
      </c>
      <c r="H41" s="11">
        <v>0.113</v>
      </c>
      <c r="I41" s="10">
        <v>10551800</v>
      </c>
      <c r="J41" s="12" t="s">
        <v>2799</v>
      </c>
      <c r="K41" s="10">
        <v>1288</v>
      </c>
      <c r="L41" s="12" t="s">
        <v>2800</v>
      </c>
      <c r="M41" s="10">
        <v>5814310126</v>
      </c>
      <c r="N41" s="10">
        <v>698411</v>
      </c>
      <c r="O41" s="12">
        <v>14</v>
      </c>
    </row>
    <row r="42" spans="1:15" ht="27" x14ac:dyDescent="0.3">
      <c r="A42" s="9">
        <v>43481</v>
      </c>
      <c r="B42" s="12">
        <v>27</v>
      </c>
      <c r="C42" s="11">
        <v>4.0000000000000001E-3</v>
      </c>
      <c r="D42" s="12">
        <v>58</v>
      </c>
      <c r="E42" s="11">
        <v>3.0000000000000001E-3</v>
      </c>
      <c r="F42" s="10">
        <v>8392</v>
      </c>
      <c r="G42" s="11">
        <v>3.0000000000000001E-3</v>
      </c>
      <c r="H42" s="11">
        <v>0.151</v>
      </c>
      <c r="I42" s="10">
        <v>10323400</v>
      </c>
      <c r="J42" s="12" t="s">
        <v>2801</v>
      </c>
      <c r="K42" s="10">
        <v>1263</v>
      </c>
      <c r="L42" s="12" t="s">
        <v>2802</v>
      </c>
      <c r="M42" s="10">
        <v>5824633526</v>
      </c>
      <c r="N42" s="10">
        <v>699674</v>
      </c>
      <c r="O42" s="12">
        <v>15</v>
      </c>
    </row>
    <row r="43" spans="1:15" ht="27" x14ac:dyDescent="0.3">
      <c r="A43" s="9">
        <v>43482</v>
      </c>
      <c r="B43" s="12">
        <v>23</v>
      </c>
      <c r="C43" s="11">
        <v>3.0000000000000001E-3</v>
      </c>
      <c r="D43" s="12">
        <v>38</v>
      </c>
      <c r="E43" s="11">
        <v>2E-3</v>
      </c>
      <c r="F43" s="10">
        <v>5147</v>
      </c>
      <c r="G43" s="11">
        <v>2E-3</v>
      </c>
      <c r="H43" s="11">
        <v>0.22500000000000001</v>
      </c>
      <c r="I43" s="10">
        <v>7915230</v>
      </c>
      <c r="J43" s="12" t="s">
        <v>2803</v>
      </c>
      <c r="K43" s="10">
        <v>1160</v>
      </c>
      <c r="L43" s="12" t="s">
        <v>2804</v>
      </c>
      <c r="M43" s="10">
        <v>5832548756</v>
      </c>
      <c r="N43" s="10">
        <v>700834</v>
      </c>
      <c r="O43" s="12">
        <v>18</v>
      </c>
    </row>
    <row r="44" spans="1:15" ht="27" x14ac:dyDescent="0.3">
      <c r="A44" s="9">
        <v>43483</v>
      </c>
      <c r="B44" s="12">
        <v>24</v>
      </c>
      <c r="C44" s="11">
        <v>3.0000000000000001E-3</v>
      </c>
      <c r="D44" s="12">
        <v>44</v>
      </c>
      <c r="E44" s="11">
        <v>2E-3</v>
      </c>
      <c r="F44" s="10">
        <v>6474</v>
      </c>
      <c r="G44" s="11">
        <v>2E-3</v>
      </c>
      <c r="H44" s="11">
        <v>0.20699999999999999</v>
      </c>
      <c r="I44" s="10">
        <v>9932010</v>
      </c>
      <c r="J44" s="12" t="s">
        <v>2805</v>
      </c>
      <c r="K44" s="10">
        <v>1340</v>
      </c>
      <c r="L44" s="12" t="s">
        <v>2806</v>
      </c>
      <c r="M44" s="10">
        <v>5842480766</v>
      </c>
      <c r="N44" s="10">
        <v>702174</v>
      </c>
      <c r="O44" s="12">
        <v>17</v>
      </c>
    </row>
    <row r="45" spans="1:15" ht="27" x14ac:dyDescent="0.3">
      <c r="A45" s="9">
        <v>43484</v>
      </c>
      <c r="B45" s="12">
        <v>27</v>
      </c>
      <c r="C45" s="11">
        <v>3.0000000000000001E-3</v>
      </c>
      <c r="D45" s="12">
        <v>51</v>
      </c>
      <c r="E45" s="11">
        <v>3.0000000000000001E-3</v>
      </c>
      <c r="F45" s="10">
        <v>6943</v>
      </c>
      <c r="G45" s="11">
        <v>2E-3</v>
      </c>
      <c r="H45" s="11">
        <v>0.32200000000000001</v>
      </c>
      <c r="I45" s="10">
        <v>17002130</v>
      </c>
      <c r="J45" s="12" t="s">
        <v>2807</v>
      </c>
      <c r="K45" s="10">
        <v>2233</v>
      </c>
      <c r="L45" s="12" t="s">
        <v>2808</v>
      </c>
      <c r="M45" s="10">
        <v>5859482896</v>
      </c>
      <c r="N45" s="10">
        <v>704407</v>
      </c>
      <c r="O45" s="12">
        <v>17</v>
      </c>
    </row>
    <row r="46" spans="1:15" ht="27" x14ac:dyDescent="0.3">
      <c r="A46" s="9">
        <v>43485</v>
      </c>
      <c r="B46" s="12">
        <v>27</v>
      </c>
      <c r="C46" s="11">
        <v>4.0000000000000001E-3</v>
      </c>
      <c r="D46" s="12">
        <v>50</v>
      </c>
      <c r="E46" s="11">
        <v>3.0000000000000001E-3</v>
      </c>
      <c r="F46" s="10">
        <v>6826</v>
      </c>
      <c r="G46" s="11">
        <v>2E-3</v>
      </c>
      <c r="H46" s="11">
        <v>0.31</v>
      </c>
      <c r="I46" s="10">
        <v>15813930</v>
      </c>
      <c r="J46" s="12" t="s">
        <v>2809</v>
      </c>
      <c r="K46" s="10">
        <v>2116</v>
      </c>
      <c r="L46" s="12" t="s">
        <v>2810</v>
      </c>
      <c r="M46" s="10">
        <v>5875296826</v>
      </c>
      <c r="N46" s="10">
        <v>706523</v>
      </c>
      <c r="O46" s="12">
        <v>17</v>
      </c>
    </row>
    <row r="47" spans="1:15" ht="27" x14ac:dyDescent="0.3">
      <c r="A47" s="9">
        <v>43486</v>
      </c>
      <c r="B47" s="12">
        <v>30</v>
      </c>
      <c r="C47" s="11">
        <v>4.0000000000000001E-3</v>
      </c>
      <c r="D47" s="12">
        <v>59</v>
      </c>
      <c r="E47" s="11">
        <v>3.0000000000000001E-3</v>
      </c>
      <c r="F47" s="10">
        <v>7832</v>
      </c>
      <c r="G47" s="11">
        <v>3.0000000000000001E-3</v>
      </c>
      <c r="H47" s="11">
        <v>0.13900000000000001</v>
      </c>
      <c r="I47" s="10">
        <v>7692650</v>
      </c>
      <c r="J47" s="12" t="s">
        <v>2811</v>
      </c>
      <c r="K47" s="10">
        <v>1085</v>
      </c>
      <c r="L47" s="12" t="s">
        <v>2812</v>
      </c>
      <c r="M47" s="10">
        <v>5882989476</v>
      </c>
      <c r="N47" s="10">
        <v>707608</v>
      </c>
      <c r="O47" s="12">
        <v>20</v>
      </c>
    </row>
    <row r="48" spans="1:15" ht="27" x14ac:dyDescent="0.3">
      <c r="A48" s="9">
        <v>43487</v>
      </c>
      <c r="B48" s="12">
        <v>30</v>
      </c>
      <c r="C48" s="11">
        <v>4.0000000000000001E-3</v>
      </c>
      <c r="D48" s="12">
        <v>56</v>
      </c>
      <c r="E48" s="11">
        <v>3.0000000000000001E-3</v>
      </c>
      <c r="F48" s="10">
        <v>7435</v>
      </c>
      <c r="G48" s="11">
        <v>3.0000000000000001E-3</v>
      </c>
      <c r="H48" s="11">
        <v>0.13600000000000001</v>
      </c>
      <c r="I48" s="10">
        <v>7180880</v>
      </c>
      <c r="J48" s="12" t="s">
        <v>2813</v>
      </c>
      <c r="K48" s="10">
        <v>1014</v>
      </c>
      <c r="L48" s="12" t="s">
        <v>2814</v>
      </c>
      <c r="M48" s="10">
        <v>5890170356</v>
      </c>
      <c r="N48" s="10">
        <v>708622</v>
      </c>
      <c r="O48" s="12">
        <v>21</v>
      </c>
    </row>
    <row r="49" spans="1:15" ht="27" x14ac:dyDescent="0.3">
      <c r="A49" s="9">
        <v>43488</v>
      </c>
      <c r="B49" s="12">
        <v>21</v>
      </c>
      <c r="C49" s="11">
        <v>3.0000000000000001E-3</v>
      </c>
      <c r="D49" s="12">
        <v>38</v>
      </c>
      <c r="E49" s="11">
        <v>2E-3</v>
      </c>
      <c r="F49" s="10">
        <v>5054</v>
      </c>
      <c r="G49" s="11">
        <v>2E-3</v>
      </c>
      <c r="H49" s="11">
        <v>0.14699999999999999</v>
      </c>
      <c r="I49" s="10">
        <v>5159000</v>
      </c>
      <c r="J49" s="12" t="s">
        <v>2815</v>
      </c>
      <c r="K49" s="12">
        <v>742</v>
      </c>
      <c r="L49" s="12" t="s">
        <v>2816</v>
      </c>
      <c r="M49" s="10">
        <v>5895329356</v>
      </c>
      <c r="N49" s="10">
        <v>709364</v>
      </c>
      <c r="O49" s="12">
        <v>17</v>
      </c>
    </row>
    <row r="50" spans="1:15" ht="27" x14ac:dyDescent="0.3">
      <c r="A50" s="9">
        <v>43489</v>
      </c>
      <c r="B50" s="12">
        <v>14</v>
      </c>
      <c r="C50" s="11">
        <v>2E-3</v>
      </c>
      <c r="D50" s="12">
        <v>32</v>
      </c>
      <c r="E50" s="11">
        <v>2E-3</v>
      </c>
      <c r="F50" s="10">
        <v>5193</v>
      </c>
      <c r="G50" s="11">
        <v>2E-3</v>
      </c>
      <c r="H50" s="11">
        <v>0.13</v>
      </c>
      <c r="I50" s="10">
        <v>4735760</v>
      </c>
      <c r="J50" s="12" t="s">
        <v>2817</v>
      </c>
      <c r="K50" s="12">
        <v>677</v>
      </c>
      <c r="L50" s="12" t="s">
        <v>2818</v>
      </c>
      <c r="M50" s="10">
        <v>5900065116</v>
      </c>
      <c r="N50" s="10">
        <v>710041</v>
      </c>
      <c r="O50" s="12">
        <v>20</v>
      </c>
    </row>
    <row r="51" spans="1:15" ht="27" x14ac:dyDescent="0.3">
      <c r="A51" s="9">
        <v>43490</v>
      </c>
      <c r="B51" s="12">
        <v>17</v>
      </c>
      <c r="C51" s="11">
        <v>3.0000000000000001E-3</v>
      </c>
      <c r="D51" s="12">
        <v>36</v>
      </c>
      <c r="E51" s="11">
        <v>2E-3</v>
      </c>
      <c r="F51" s="10">
        <v>4681</v>
      </c>
      <c r="G51" s="11">
        <v>2E-3</v>
      </c>
      <c r="H51" s="11">
        <v>0.17199999999999999</v>
      </c>
      <c r="I51" s="10">
        <v>5770660</v>
      </c>
      <c r="J51" s="12" t="s">
        <v>2819</v>
      </c>
      <c r="K51" s="12">
        <v>806</v>
      </c>
      <c r="L51" s="12" t="s">
        <v>2820</v>
      </c>
      <c r="M51" s="10">
        <v>5905835776</v>
      </c>
      <c r="N51" s="10">
        <v>710847</v>
      </c>
      <c r="O51" s="12">
        <v>19</v>
      </c>
    </row>
    <row r="52" spans="1:15" ht="27" x14ac:dyDescent="0.3">
      <c r="A52" s="9">
        <v>43491</v>
      </c>
      <c r="B52" s="12">
        <v>16</v>
      </c>
      <c r="C52" s="11">
        <v>2E-3</v>
      </c>
      <c r="D52" s="12">
        <v>33</v>
      </c>
      <c r="E52" s="11">
        <v>2E-3</v>
      </c>
      <c r="F52" s="10">
        <v>4392</v>
      </c>
      <c r="G52" s="11">
        <v>1E-3</v>
      </c>
      <c r="H52" s="11">
        <v>0.24</v>
      </c>
      <c r="I52" s="10">
        <v>7636830</v>
      </c>
      <c r="J52" s="12" t="s">
        <v>2821</v>
      </c>
      <c r="K52" s="10">
        <v>1053</v>
      </c>
      <c r="L52" s="12" t="s">
        <v>2822</v>
      </c>
      <c r="M52" s="10">
        <v>5913472606</v>
      </c>
      <c r="N52" s="10">
        <v>711900</v>
      </c>
      <c r="O52" s="12">
        <v>18</v>
      </c>
    </row>
    <row r="53" spans="1:15" ht="27" x14ac:dyDescent="0.3">
      <c r="A53" s="9">
        <v>43492</v>
      </c>
      <c r="B53" s="12">
        <v>16</v>
      </c>
      <c r="C53" s="11">
        <v>2E-3</v>
      </c>
      <c r="D53" s="12">
        <v>31</v>
      </c>
      <c r="E53" s="11">
        <v>2E-3</v>
      </c>
      <c r="F53" s="10">
        <v>4072</v>
      </c>
      <c r="G53" s="11">
        <v>1E-3</v>
      </c>
      <c r="H53" s="11">
        <v>0.24299999999999999</v>
      </c>
      <c r="I53" s="10">
        <v>7262700</v>
      </c>
      <c r="J53" s="12" t="s">
        <v>2823</v>
      </c>
      <c r="K53" s="12">
        <v>991</v>
      </c>
      <c r="L53" s="12" t="s">
        <v>2824</v>
      </c>
      <c r="M53" s="10">
        <v>5920735306</v>
      </c>
      <c r="N53" s="10">
        <v>712891</v>
      </c>
      <c r="O53" s="12">
        <v>18</v>
      </c>
    </row>
    <row r="54" spans="1:15" ht="27" x14ac:dyDescent="0.3">
      <c r="A54" s="9">
        <v>43493</v>
      </c>
      <c r="B54" s="12">
        <v>14</v>
      </c>
      <c r="C54" s="11">
        <v>2E-3</v>
      </c>
      <c r="D54" s="12">
        <v>35</v>
      </c>
      <c r="E54" s="11">
        <v>2E-3</v>
      </c>
      <c r="F54" s="10">
        <v>4582</v>
      </c>
      <c r="G54" s="11">
        <v>2E-3</v>
      </c>
      <c r="H54" s="11">
        <v>0.109</v>
      </c>
      <c r="I54" s="10">
        <v>3548450</v>
      </c>
      <c r="J54" s="12" t="s">
        <v>2825</v>
      </c>
      <c r="K54" s="12">
        <v>501</v>
      </c>
      <c r="L54" s="12" t="s">
        <v>2826</v>
      </c>
      <c r="M54" s="10">
        <v>5924283756</v>
      </c>
      <c r="N54" s="10">
        <v>713392</v>
      </c>
      <c r="O54" s="12">
        <v>22</v>
      </c>
    </row>
    <row r="55" spans="1:15" ht="27" x14ac:dyDescent="0.3">
      <c r="A55" s="9">
        <v>43494</v>
      </c>
      <c r="B55" s="12">
        <v>16</v>
      </c>
      <c r="C55" s="11">
        <v>3.0000000000000001E-3</v>
      </c>
      <c r="D55" s="12">
        <v>31</v>
      </c>
      <c r="E55" s="11">
        <v>2E-3</v>
      </c>
      <c r="F55" s="10">
        <v>4069</v>
      </c>
      <c r="G55" s="11">
        <v>1E-3</v>
      </c>
      <c r="H55" s="11">
        <v>0.127</v>
      </c>
      <c r="I55" s="10">
        <v>3523230</v>
      </c>
      <c r="J55" s="12" t="s">
        <v>2827</v>
      </c>
      <c r="K55" s="12">
        <v>517</v>
      </c>
      <c r="L55" s="12" t="s">
        <v>2828</v>
      </c>
      <c r="M55" s="10">
        <v>5927806986</v>
      </c>
      <c r="N55" s="10">
        <v>713909</v>
      </c>
      <c r="O55" s="12">
        <v>27</v>
      </c>
    </row>
    <row r="56" spans="1:15" ht="27" x14ac:dyDescent="0.3">
      <c r="A56" s="9">
        <v>43495</v>
      </c>
      <c r="B56" s="12">
        <v>8</v>
      </c>
      <c r="C56" s="11">
        <v>2E-3</v>
      </c>
      <c r="D56" s="12">
        <v>12</v>
      </c>
      <c r="E56" s="11">
        <v>1E-3</v>
      </c>
      <c r="F56" s="10">
        <v>1472</v>
      </c>
      <c r="G56" s="11">
        <v>0</v>
      </c>
      <c r="H56" s="11">
        <v>0.32100000000000001</v>
      </c>
      <c r="I56" s="10">
        <v>2666650</v>
      </c>
      <c r="J56" s="12" t="s">
        <v>2829</v>
      </c>
      <c r="K56" s="12">
        <v>472</v>
      </c>
      <c r="L56" s="12" t="s">
        <v>2830</v>
      </c>
      <c r="M56" s="10">
        <v>5930473636</v>
      </c>
      <c r="N56" s="10">
        <v>714381</v>
      </c>
      <c r="O56" s="12">
        <v>20</v>
      </c>
    </row>
    <row r="57" spans="1:15" ht="27" x14ac:dyDescent="0.3">
      <c r="A57" s="9">
        <v>43496</v>
      </c>
      <c r="B57" s="12">
        <v>7</v>
      </c>
      <c r="C57" s="11">
        <v>1E-3</v>
      </c>
      <c r="D57" s="12">
        <v>7</v>
      </c>
      <c r="E57" s="11">
        <v>0</v>
      </c>
      <c r="F57" s="12">
        <v>961</v>
      </c>
      <c r="G57" s="11">
        <v>0</v>
      </c>
      <c r="H57" s="11">
        <v>0.128</v>
      </c>
      <c r="I57" s="10">
        <v>798780</v>
      </c>
      <c r="J57" s="12" t="s">
        <v>2831</v>
      </c>
      <c r="K57" s="12">
        <v>123</v>
      </c>
      <c r="L57" s="12" t="s">
        <v>2832</v>
      </c>
      <c r="M57" s="10">
        <v>5931272416</v>
      </c>
      <c r="N57" s="10">
        <v>714504</v>
      </c>
      <c r="O57" s="12">
        <v>34</v>
      </c>
    </row>
    <row r="58" spans="1:15" ht="27" x14ac:dyDescent="0.3">
      <c r="A58" s="9">
        <v>43497</v>
      </c>
      <c r="B58" s="12">
        <v>5</v>
      </c>
      <c r="C58" s="11">
        <v>1E-3</v>
      </c>
      <c r="D58" s="12">
        <v>9</v>
      </c>
      <c r="E58" s="11">
        <v>0</v>
      </c>
      <c r="F58" s="10">
        <v>1085</v>
      </c>
      <c r="G58" s="11">
        <v>0</v>
      </c>
      <c r="H58" s="11">
        <v>0.23100000000000001</v>
      </c>
      <c r="I58" s="10">
        <v>1742650</v>
      </c>
      <c r="J58" s="12" t="s">
        <v>2833</v>
      </c>
      <c r="K58" s="12">
        <v>251</v>
      </c>
      <c r="L58" s="12" t="s">
        <v>2834</v>
      </c>
      <c r="M58" s="10">
        <v>5933015066</v>
      </c>
      <c r="N58" s="10">
        <v>714755</v>
      </c>
      <c r="O58" s="12">
        <v>25</v>
      </c>
    </row>
    <row r="59" spans="1:15" ht="27" x14ac:dyDescent="0.3">
      <c r="A59" s="9">
        <v>43498</v>
      </c>
      <c r="B59" s="12">
        <v>5</v>
      </c>
      <c r="C59" s="11">
        <v>1E-3</v>
      </c>
      <c r="D59" s="12">
        <v>7</v>
      </c>
      <c r="E59" s="11">
        <v>0</v>
      </c>
      <c r="F59" s="10">
        <v>1070</v>
      </c>
      <c r="G59" s="11">
        <v>0</v>
      </c>
      <c r="H59" s="11">
        <v>0.115</v>
      </c>
      <c r="I59" s="10">
        <v>947000</v>
      </c>
      <c r="J59" s="12" t="s">
        <v>2835</v>
      </c>
      <c r="K59" s="12">
        <v>123</v>
      </c>
      <c r="L59" s="12" t="s">
        <v>2836</v>
      </c>
      <c r="M59" s="10">
        <v>5933962066</v>
      </c>
      <c r="N59" s="10">
        <v>714878</v>
      </c>
      <c r="O59" s="12">
        <v>32</v>
      </c>
    </row>
    <row r="60" spans="1:15" ht="27" x14ac:dyDescent="0.3">
      <c r="A60" s="9">
        <v>43499</v>
      </c>
      <c r="B60" s="12">
        <v>8</v>
      </c>
      <c r="C60" s="11">
        <v>1E-3</v>
      </c>
      <c r="D60" s="12">
        <v>11</v>
      </c>
      <c r="E60" s="11">
        <v>1E-3</v>
      </c>
      <c r="F60" s="10">
        <v>1282</v>
      </c>
      <c r="G60" s="11">
        <v>0</v>
      </c>
      <c r="H60" s="11">
        <v>0.30299999999999999</v>
      </c>
      <c r="I60" s="10">
        <v>3489280</v>
      </c>
      <c r="J60" s="12" t="s">
        <v>2837</v>
      </c>
      <c r="K60" s="12">
        <v>389</v>
      </c>
      <c r="L60" s="12" t="s">
        <v>2838</v>
      </c>
      <c r="M60" s="10">
        <v>5937451346</v>
      </c>
      <c r="N60" s="10">
        <v>715267</v>
      </c>
      <c r="O60" s="12">
        <v>21</v>
      </c>
    </row>
    <row r="61" spans="1:15" ht="27" x14ac:dyDescent="0.3">
      <c r="A61" s="9">
        <v>43500</v>
      </c>
      <c r="B61" s="12">
        <v>5</v>
      </c>
      <c r="C61" s="11">
        <v>1E-3</v>
      </c>
      <c r="D61" s="12">
        <v>8</v>
      </c>
      <c r="E61" s="11">
        <v>0</v>
      </c>
      <c r="F61" s="12">
        <v>898</v>
      </c>
      <c r="G61" s="11">
        <v>0</v>
      </c>
      <c r="H61" s="11">
        <v>0.223</v>
      </c>
      <c r="I61" s="10">
        <v>1600000</v>
      </c>
      <c r="J61" s="12" t="s">
        <v>2839</v>
      </c>
      <c r="K61" s="12">
        <v>200</v>
      </c>
      <c r="L61" s="12" t="s">
        <v>2840</v>
      </c>
      <c r="M61" s="10">
        <v>5939051346</v>
      </c>
      <c r="N61" s="10">
        <v>715467</v>
      </c>
      <c r="O61" s="12">
        <v>22</v>
      </c>
    </row>
    <row r="62" spans="1:15" ht="27" x14ac:dyDescent="0.3">
      <c r="A62" s="9">
        <v>43501</v>
      </c>
      <c r="B62" s="12">
        <v>5</v>
      </c>
      <c r="C62" s="11">
        <v>1E-3</v>
      </c>
      <c r="D62" s="12">
        <v>5</v>
      </c>
      <c r="E62" s="11">
        <v>0</v>
      </c>
      <c r="F62" s="12">
        <v>543</v>
      </c>
      <c r="G62" s="11">
        <v>0</v>
      </c>
      <c r="H62" s="11">
        <v>0.19</v>
      </c>
      <c r="I62" s="10">
        <v>847500</v>
      </c>
      <c r="J62" s="12" t="s">
        <v>2841</v>
      </c>
      <c r="K62" s="12">
        <v>103</v>
      </c>
      <c r="L62" s="12" t="s">
        <v>2842</v>
      </c>
      <c r="M62" s="10">
        <v>5939898846</v>
      </c>
      <c r="N62" s="10">
        <v>715570</v>
      </c>
      <c r="O62" s="12">
        <v>31</v>
      </c>
    </row>
    <row r="63" spans="1:15" ht="27" x14ac:dyDescent="0.3">
      <c r="A63" s="9">
        <v>43502</v>
      </c>
      <c r="B63" s="12">
        <v>7</v>
      </c>
      <c r="C63" s="11">
        <v>1E-3</v>
      </c>
      <c r="D63" s="12">
        <v>7</v>
      </c>
      <c r="E63" s="11">
        <v>0</v>
      </c>
      <c r="F63" s="12">
        <v>806</v>
      </c>
      <c r="G63" s="11">
        <v>0</v>
      </c>
      <c r="H63" s="11">
        <v>0.28799999999999998</v>
      </c>
      <c r="I63" s="10">
        <v>1972800</v>
      </c>
      <c r="J63" s="12" t="s">
        <v>2843</v>
      </c>
      <c r="K63" s="12">
        <v>232</v>
      </c>
      <c r="L63" s="12" t="s">
        <v>2844</v>
      </c>
      <c r="M63" s="10">
        <v>5941871646</v>
      </c>
      <c r="N63" s="10">
        <v>715802</v>
      </c>
      <c r="O63" s="12">
        <v>26</v>
      </c>
    </row>
    <row r="64" spans="1:15" ht="27" x14ac:dyDescent="0.3">
      <c r="A64" s="9">
        <v>43503</v>
      </c>
      <c r="B64" s="12">
        <v>3</v>
      </c>
      <c r="C64" s="11">
        <v>1E-3</v>
      </c>
      <c r="D64" s="12">
        <v>5</v>
      </c>
      <c r="E64" s="11">
        <v>0</v>
      </c>
      <c r="F64" s="12">
        <v>876</v>
      </c>
      <c r="G64" s="11">
        <v>0</v>
      </c>
      <c r="H64" s="11">
        <v>6.8000000000000005E-2</v>
      </c>
      <c r="I64" s="10">
        <v>457000</v>
      </c>
      <c r="J64" s="12" t="s">
        <v>2845</v>
      </c>
      <c r="K64" s="12">
        <v>60</v>
      </c>
      <c r="L64" s="12" t="s">
        <v>2846</v>
      </c>
      <c r="M64" s="10">
        <v>5942328646</v>
      </c>
      <c r="N64" s="10">
        <v>715862</v>
      </c>
      <c r="O64" s="12">
        <v>40</v>
      </c>
    </row>
    <row r="65" spans="1:15" ht="27" x14ac:dyDescent="0.3">
      <c r="A65" s="9">
        <v>43504</v>
      </c>
      <c r="B65" s="12">
        <v>3</v>
      </c>
      <c r="C65" s="11">
        <v>1E-3</v>
      </c>
      <c r="D65" s="12">
        <v>5</v>
      </c>
      <c r="E65" s="11">
        <v>0</v>
      </c>
      <c r="F65" s="12">
        <v>876</v>
      </c>
      <c r="G65" s="11">
        <v>0</v>
      </c>
      <c r="H65" s="11">
        <v>7.0000000000000007E-2</v>
      </c>
      <c r="I65" s="10">
        <v>483000</v>
      </c>
      <c r="J65" s="12" t="s">
        <v>2847</v>
      </c>
      <c r="K65" s="12">
        <v>61</v>
      </c>
      <c r="L65" s="12" t="s">
        <v>2848</v>
      </c>
      <c r="M65" s="10">
        <v>5942811646</v>
      </c>
      <c r="N65" s="10">
        <v>715923</v>
      </c>
      <c r="O65" s="12">
        <v>43</v>
      </c>
    </row>
    <row r="66" spans="1:15" ht="27" x14ac:dyDescent="0.3">
      <c r="A66" s="9">
        <v>43505</v>
      </c>
      <c r="B66" s="12">
        <v>14</v>
      </c>
      <c r="C66" s="11">
        <v>2E-3</v>
      </c>
      <c r="D66" s="12">
        <v>16</v>
      </c>
      <c r="E66" s="11">
        <v>1E-3</v>
      </c>
      <c r="F66" s="10">
        <v>2462</v>
      </c>
      <c r="G66" s="11">
        <v>1E-3</v>
      </c>
      <c r="H66" s="11">
        <v>0.29499999999999998</v>
      </c>
      <c r="I66" s="10">
        <v>6263750</v>
      </c>
      <c r="J66" s="12" t="s">
        <v>2849</v>
      </c>
      <c r="K66" s="12">
        <v>727</v>
      </c>
      <c r="L66" s="12" t="s">
        <v>2850</v>
      </c>
      <c r="M66" s="10">
        <v>5949075396</v>
      </c>
      <c r="N66" s="10">
        <v>716650</v>
      </c>
      <c r="O66" s="12">
        <v>18</v>
      </c>
    </row>
    <row r="67" spans="1:15" ht="27" x14ac:dyDescent="0.3">
      <c r="A67" s="9">
        <v>43506</v>
      </c>
      <c r="B67" s="12">
        <v>6</v>
      </c>
      <c r="C67" s="11">
        <v>1E-3</v>
      </c>
      <c r="D67" s="12">
        <v>8</v>
      </c>
      <c r="E67" s="11">
        <v>0</v>
      </c>
      <c r="F67" s="10">
        <v>1188</v>
      </c>
      <c r="G67" s="11">
        <v>0</v>
      </c>
      <c r="H67" s="11">
        <v>0.30499999999999999</v>
      </c>
      <c r="I67" s="10">
        <v>3262000</v>
      </c>
      <c r="J67" s="12" t="s">
        <v>2851</v>
      </c>
      <c r="K67" s="12">
        <v>362</v>
      </c>
      <c r="L67" s="12" t="s">
        <v>2852</v>
      </c>
      <c r="M67" s="10">
        <v>5952337396</v>
      </c>
      <c r="N67" s="10">
        <v>717012</v>
      </c>
      <c r="O67" s="12">
        <v>21</v>
      </c>
    </row>
    <row r="68" spans="1:15" ht="27" x14ac:dyDescent="0.3">
      <c r="A68" s="9">
        <v>43507</v>
      </c>
      <c r="B68" s="12">
        <v>4</v>
      </c>
      <c r="C68" s="11">
        <v>1E-3</v>
      </c>
      <c r="D68" s="12">
        <v>6</v>
      </c>
      <c r="E68" s="11">
        <v>0</v>
      </c>
      <c r="F68" s="12">
        <v>912</v>
      </c>
      <c r="G68" s="11">
        <v>0</v>
      </c>
      <c r="H68" s="11">
        <v>0.10100000000000001</v>
      </c>
      <c r="I68" s="10">
        <v>673960</v>
      </c>
      <c r="J68" s="12" t="s">
        <v>2853</v>
      </c>
      <c r="K68" s="12">
        <v>92</v>
      </c>
      <c r="L68" s="12" t="s">
        <v>2854</v>
      </c>
      <c r="M68" s="10">
        <v>5953011356</v>
      </c>
      <c r="N68" s="10">
        <v>717104</v>
      </c>
      <c r="O68" s="12">
        <v>32</v>
      </c>
    </row>
    <row r="69" spans="1:15" ht="27" x14ac:dyDescent="0.3">
      <c r="A69" s="9">
        <v>43508</v>
      </c>
      <c r="B69" s="12">
        <v>5</v>
      </c>
      <c r="C69" s="11">
        <v>1E-3</v>
      </c>
      <c r="D69" s="12">
        <v>6</v>
      </c>
      <c r="E69" s="11">
        <v>0</v>
      </c>
      <c r="F69" s="12">
        <v>922</v>
      </c>
      <c r="G69" s="11">
        <v>0</v>
      </c>
      <c r="H69" s="11">
        <v>0.104</v>
      </c>
      <c r="I69" s="10">
        <v>702000</v>
      </c>
      <c r="J69" s="12" t="s">
        <v>2855</v>
      </c>
      <c r="K69" s="12">
        <v>96</v>
      </c>
      <c r="L69" s="12" t="s">
        <v>2856</v>
      </c>
      <c r="M69" s="10">
        <v>5953713356</v>
      </c>
      <c r="N69" s="10">
        <v>717200</v>
      </c>
      <c r="O69" s="12">
        <v>39</v>
      </c>
    </row>
    <row r="70" spans="1:15" ht="27" x14ac:dyDescent="0.3">
      <c r="A70" s="9">
        <v>43509</v>
      </c>
      <c r="B70" s="12">
        <v>14</v>
      </c>
      <c r="C70" s="11">
        <v>3.0000000000000001E-3</v>
      </c>
      <c r="D70" s="12">
        <v>14</v>
      </c>
      <c r="E70" s="11">
        <v>1E-3</v>
      </c>
      <c r="F70" s="10">
        <v>1956</v>
      </c>
      <c r="G70" s="11">
        <v>1E-3</v>
      </c>
      <c r="H70" s="11">
        <v>0.222</v>
      </c>
      <c r="I70" s="10">
        <v>3467400</v>
      </c>
      <c r="J70" s="12" t="s">
        <v>2857</v>
      </c>
      <c r="K70" s="12">
        <v>435</v>
      </c>
      <c r="L70" s="12" t="s">
        <v>2858</v>
      </c>
      <c r="M70" s="10">
        <v>5957180756</v>
      </c>
      <c r="N70" s="10">
        <v>717635</v>
      </c>
      <c r="O70" s="12">
        <v>21</v>
      </c>
    </row>
    <row r="71" spans="1:15" ht="27" x14ac:dyDescent="0.3">
      <c r="A71" s="9">
        <v>43510</v>
      </c>
      <c r="B71" s="12">
        <v>8</v>
      </c>
      <c r="C71" s="11">
        <v>1E-3</v>
      </c>
      <c r="D71" s="12">
        <v>8</v>
      </c>
      <c r="E71" s="11">
        <v>0</v>
      </c>
      <c r="F71" s="12">
        <v>882</v>
      </c>
      <c r="G71" s="11">
        <v>0</v>
      </c>
      <c r="H71" s="11">
        <v>0.40200000000000002</v>
      </c>
      <c r="I71" s="10">
        <v>3350000</v>
      </c>
      <c r="J71" s="12" t="s">
        <v>2859</v>
      </c>
      <c r="K71" s="12">
        <v>355</v>
      </c>
      <c r="L71" s="12" t="s">
        <v>2860</v>
      </c>
      <c r="M71" s="10">
        <v>5960530756</v>
      </c>
      <c r="N71" s="10">
        <v>717990</v>
      </c>
      <c r="O71" s="12">
        <v>26</v>
      </c>
    </row>
    <row r="72" spans="1:15" ht="27" x14ac:dyDescent="0.3">
      <c r="A72" s="9">
        <v>43511</v>
      </c>
      <c r="B72" s="12">
        <v>1</v>
      </c>
      <c r="C72" s="11">
        <v>0</v>
      </c>
      <c r="D72" s="12">
        <v>1</v>
      </c>
      <c r="E72" s="11">
        <v>0</v>
      </c>
      <c r="F72" s="12">
        <v>48</v>
      </c>
      <c r="G72" s="11">
        <v>0</v>
      </c>
      <c r="H72" s="11">
        <v>0.47899999999999998</v>
      </c>
      <c r="I72" s="10">
        <v>254000</v>
      </c>
      <c r="J72" s="12" t="s">
        <v>2861</v>
      </c>
      <c r="K72" s="12">
        <v>23</v>
      </c>
      <c r="L72" s="12" t="s">
        <v>2862</v>
      </c>
      <c r="M72" s="10">
        <v>5960784756</v>
      </c>
      <c r="N72" s="10">
        <v>718013</v>
      </c>
      <c r="O72" s="12">
        <v>58</v>
      </c>
    </row>
    <row r="73" spans="1:15" ht="27" x14ac:dyDescent="0.3">
      <c r="A73" s="9">
        <v>43512</v>
      </c>
      <c r="B73" s="12">
        <v>16</v>
      </c>
      <c r="C73" s="11">
        <v>2E-3</v>
      </c>
      <c r="D73" s="12">
        <v>16</v>
      </c>
      <c r="E73" s="11">
        <v>1E-3</v>
      </c>
      <c r="F73" s="10">
        <v>2421</v>
      </c>
      <c r="G73" s="11">
        <v>1E-3</v>
      </c>
      <c r="H73" s="11">
        <v>0.41799999999999998</v>
      </c>
      <c r="I73" s="10">
        <v>8848500</v>
      </c>
      <c r="J73" s="12" t="s">
        <v>2863</v>
      </c>
      <c r="K73" s="10">
        <v>1011</v>
      </c>
      <c r="L73" s="12" t="s">
        <v>2864</v>
      </c>
      <c r="M73" s="10">
        <v>5969633256</v>
      </c>
      <c r="N73" s="10">
        <v>719024</v>
      </c>
      <c r="O73" s="12">
        <v>20</v>
      </c>
    </row>
    <row r="74" spans="1:15" ht="27" x14ac:dyDescent="0.3">
      <c r="A74" s="9">
        <v>43513</v>
      </c>
      <c r="B74" s="12">
        <v>6</v>
      </c>
      <c r="C74" s="11">
        <v>1E-3</v>
      </c>
      <c r="D74" s="12">
        <v>6</v>
      </c>
      <c r="E74" s="11">
        <v>0</v>
      </c>
      <c r="F74" s="12">
        <v>554</v>
      </c>
      <c r="G74" s="11">
        <v>0</v>
      </c>
      <c r="H74" s="11">
        <v>0.53600000000000003</v>
      </c>
      <c r="I74" s="10">
        <v>2893500</v>
      </c>
      <c r="J74" s="12" t="s">
        <v>2865</v>
      </c>
      <c r="K74" s="12">
        <v>297</v>
      </c>
      <c r="L74" s="12" t="s">
        <v>2866</v>
      </c>
      <c r="M74" s="10">
        <v>5972526756</v>
      </c>
      <c r="N74" s="10">
        <v>719321</v>
      </c>
      <c r="O74" s="12">
        <v>24</v>
      </c>
    </row>
    <row r="75" spans="1:15" ht="27" x14ac:dyDescent="0.3">
      <c r="A75" s="9">
        <v>43514</v>
      </c>
      <c r="B75" s="12">
        <v>4</v>
      </c>
      <c r="C75" s="11">
        <v>1E-3</v>
      </c>
      <c r="D75" s="12">
        <v>4</v>
      </c>
      <c r="E75" s="11">
        <v>0</v>
      </c>
      <c r="F75" s="12">
        <v>499</v>
      </c>
      <c r="G75" s="11">
        <v>0</v>
      </c>
      <c r="H75" s="11">
        <v>0.24399999999999999</v>
      </c>
      <c r="I75" s="10">
        <v>1108600</v>
      </c>
      <c r="J75" s="12" t="s">
        <v>2867</v>
      </c>
      <c r="K75" s="12">
        <v>122</v>
      </c>
      <c r="L75" s="12" t="s">
        <v>2868</v>
      </c>
      <c r="M75" s="10">
        <v>5973635356</v>
      </c>
      <c r="N75" s="10">
        <v>719443</v>
      </c>
      <c r="O75" s="12">
        <v>32</v>
      </c>
    </row>
    <row r="76" spans="1:15" ht="27" x14ac:dyDescent="0.3">
      <c r="A76" s="9">
        <v>43515</v>
      </c>
      <c r="B76" s="12">
        <v>3</v>
      </c>
      <c r="C76" s="11">
        <v>0</v>
      </c>
      <c r="D76" s="12">
        <v>3</v>
      </c>
      <c r="E76" s="11">
        <v>0</v>
      </c>
      <c r="F76" s="12">
        <v>666</v>
      </c>
      <c r="G76" s="11">
        <v>0</v>
      </c>
      <c r="H76" s="11">
        <v>0.152</v>
      </c>
      <c r="I76" s="10">
        <v>810500</v>
      </c>
      <c r="J76" s="12" t="s">
        <v>2869</v>
      </c>
      <c r="K76" s="12">
        <v>101</v>
      </c>
      <c r="L76" s="12" t="s">
        <v>2870</v>
      </c>
      <c r="M76" s="10">
        <v>5974445856</v>
      </c>
      <c r="N76" s="10">
        <v>719544</v>
      </c>
      <c r="O76" s="12">
        <v>42</v>
      </c>
    </row>
    <row r="77" spans="1:15" ht="27" x14ac:dyDescent="0.3">
      <c r="A77" s="9">
        <v>43516</v>
      </c>
      <c r="B77" s="12">
        <v>16</v>
      </c>
      <c r="C77" s="11">
        <v>3.0000000000000001E-3</v>
      </c>
      <c r="D77" s="12">
        <v>16</v>
      </c>
      <c r="E77" s="11">
        <v>1E-3</v>
      </c>
      <c r="F77" s="10">
        <v>2018</v>
      </c>
      <c r="G77" s="11">
        <v>1E-3</v>
      </c>
      <c r="H77" s="11">
        <v>0.29299999999999998</v>
      </c>
      <c r="I77" s="10">
        <v>4889800</v>
      </c>
      <c r="J77" s="12" t="s">
        <v>2871</v>
      </c>
      <c r="K77" s="12">
        <v>591</v>
      </c>
      <c r="L77" s="12" t="s">
        <v>2872</v>
      </c>
      <c r="M77" s="10">
        <v>5979335656</v>
      </c>
      <c r="N77" s="10">
        <v>720135</v>
      </c>
      <c r="O77" s="12">
        <v>20</v>
      </c>
    </row>
    <row r="78" spans="1:15" ht="27" x14ac:dyDescent="0.3">
      <c r="A78" s="9">
        <v>43517</v>
      </c>
      <c r="B78" s="12">
        <v>4</v>
      </c>
      <c r="C78" s="11">
        <v>1E-3</v>
      </c>
      <c r="D78" s="12">
        <v>4</v>
      </c>
      <c r="E78" s="11">
        <v>0</v>
      </c>
      <c r="F78" s="12">
        <v>481</v>
      </c>
      <c r="G78" s="11">
        <v>0</v>
      </c>
      <c r="H78" s="11">
        <v>0.23899999999999999</v>
      </c>
      <c r="I78" s="10">
        <v>1024500</v>
      </c>
      <c r="J78" s="12" t="s">
        <v>2873</v>
      </c>
      <c r="K78" s="12">
        <v>115</v>
      </c>
      <c r="L78" s="12" t="s">
        <v>2874</v>
      </c>
      <c r="M78" s="10">
        <v>5980360156</v>
      </c>
      <c r="N78" s="10">
        <v>720250</v>
      </c>
      <c r="O78" s="12">
        <v>43</v>
      </c>
    </row>
    <row r="79" spans="1:15" ht="27" x14ac:dyDescent="0.3">
      <c r="A79" s="9">
        <v>43518</v>
      </c>
      <c r="B79" s="12">
        <v>3</v>
      </c>
      <c r="C79" s="11">
        <v>0</v>
      </c>
      <c r="D79" s="12">
        <v>3</v>
      </c>
      <c r="E79" s="11">
        <v>0</v>
      </c>
      <c r="F79" s="12">
        <v>372</v>
      </c>
      <c r="G79" s="11">
        <v>0</v>
      </c>
      <c r="H79" s="11">
        <v>0.245</v>
      </c>
      <c r="I79" s="10">
        <v>894000</v>
      </c>
      <c r="J79" s="12" t="s">
        <v>2875</v>
      </c>
      <c r="K79" s="12">
        <v>91</v>
      </c>
      <c r="L79" s="12" t="s">
        <v>2876</v>
      </c>
      <c r="M79" s="10">
        <v>5981254156</v>
      </c>
      <c r="N79" s="10">
        <v>720341</v>
      </c>
      <c r="O79" s="12">
        <v>41</v>
      </c>
    </row>
    <row r="80" spans="1:15" ht="27" x14ac:dyDescent="0.3">
      <c r="A80" s="9">
        <v>43519</v>
      </c>
      <c r="B80" s="12">
        <v>2</v>
      </c>
      <c r="C80" s="11">
        <v>0</v>
      </c>
      <c r="D80" s="12">
        <v>2</v>
      </c>
      <c r="E80" s="11">
        <v>0</v>
      </c>
      <c r="F80" s="12">
        <v>461</v>
      </c>
      <c r="G80" s="11">
        <v>0</v>
      </c>
      <c r="H80" s="11">
        <v>0.158</v>
      </c>
      <c r="I80" s="10">
        <v>493500</v>
      </c>
      <c r="J80" s="12" t="s">
        <v>2877</v>
      </c>
      <c r="K80" s="12">
        <v>73</v>
      </c>
      <c r="L80" s="12" t="s">
        <v>2878</v>
      </c>
      <c r="M80" s="10">
        <v>5981747656</v>
      </c>
      <c r="N80" s="10">
        <v>720414</v>
      </c>
      <c r="O80" s="12">
        <v>52</v>
      </c>
    </row>
    <row r="81" spans="1:15" ht="27" x14ac:dyDescent="0.3">
      <c r="A81" s="9">
        <v>43521</v>
      </c>
      <c r="B81" s="12">
        <v>4</v>
      </c>
      <c r="C81" s="11">
        <v>1E-3</v>
      </c>
      <c r="D81" s="12">
        <v>4</v>
      </c>
      <c r="E81" s="11">
        <v>0</v>
      </c>
      <c r="F81" s="12">
        <v>383</v>
      </c>
      <c r="G81" s="11">
        <v>0</v>
      </c>
      <c r="H81" s="11">
        <v>0.32100000000000001</v>
      </c>
      <c r="I81" s="10">
        <v>1065500</v>
      </c>
      <c r="J81" s="12" t="s">
        <v>2879</v>
      </c>
      <c r="K81" s="12">
        <v>123</v>
      </c>
      <c r="L81" s="12" t="s">
        <v>2880</v>
      </c>
      <c r="M81" s="10">
        <v>5982813156</v>
      </c>
      <c r="N81" s="10">
        <v>720537</v>
      </c>
      <c r="O81" s="12">
        <v>44</v>
      </c>
    </row>
    <row r="82" spans="1:15" ht="27" x14ac:dyDescent="0.3">
      <c r="A82" s="9">
        <v>43523</v>
      </c>
      <c r="B82" s="12">
        <v>3</v>
      </c>
      <c r="C82" s="11">
        <v>0</v>
      </c>
      <c r="D82" s="12">
        <v>3</v>
      </c>
      <c r="E82" s="11">
        <v>0</v>
      </c>
      <c r="F82" s="12">
        <v>555</v>
      </c>
      <c r="G82" s="11">
        <v>0</v>
      </c>
      <c r="H82" s="11">
        <v>0.23400000000000001</v>
      </c>
      <c r="I82" s="10">
        <v>1015500</v>
      </c>
      <c r="J82" s="12" t="s">
        <v>2881</v>
      </c>
      <c r="K82" s="12">
        <v>130</v>
      </c>
      <c r="L82" s="12" t="s">
        <v>2882</v>
      </c>
      <c r="M82" s="10">
        <v>5983828656</v>
      </c>
      <c r="N82" s="10">
        <v>720667</v>
      </c>
      <c r="O82" s="12">
        <v>50</v>
      </c>
    </row>
    <row r="83" spans="1:15" ht="27" x14ac:dyDescent="0.3">
      <c r="A83" s="9">
        <v>43524</v>
      </c>
      <c r="B83" s="12">
        <v>2</v>
      </c>
      <c r="C83" s="11">
        <v>0</v>
      </c>
      <c r="D83" s="12">
        <v>2</v>
      </c>
      <c r="E83" s="11">
        <v>0</v>
      </c>
      <c r="F83" s="12">
        <v>246</v>
      </c>
      <c r="G83" s="11">
        <v>0</v>
      </c>
      <c r="H83" s="11">
        <v>0.41099999999999998</v>
      </c>
      <c r="I83" s="10">
        <v>896000</v>
      </c>
      <c r="J83" s="12" t="s">
        <v>2883</v>
      </c>
      <c r="K83" s="12">
        <v>101</v>
      </c>
      <c r="L83" s="12" t="s">
        <v>2884</v>
      </c>
      <c r="M83" s="10">
        <v>5984724656</v>
      </c>
      <c r="N83" s="10">
        <v>720768</v>
      </c>
      <c r="O83" s="12">
        <v>53</v>
      </c>
    </row>
    <row r="84" spans="1:15" ht="27" x14ac:dyDescent="0.3">
      <c r="A84" s="9">
        <v>43525</v>
      </c>
      <c r="B84" s="12">
        <v>31</v>
      </c>
      <c r="C84" s="11">
        <v>4.0000000000000001E-3</v>
      </c>
      <c r="D84" s="12">
        <v>33</v>
      </c>
      <c r="E84" s="11">
        <v>2E-3</v>
      </c>
      <c r="F84" s="10">
        <v>5030</v>
      </c>
      <c r="G84" s="11">
        <v>2E-3</v>
      </c>
      <c r="H84" s="11">
        <v>0.17299999999999999</v>
      </c>
      <c r="I84" s="10">
        <v>7912430</v>
      </c>
      <c r="J84" s="12" t="s">
        <v>2885</v>
      </c>
      <c r="K84" s="12">
        <v>868</v>
      </c>
      <c r="L84" s="12" t="s">
        <v>2886</v>
      </c>
      <c r="M84" s="10">
        <v>5992637086</v>
      </c>
      <c r="N84" s="10">
        <v>721636</v>
      </c>
      <c r="O84" s="12">
        <v>22</v>
      </c>
    </row>
    <row r="85" spans="1:15" ht="27" x14ac:dyDescent="0.3">
      <c r="A85" s="9">
        <v>43526</v>
      </c>
      <c r="B85" s="12">
        <v>26</v>
      </c>
      <c r="C85" s="11">
        <v>4.0000000000000001E-3</v>
      </c>
      <c r="D85" s="12">
        <v>29</v>
      </c>
      <c r="E85" s="11">
        <v>1E-3</v>
      </c>
      <c r="F85" s="10">
        <v>4053</v>
      </c>
      <c r="G85" s="11">
        <v>1E-3</v>
      </c>
      <c r="H85" s="11">
        <v>0.14000000000000001</v>
      </c>
      <c r="I85" s="10">
        <v>5163830</v>
      </c>
      <c r="J85" s="12" t="s">
        <v>2887</v>
      </c>
      <c r="K85" s="12">
        <v>569</v>
      </c>
      <c r="L85" s="12" t="s">
        <v>2888</v>
      </c>
      <c r="M85" s="10">
        <v>5997800916</v>
      </c>
      <c r="N85" s="10">
        <v>722205</v>
      </c>
      <c r="O85" s="12">
        <v>25</v>
      </c>
    </row>
    <row r="86" spans="1:15" ht="27" x14ac:dyDescent="0.3">
      <c r="A86" s="9">
        <v>43527</v>
      </c>
      <c r="B86" s="12">
        <v>24</v>
      </c>
      <c r="C86" s="11">
        <v>3.0000000000000001E-3</v>
      </c>
      <c r="D86" s="12">
        <v>29</v>
      </c>
      <c r="E86" s="11">
        <v>1E-3</v>
      </c>
      <c r="F86" s="10">
        <v>3406</v>
      </c>
      <c r="G86" s="11">
        <v>1E-3</v>
      </c>
      <c r="H86" s="11">
        <v>0.13400000000000001</v>
      </c>
      <c r="I86" s="10">
        <v>4046200</v>
      </c>
      <c r="J86" s="12" t="s">
        <v>2889</v>
      </c>
      <c r="K86" s="12">
        <v>456</v>
      </c>
      <c r="L86" s="12" t="s">
        <v>2890</v>
      </c>
      <c r="M86" s="10">
        <v>6001847116</v>
      </c>
      <c r="N86" s="10">
        <v>722661</v>
      </c>
      <c r="O86" s="12">
        <v>26</v>
      </c>
    </row>
    <row r="87" spans="1:15" ht="27" x14ac:dyDescent="0.3">
      <c r="A87" s="9">
        <v>43528</v>
      </c>
      <c r="B87" s="12">
        <v>20</v>
      </c>
      <c r="C87" s="11">
        <v>3.0000000000000001E-3</v>
      </c>
      <c r="D87" s="12">
        <v>27</v>
      </c>
      <c r="E87" s="11">
        <v>2E-3</v>
      </c>
      <c r="F87" s="10">
        <v>3637</v>
      </c>
      <c r="G87" s="11">
        <v>1E-3</v>
      </c>
      <c r="H87" s="11">
        <v>5.6000000000000001E-2</v>
      </c>
      <c r="I87" s="10">
        <v>1797400</v>
      </c>
      <c r="J87" s="12" t="s">
        <v>2891</v>
      </c>
      <c r="K87" s="12">
        <v>205</v>
      </c>
      <c r="L87" s="12" t="s">
        <v>2892</v>
      </c>
      <c r="M87" s="10">
        <v>6003644516</v>
      </c>
      <c r="N87" s="10">
        <v>722866</v>
      </c>
      <c r="O87" s="12">
        <v>25</v>
      </c>
    </row>
    <row r="88" spans="1:15" ht="27" x14ac:dyDescent="0.3">
      <c r="A88" s="9">
        <v>43529</v>
      </c>
      <c r="B88" s="12">
        <v>22</v>
      </c>
      <c r="C88" s="11">
        <v>4.0000000000000001E-3</v>
      </c>
      <c r="D88" s="12">
        <v>27</v>
      </c>
      <c r="E88" s="11">
        <v>2E-3</v>
      </c>
      <c r="F88" s="10">
        <v>3636</v>
      </c>
      <c r="G88" s="11">
        <v>1E-3</v>
      </c>
      <c r="H88" s="11">
        <v>6.5000000000000002E-2</v>
      </c>
      <c r="I88" s="10">
        <v>1937160</v>
      </c>
      <c r="J88" s="12" t="s">
        <v>2893</v>
      </c>
      <c r="K88" s="12">
        <v>236</v>
      </c>
      <c r="L88" s="12" t="s">
        <v>2894</v>
      </c>
      <c r="M88" s="10">
        <v>6005581676</v>
      </c>
      <c r="N88" s="10">
        <v>723102</v>
      </c>
      <c r="O88" s="12">
        <v>24</v>
      </c>
    </row>
    <row r="89" spans="1:15" ht="27" x14ac:dyDescent="0.3">
      <c r="A89" s="9">
        <v>43530</v>
      </c>
      <c r="B89" s="12">
        <v>6</v>
      </c>
      <c r="C89" s="11">
        <v>1E-3</v>
      </c>
      <c r="D89" s="12">
        <v>6</v>
      </c>
      <c r="E89" s="11">
        <v>0</v>
      </c>
      <c r="F89" s="10">
        <v>1450</v>
      </c>
      <c r="G89" s="11">
        <v>1E-3</v>
      </c>
      <c r="H89" s="11">
        <v>7.3999999999999996E-2</v>
      </c>
      <c r="I89" s="10">
        <v>1020000</v>
      </c>
      <c r="J89" s="12" t="s">
        <v>2895</v>
      </c>
      <c r="K89" s="12">
        <v>107</v>
      </c>
      <c r="L89" s="12" t="s">
        <v>2896</v>
      </c>
      <c r="M89" s="10">
        <v>6006601676</v>
      </c>
      <c r="N89" s="10">
        <v>723209</v>
      </c>
      <c r="O89" s="12">
        <v>33</v>
      </c>
    </row>
    <row r="90" spans="1:15" ht="27" x14ac:dyDescent="0.3">
      <c r="A90" s="9">
        <v>43531</v>
      </c>
      <c r="B90" s="12">
        <v>1</v>
      </c>
      <c r="C90" s="11">
        <v>0</v>
      </c>
      <c r="D90" s="12">
        <v>1</v>
      </c>
      <c r="E90" s="11">
        <v>0</v>
      </c>
      <c r="F90" s="12">
        <v>48</v>
      </c>
      <c r="G90" s="11">
        <v>0</v>
      </c>
      <c r="H90" s="11">
        <v>0.25</v>
      </c>
      <c r="I90" s="10">
        <v>112000</v>
      </c>
      <c r="J90" s="12" t="s">
        <v>2897</v>
      </c>
      <c r="K90" s="12">
        <v>12</v>
      </c>
      <c r="L90" s="12" t="s">
        <v>2898</v>
      </c>
      <c r="M90" s="10">
        <v>6006713676</v>
      </c>
      <c r="N90" s="10">
        <v>723221</v>
      </c>
      <c r="O90" s="12">
        <v>59</v>
      </c>
    </row>
    <row r="91" spans="1:15" ht="27" x14ac:dyDescent="0.3">
      <c r="A91" s="9">
        <v>43532</v>
      </c>
      <c r="B91" s="12">
        <v>1</v>
      </c>
      <c r="C91" s="11">
        <v>0</v>
      </c>
      <c r="D91" s="12">
        <v>1</v>
      </c>
      <c r="E91" s="11">
        <v>0</v>
      </c>
      <c r="F91" s="12">
        <v>108</v>
      </c>
      <c r="G91" s="11">
        <v>0</v>
      </c>
      <c r="H91" s="11">
        <v>0.32400000000000001</v>
      </c>
      <c r="I91" s="10">
        <v>350000</v>
      </c>
      <c r="J91" s="12" t="s">
        <v>2899</v>
      </c>
      <c r="K91" s="12">
        <v>35</v>
      </c>
      <c r="L91" s="12" t="s">
        <v>2900</v>
      </c>
      <c r="M91" s="10">
        <v>6007063676</v>
      </c>
      <c r="N91" s="10">
        <v>723256</v>
      </c>
      <c r="O91" s="12">
        <v>50</v>
      </c>
    </row>
    <row r="92" spans="1:15" ht="27" x14ac:dyDescent="0.3">
      <c r="A92" s="9">
        <v>43533</v>
      </c>
      <c r="B92" s="12">
        <v>1</v>
      </c>
      <c r="C92" s="11">
        <v>0</v>
      </c>
      <c r="D92" s="12">
        <v>1</v>
      </c>
      <c r="E92" s="11">
        <v>0</v>
      </c>
      <c r="F92" s="12">
        <v>48</v>
      </c>
      <c r="G92" s="11">
        <v>0</v>
      </c>
      <c r="H92" s="11">
        <v>0.52100000000000002</v>
      </c>
      <c r="I92" s="10">
        <v>243500</v>
      </c>
      <c r="J92" s="12" t="s">
        <v>2901</v>
      </c>
      <c r="K92" s="12">
        <v>25</v>
      </c>
      <c r="L92" s="12" t="s">
        <v>2902</v>
      </c>
      <c r="M92" s="10">
        <v>6007307176</v>
      </c>
      <c r="N92" s="10">
        <v>723281</v>
      </c>
      <c r="O92" s="12">
        <v>60</v>
      </c>
    </row>
    <row r="93" spans="1:15" ht="27" x14ac:dyDescent="0.3">
      <c r="A93" s="9">
        <v>43534</v>
      </c>
      <c r="B93" s="12">
        <v>1</v>
      </c>
      <c r="C93" s="11">
        <v>0</v>
      </c>
      <c r="D93" s="12">
        <v>1</v>
      </c>
      <c r="E93" s="11">
        <v>0</v>
      </c>
      <c r="F93" s="12">
        <v>413</v>
      </c>
      <c r="G93" s="11">
        <v>0</v>
      </c>
      <c r="H93" s="11">
        <v>0.104</v>
      </c>
      <c r="I93" s="10">
        <v>266000</v>
      </c>
      <c r="J93" s="12" t="s">
        <v>2903</v>
      </c>
      <c r="K93" s="12">
        <v>43</v>
      </c>
      <c r="L93" s="12" t="s">
        <v>2904</v>
      </c>
      <c r="M93" s="10">
        <v>6007573176</v>
      </c>
      <c r="N93" s="10">
        <v>723324</v>
      </c>
      <c r="O93" s="12">
        <v>46</v>
      </c>
    </row>
    <row r="94" spans="1:15" ht="27" x14ac:dyDescent="0.3">
      <c r="A94" s="9">
        <v>43535</v>
      </c>
      <c r="B94" s="12">
        <v>2</v>
      </c>
      <c r="C94" s="11">
        <v>0</v>
      </c>
      <c r="D94" s="12">
        <v>2</v>
      </c>
      <c r="E94" s="11">
        <v>0</v>
      </c>
      <c r="F94" s="12">
        <v>163</v>
      </c>
      <c r="G94" s="11">
        <v>0</v>
      </c>
      <c r="H94" s="11">
        <v>9.1999999999999998E-2</v>
      </c>
      <c r="I94" s="10">
        <v>112000</v>
      </c>
      <c r="J94" s="12" t="s">
        <v>2905</v>
      </c>
      <c r="K94" s="12">
        <v>15</v>
      </c>
      <c r="L94" s="12" t="s">
        <v>2906</v>
      </c>
      <c r="M94" s="10">
        <v>6007685176</v>
      </c>
      <c r="N94" s="10">
        <v>723339</v>
      </c>
      <c r="O94" s="12">
        <v>50</v>
      </c>
    </row>
    <row r="95" spans="1:15" ht="27" x14ac:dyDescent="0.3">
      <c r="A95" s="9">
        <v>43536</v>
      </c>
      <c r="B95" s="12">
        <v>3</v>
      </c>
      <c r="C95" s="11">
        <v>1E-3</v>
      </c>
      <c r="D95" s="12">
        <v>3</v>
      </c>
      <c r="E95" s="11">
        <v>0</v>
      </c>
      <c r="F95" s="12">
        <v>271</v>
      </c>
      <c r="G95" s="11">
        <v>0</v>
      </c>
      <c r="H95" s="11">
        <v>0.16600000000000001</v>
      </c>
      <c r="I95" s="10">
        <v>403000</v>
      </c>
      <c r="J95" s="12" t="s">
        <v>2907</v>
      </c>
      <c r="K95" s="12">
        <v>45</v>
      </c>
      <c r="L95" s="12" t="s">
        <v>2908</v>
      </c>
      <c r="M95" s="10">
        <v>6008088176</v>
      </c>
      <c r="N95" s="10">
        <v>723384</v>
      </c>
      <c r="O95" s="12">
        <v>46</v>
      </c>
    </row>
    <row r="96" spans="1:15" ht="27" x14ac:dyDescent="0.3">
      <c r="A96" s="9">
        <v>43537</v>
      </c>
      <c r="B96" s="12">
        <v>2</v>
      </c>
      <c r="C96" s="11">
        <v>0</v>
      </c>
      <c r="D96" s="12">
        <v>2</v>
      </c>
      <c r="E96" s="11">
        <v>0</v>
      </c>
      <c r="F96" s="12">
        <v>956</v>
      </c>
      <c r="G96" s="11">
        <v>0</v>
      </c>
      <c r="H96" s="11">
        <v>3.2000000000000001E-2</v>
      </c>
      <c r="I96" s="10">
        <v>170000</v>
      </c>
      <c r="J96" s="12" t="s">
        <v>2909</v>
      </c>
      <c r="K96" s="12">
        <v>31</v>
      </c>
      <c r="L96" s="12" t="s">
        <v>2910</v>
      </c>
      <c r="M96" s="10">
        <v>6008258176</v>
      </c>
      <c r="N96" s="10">
        <v>723415</v>
      </c>
      <c r="O96" s="12">
        <v>53</v>
      </c>
    </row>
    <row r="97" spans="1:15" ht="27" x14ac:dyDescent="0.3">
      <c r="A97" s="9">
        <v>43539</v>
      </c>
      <c r="B97" s="12">
        <v>1</v>
      </c>
      <c r="C97" s="11">
        <v>0</v>
      </c>
      <c r="D97" s="12">
        <v>1</v>
      </c>
      <c r="E97" s="11">
        <v>0</v>
      </c>
      <c r="F97" s="12">
        <v>36</v>
      </c>
      <c r="G97" s="11">
        <v>0</v>
      </c>
      <c r="H97" s="11">
        <v>5.6000000000000001E-2</v>
      </c>
      <c r="I97" s="10">
        <v>10000</v>
      </c>
      <c r="J97" s="12" t="s">
        <v>1407</v>
      </c>
      <c r="K97" s="12">
        <v>2</v>
      </c>
      <c r="L97" s="12" t="s">
        <v>1408</v>
      </c>
      <c r="M97" s="10">
        <v>6008268176</v>
      </c>
      <c r="N97" s="10">
        <v>723417</v>
      </c>
      <c r="O97" s="12">
        <v>86</v>
      </c>
    </row>
    <row r="98" spans="1:15" ht="27" x14ac:dyDescent="0.3">
      <c r="A98" s="9">
        <v>43540</v>
      </c>
      <c r="B98" s="12">
        <v>1</v>
      </c>
      <c r="C98" s="11">
        <v>0</v>
      </c>
      <c r="D98" s="12">
        <v>1</v>
      </c>
      <c r="E98" s="11">
        <v>0</v>
      </c>
      <c r="F98" s="12">
        <v>841</v>
      </c>
      <c r="G98" s="11">
        <v>0</v>
      </c>
      <c r="H98" s="11">
        <v>0.02</v>
      </c>
      <c r="I98" s="10">
        <v>109000</v>
      </c>
      <c r="J98" s="12" t="s">
        <v>2911</v>
      </c>
      <c r="K98" s="12">
        <v>17</v>
      </c>
      <c r="L98" s="12" t="s">
        <v>2912</v>
      </c>
      <c r="M98" s="10">
        <v>6008377176</v>
      </c>
      <c r="N98" s="10">
        <v>723434</v>
      </c>
      <c r="O98" s="12">
        <v>82</v>
      </c>
    </row>
    <row r="99" spans="1:15" ht="27" x14ac:dyDescent="0.3">
      <c r="A99" s="9">
        <v>43543</v>
      </c>
      <c r="B99" s="12">
        <v>1</v>
      </c>
      <c r="C99" s="11">
        <v>0</v>
      </c>
      <c r="D99" s="12">
        <v>1</v>
      </c>
      <c r="E99" s="11">
        <v>0</v>
      </c>
      <c r="F99" s="12">
        <v>413</v>
      </c>
      <c r="G99" s="11">
        <v>0</v>
      </c>
      <c r="H99" s="11">
        <v>3.9E-2</v>
      </c>
      <c r="I99" s="10">
        <v>99000</v>
      </c>
      <c r="J99" s="12" t="s">
        <v>2913</v>
      </c>
      <c r="K99" s="12">
        <v>16</v>
      </c>
      <c r="L99" s="12" t="s">
        <v>453</v>
      </c>
      <c r="M99" s="10">
        <v>6008476176</v>
      </c>
      <c r="N99" s="10">
        <v>723450</v>
      </c>
      <c r="O99" s="12">
        <v>69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6363-D90B-4F79-8C2D-2FD5E2A01AD3}">
  <dimension ref="A1:O48"/>
  <sheetViews>
    <sheetView workbookViewId="0">
      <selection activeCell="A5" sqref="A5:O13"/>
    </sheetView>
  </sheetViews>
  <sheetFormatPr defaultRowHeight="16.5" x14ac:dyDescent="0.3"/>
  <sheetData>
    <row r="1" spans="1:15" ht="19.5" x14ac:dyDescent="0.3">
      <c r="A1" s="197" t="s">
        <v>2914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43453</v>
      </c>
      <c r="B5" s="12">
        <v>515</v>
      </c>
      <c r="C5" s="11">
        <v>8.1000000000000003E-2</v>
      </c>
      <c r="D5" s="12">
        <v>815</v>
      </c>
      <c r="E5" s="11">
        <v>4.7E-2</v>
      </c>
      <c r="F5" s="10">
        <v>99215</v>
      </c>
      <c r="G5" s="11">
        <v>3.6999999999999998E-2</v>
      </c>
      <c r="H5" s="11">
        <v>0.12</v>
      </c>
      <c r="I5" s="10">
        <v>80214500</v>
      </c>
      <c r="J5" s="12" t="s">
        <v>2915</v>
      </c>
      <c r="K5" s="10">
        <v>11938</v>
      </c>
      <c r="L5" s="12" t="s">
        <v>2916</v>
      </c>
      <c r="M5" s="10">
        <v>112695500</v>
      </c>
      <c r="N5" s="10">
        <v>16108</v>
      </c>
      <c r="O5" s="12">
        <v>6</v>
      </c>
    </row>
    <row r="6" spans="1:15" ht="27" x14ac:dyDescent="0.3">
      <c r="A6" s="9">
        <v>43454</v>
      </c>
      <c r="B6" s="12">
        <v>561</v>
      </c>
      <c r="C6" s="11">
        <v>8.6999999999999994E-2</v>
      </c>
      <c r="D6" s="12">
        <v>876</v>
      </c>
      <c r="E6" s="11">
        <v>5.0999999999999997E-2</v>
      </c>
      <c r="F6" s="10">
        <v>107169</v>
      </c>
      <c r="G6" s="11">
        <v>0.04</v>
      </c>
      <c r="H6" s="11">
        <v>0.19</v>
      </c>
      <c r="I6" s="10">
        <v>127943550</v>
      </c>
      <c r="J6" s="12" t="s">
        <v>2917</v>
      </c>
      <c r="K6" s="10">
        <v>20348</v>
      </c>
      <c r="L6" s="12" t="s">
        <v>2918</v>
      </c>
      <c r="M6" s="10">
        <v>240639050</v>
      </c>
      <c r="N6" s="10">
        <v>36456</v>
      </c>
      <c r="O6" s="12">
        <v>5</v>
      </c>
    </row>
    <row r="7" spans="1:15" ht="27" x14ac:dyDescent="0.3">
      <c r="A7" s="9">
        <v>43455</v>
      </c>
      <c r="B7" s="12">
        <v>557</v>
      </c>
      <c r="C7" s="11">
        <v>8.5000000000000006E-2</v>
      </c>
      <c r="D7" s="12">
        <v>837</v>
      </c>
      <c r="E7" s="11">
        <v>4.7E-2</v>
      </c>
      <c r="F7" s="10">
        <v>104157</v>
      </c>
      <c r="G7" s="11">
        <v>3.7999999999999999E-2</v>
      </c>
      <c r="H7" s="11">
        <v>0.184</v>
      </c>
      <c r="I7" s="10">
        <v>130883350</v>
      </c>
      <c r="J7" s="12" t="s">
        <v>2919</v>
      </c>
      <c r="K7" s="10">
        <v>19125</v>
      </c>
      <c r="L7" s="12" t="s">
        <v>2920</v>
      </c>
      <c r="M7" s="10">
        <v>371522400</v>
      </c>
      <c r="N7" s="10">
        <v>55581</v>
      </c>
      <c r="O7" s="12">
        <v>5</v>
      </c>
    </row>
    <row r="8" spans="1:15" ht="27" x14ac:dyDescent="0.3">
      <c r="A8" s="9">
        <v>43456</v>
      </c>
      <c r="B8" s="12">
        <v>722</v>
      </c>
      <c r="C8" s="11">
        <v>0.104</v>
      </c>
      <c r="D8" s="10">
        <v>1303</v>
      </c>
      <c r="E8" s="11">
        <v>6.9000000000000006E-2</v>
      </c>
      <c r="F8" s="10">
        <v>169659</v>
      </c>
      <c r="G8" s="11">
        <v>5.8000000000000003E-2</v>
      </c>
      <c r="H8" s="11">
        <v>0.42</v>
      </c>
      <c r="I8" s="10">
        <v>559222150</v>
      </c>
      <c r="J8" s="12" t="s">
        <v>2921</v>
      </c>
      <c r="K8" s="10">
        <v>71288</v>
      </c>
      <c r="L8" s="12" t="s">
        <v>2922</v>
      </c>
      <c r="M8" s="10">
        <v>930744550</v>
      </c>
      <c r="N8" s="10">
        <v>126869</v>
      </c>
      <c r="O8" s="12">
        <v>5</v>
      </c>
    </row>
    <row r="9" spans="1:15" ht="27" x14ac:dyDescent="0.3">
      <c r="A9" s="9">
        <v>43457</v>
      </c>
      <c r="B9" s="12">
        <v>724</v>
      </c>
      <c r="C9" s="11">
        <v>0.10299999999999999</v>
      </c>
      <c r="D9" s="10">
        <v>1292</v>
      </c>
      <c r="E9" s="11">
        <v>6.9000000000000006E-2</v>
      </c>
      <c r="F9" s="10">
        <v>166899</v>
      </c>
      <c r="G9" s="11">
        <v>5.7000000000000002E-2</v>
      </c>
      <c r="H9" s="11">
        <v>0.434</v>
      </c>
      <c r="I9" s="10">
        <v>577968700</v>
      </c>
      <c r="J9" s="12" t="s">
        <v>2923</v>
      </c>
      <c r="K9" s="10">
        <v>72512</v>
      </c>
      <c r="L9" s="12" t="s">
        <v>2924</v>
      </c>
      <c r="M9" s="10">
        <v>1508713250</v>
      </c>
      <c r="N9" s="10">
        <v>199381</v>
      </c>
      <c r="O9" s="12">
        <v>5</v>
      </c>
    </row>
    <row r="10" spans="1:15" ht="40.5" x14ac:dyDescent="0.3">
      <c r="A10" s="9">
        <v>43458</v>
      </c>
      <c r="B10" s="12">
        <v>694</v>
      </c>
      <c r="C10" s="11">
        <v>9.4E-2</v>
      </c>
      <c r="D10" s="10">
        <v>1112</v>
      </c>
      <c r="E10" s="11">
        <v>5.8000000000000003E-2</v>
      </c>
      <c r="F10" s="10">
        <v>143368</v>
      </c>
      <c r="G10" s="11">
        <v>4.8000000000000001E-2</v>
      </c>
      <c r="H10" s="11">
        <v>0.23699999999999999</v>
      </c>
      <c r="I10" s="10">
        <v>234921600</v>
      </c>
      <c r="J10" s="12" t="s">
        <v>2925</v>
      </c>
      <c r="K10" s="10">
        <v>33923</v>
      </c>
      <c r="L10" s="12" t="s">
        <v>2926</v>
      </c>
      <c r="M10" s="10">
        <v>1743634850</v>
      </c>
      <c r="N10" s="10">
        <v>233304</v>
      </c>
      <c r="O10" s="12">
        <v>6</v>
      </c>
    </row>
    <row r="11" spans="1:15" ht="27" x14ac:dyDescent="0.3">
      <c r="A11" s="9">
        <v>43459</v>
      </c>
      <c r="B11" s="12">
        <v>664</v>
      </c>
      <c r="C11" s="11">
        <v>0.09</v>
      </c>
      <c r="D11" s="10">
        <v>1152</v>
      </c>
      <c r="E11" s="11">
        <v>5.8000000000000003E-2</v>
      </c>
      <c r="F11" s="10">
        <v>154998</v>
      </c>
      <c r="G11" s="11">
        <v>0.05</v>
      </c>
      <c r="H11" s="11">
        <v>0.76900000000000002</v>
      </c>
      <c r="I11" s="10">
        <v>944001000</v>
      </c>
      <c r="J11" s="12" t="s">
        <v>2927</v>
      </c>
      <c r="K11" s="10">
        <v>119185</v>
      </c>
      <c r="L11" s="12" t="s">
        <v>2928</v>
      </c>
      <c r="M11" s="10">
        <v>2687635850</v>
      </c>
      <c r="N11" s="10">
        <v>352489</v>
      </c>
      <c r="O11" s="12">
        <v>7</v>
      </c>
    </row>
    <row r="12" spans="1:15" ht="40.5" x14ac:dyDescent="0.3">
      <c r="A12" s="9">
        <v>43460</v>
      </c>
      <c r="B12" s="12">
        <v>394</v>
      </c>
      <c r="C12" s="11">
        <v>0.06</v>
      </c>
      <c r="D12" s="12">
        <v>497</v>
      </c>
      <c r="E12" s="11">
        <v>2.7E-2</v>
      </c>
      <c r="F12" s="10">
        <v>59950</v>
      </c>
      <c r="G12" s="11">
        <v>2.1000000000000001E-2</v>
      </c>
      <c r="H12" s="11">
        <v>0.24</v>
      </c>
      <c r="I12" s="10">
        <v>93367650</v>
      </c>
      <c r="J12" s="12" t="s">
        <v>2929</v>
      </c>
      <c r="K12" s="10">
        <v>14384</v>
      </c>
      <c r="L12" s="12" t="s">
        <v>2930</v>
      </c>
      <c r="M12" s="10">
        <v>2781003500</v>
      </c>
      <c r="N12" s="10">
        <v>366873</v>
      </c>
      <c r="O12" s="12">
        <v>8</v>
      </c>
    </row>
    <row r="13" spans="1:15" ht="27" x14ac:dyDescent="0.3">
      <c r="A13" s="9">
        <v>43461</v>
      </c>
      <c r="B13" s="12">
        <v>369</v>
      </c>
      <c r="C13" s="11">
        <v>5.5E-2</v>
      </c>
      <c r="D13" s="12">
        <v>461</v>
      </c>
      <c r="E13" s="11">
        <v>2.5000000000000001E-2</v>
      </c>
      <c r="F13" s="10">
        <v>57001</v>
      </c>
      <c r="G13" s="11">
        <v>0.02</v>
      </c>
      <c r="H13" s="11">
        <v>0.21299999999999999</v>
      </c>
      <c r="I13" s="10">
        <v>82891600</v>
      </c>
      <c r="J13" s="12" t="s">
        <v>2931</v>
      </c>
      <c r="K13" s="10">
        <v>12131</v>
      </c>
      <c r="L13" s="12" t="s">
        <v>2932</v>
      </c>
      <c r="M13" s="10">
        <v>2863895100</v>
      </c>
      <c r="N13" s="10">
        <v>379004</v>
      </c>
      <c r="O13" s="12">
        <v>8</v>
      </c>
    </row>
    <row r="14" spans="1:15" ht="27" x14ac:dyDescent="0.3">
      <c r="A14" s="9">
        <v>43462</v>
      </c>
      <c r="B14" s="12">
        <v>399</v>
      </c>
      <c r="C14" s="11">
        <v>5.8000000000000003E-2</v>
      </c>
      <c r="D14" s="12">
        <v>510</v>
      </c>
      <c r="E14" s="11">
        <v>2.7E-2</v>
      </c>
      <c r="F14" s="10">
        <v>61677</v>
      </c>
      <c r="G14" s="11">
        <v>2.1000000000000001E-2</v>
      </c>
      <c r="H14" s="11">
        <v>0.23200000000000001</v>
      </c>
      <c r="I14" s="10">
        <v>108528250</v>
      </c>
      <c r="J14" s="12" t="s">
        <v>2933</v>
      </c>
      <c r="K14" s="10">
        <v>14286</v>
      </c>
      <c r="L14" s="12" t="s">
        <v>2934</v>
      </c>
      <c r="M14" s="10">
        <v>2972423350</v>
      </c>
      <c r="N14" s="10">
        <v>393290</v>
      </c>
      <c r="O14" s="12">
        <v>8</v>
      </c>
    </row>
    <row r="15" spans="1:15" ht="27" x14ac:dyDescent="0.3">
      <c r="A15" s="9">
        <v>43463</v>
      </c>
      <c r="B15" s="12">
        <v>506</v>
      </c>
      <c r="C15" s="11">
        <v>6.9000000000000006E-2</v>
      </c>
      <c r="D15" s="12">
        <v>748</v>
      </c>
      <c r="E15" s="11">
        <v>3.7999999999999999E-2</v>
      </c>
      <c r="F15" s="10">
        <v>96234</v>
      </c>
      <c r="G15" s="11">
        <v>3.1E-2</v>
      </c>
      <c r="H15" s="11">
        <v>0.35099999999999998</v>
      </c>
      <c r="I15" s="10">
        <v>264556450</v>
      </c>
      <c r="J15" s="12" t="s">
        <v>2935</v>
      </c>
      <c r="K15" s="10">
        <v>33821</v>
      </c>
      <c r="L15" s="12" t="s">
        <v>2936</v>
      </c>
      <c r="M15" s="10">
        <v>3236979800</v>
      </c>
      <c r="N15" s="10">
        <v>427111</v>
      </c>
      <c r="O15" s="12">
        <v>7</v>
      </c>
    </row>
    <row r="16" spans="1:15" ht="27" x14ac:dyDescent="0.3">
      <c r="A16" s="9">
        <v>43464</v>
      </c>
      <c r="B16" s="12">
        <v>501</v>
      </c>
      <c r="C16" s="11">
        <v>6.9000000000000006E-2</v>
      </c>
      <c r="D16" s="12">
        <v>731</v>
      </c>
      <c r="E16" s="11">
        <v>3.7999999999999999E-2</v>
      </c>
      <c r="F16" s="10">
        <v>93192</v>
      </c>
      <c r="G16" s="11">
        <v>3.1E-2</v>
      </c>
      <c r="H16" s="11">
        <v>0.34</v>
      </c>
      <c r="I16" s="10">
        <v>253028200</v>
      </c>
      <c r="J16" s="12" t="s">
        <v>2937</v>
      </c>
      <c r="K16" s="10">
        <v>31703</v>
      </c>
      <c r="L16" s="12" t="s">
        <v>2938</v>
      </c>
      <c r="M16" s="10">
        <v>3490008000</v>
      </c>
      <c r="N16" s="10">
        <v>458814</v>
      </c>
      <c r="O16" s="12">
        <v>8</v>
      </c>
    </row>
    <row r="17" spans="1:15" ht="27" x14ac:dyDescent="0.3">
      <c r="A17" s="9">
        <v>43465</v>
      </c>
      <c r="B17" s="12">
        <v>446</v>
      </c>
      <c r="C17" s="11">
        <v>6.5000000000000002E-2</v>
      </c>
      <c r="D17" s="12">
        <v>635</v>
      </c>
      <c r="E17" s="11">
        <v>3.3000000000000002E-2</v>
      </c>
      <c r="F17" s="10">
        <v>81054</v>
      </c>
      <c r="G17" s="11">
        <v>2.7E-2</v>
      </c>
      <c r="H17" s="11">
        <v>0.32400000000000001</v>
      </c>
      <c r="I17" s="10">
        <v>185433950</v>
      </c>
      <c r="J17" s="12" t="s">
        <v>2939</v>
      </c>
      <c r="K17" s="10">
        <v>26250</v>
      </c>
      <c r="L17" s="12" t="s">
        <v>2940</v>
      </c>
      <c r="M17" s="10">
        <v>3675441950</v>
      </c>
      <c r="N17" s="10">
        <v>485064</v>
      </c>
      <c r="O17" s="12">
        <v>7</v>
      </c>
    </row>
    <row r="18" spans="1:15" ht="27" x14ac:dyDescent="0.3">
      <c r="A18" s="9">
        <v>43466</v>
      </c>
      <c r="B18" s="12">
        <v>449</v>
      </c>
      <c r="C18" s="11">
        <v>6.3E-2</v>
      </c>
      <c r="D18" s="12">
        <v>672</v>
      </c>
      <c r="E18" s="11">
        <v>3.4000000000000002E-2</v>
      </c>
      <c r="F18" s="10">
        <v>84806</v>
      </c>
      <c r="G18" s="11">
        <v>2.8000000000000001E-2</v>
      </c>
      <c r="H18" s="11">
        <v>0.38700000000000001</v>
      </c>
      <c r="I18" s="10">
        <v>264288100</v>
      </c>
      <c r="J18" s="12" t="s">
        <v>2941</v>
      </c>
      <c r="K18" s="10">
        <v>32824</v>
      </c>
      <c r="L18" s="12" t="s">
        <v>2942</v>
      </c>
      <c r="M18" s="10">
        <v>3939730050</v>
      </c>
      <c r="N18" s="10">
        <v>517888</v>
      </c>
      <c r="O18" s="12">
        <v>8</v>
      </c>
    </row>
    <row r="19" spans="1:15" ht="40.5" x14ac:dyDescent="0.3">
      <c r="A19" s="9">
        <v>43467</v>
      </c>
      <c r="B19" s="12">
        <v>370</v>
      </c>
      <c r="C19" s="11">
        <v>5.5E-2</v>
      </c>
      <c r="D19" s="12">
        <v>508</v>
      </c>
      <c r="E19" s="11">
        <v>2.8000000000000001E-2</v>
      </c>
      <c r="F19" s="10">
        <v>64759</v>
      </c>
      <c r="G19" s="11">
        <v>2.3E-2</v>
      </c>
      <c r="H19" s="11">
        <v>0.16300000000000001</v>
      </c>
      <c r="I19" s="10">
        <v>74478500</v>
      </c>
      <c r="J19" s="12" t="s">
        <v>2943</v>
      </c>
      <c r="K19" s="10">
        <v>10527</v>
      </c>
      <c r="L19" s="12" t="s">
        <v>2944</v>
      </c>
      <c r="M19" s="10">
        <v>4014208550</v>
      </c>
      <c r="N19" s="10">
        <v>528415</v>
      </c>
      <c r="O19" s="12">
        <v>8</v>
      </c>
    </row>
    <row r="20" spans="1:15" ht="27" x14ac:dyDescent="0.3">
      <c r="A20" s="9">
        <v>43468</v>
      </c>
      <c r="B20" s="12">
        <v>177</v>
      </c>
      <c r="C20" s="11">
        <v>2.5000000000000001E-2</v>
      </c>
      <c r="D20" s="12">
        <v>214</v>
      </c>
      <c r="E20" s="11">
        <v>1.2E-2</v>
      </c>
      <c r="F20" s="10">
        <v>24706</v>
      </c>
      <c r="G20" s="11">
        <v>8.9999999999999993E-3</v>
      </c>
      <c r="H20" s="11">
        <v>0.154</v>
      </c>
      <c r="I20" s="10">
        <v>26332800</v>
      </c>
      <c r="J20" s="12" t="s">
        <v>2945</v>
      </c>
      <c r="K20" s="10">
        <v>3805</v>
      </c>
      <c r="L20" s="12" t="s">
        <v>2946</v>
      </c>
      <c r="M20" s="10">
        <v>4040541350</v>
      </c>
      <c r="N20" s="10">
        <v>532220</v>
      </c>
      <c r="O20" s="12">
        <v>12</v>
      </c>
    </row>
    <row r="21" spans="1:15" ht="27" x14ac:dyDescent="0.3">
      <c r="A21" s="9">
        <v>43469</v>
      </c>
      <c r="B21" s="12">
        <v>182</v>
      </c>
      <c r="C21" s="11">
        <v>2.5999999999999999E-2</v>
      </c>
      <c r="D21" s="12">
        <v>219</v>
      </c>
      <c r="E21" s="11">
        <v>1.2E-2</v>
      </c>
      <c r="F21" s="10">
        <v>26119</v>
      </c>
      <c r="G21" s="11">
        <v>8.9999999999999993E-3</v>
      </c>
      <c r="H21" s="11">
        <v>0.13300000000000001</v>
      </c>
      <c r="I21" s="10">
        <v>25924050</v>
      </c>
      <c r="J21" s="12" t="s">
        <v>2947</v>
      </c>
      <c r="K21" s="10">
        <v>3463</v>
      </c>
      <c r="L21" s="12" t="s">
        <v>2948</v>
      </c>
      <c r="M21" s="10">
        <v>4066465400</v>
      </c>
      <c r="N21" s="10">
        <v>535683</v>
      </c>
      <c r="O21" s="12">
        <v>12</v>
      </c>
    </row>
    <row r="22" spans="1:15" ht="27" x14ac:dyDescent="0.3">
      <c r="A22" s="9">
        <v>43470</v>
      </c>
      <c r="B22" s="12">
        <v>181</v>
      </c>
      <c r="C22" s="11">
        <v>2.3E-2</v>
      </c>
      <c r="D22" s="12">
        <v>203</v>
      </c>
      <c r="E22" s="11">
        <v>0.01</v>
      </c>
      <c r="F22" s="10">
        <v>23856</v>
      </c>
      <c r="G22" s="11">
        <v>8.0000000000000002E-3</v>
      </c>
      <c r="H22" s="11">
        <v>0.183</v>
      </c>
      <c r="I22" s="10">
        <v>33715850</v>
      </c>
      <c r="J22" s="12" t="s">
        <v>2949</v>
      </c>
      <c r="K22" s="10">
        <v>4374</v>
      </c>
      <c r="L22" s="12" t="s">
        <v>2950</v>
      </c>
      <c r="M22" s="10">
        <v>4100181250</v>
      </c>
      <c r="N22" s="10">
        <v>540057</v>
      </c>
      <c r="O22" s="12">
        <v>13</v>
      </c>
    </row>
    <row r="23" spans="1:15" ht="27" x14ac:dyDescent="0.3">
      <c r="A23" s="9">
        <v>43471</v>
      </c>
      <c r="B23" s="12">
        <v>189</v>
      </c>
      <c r="C23" s="11">
        <v>2.4E-2</v>
      </c>
      <c r="D23" s="12">
        <v>206</v>
      </c>
      <c r="E23" s="11">
        <v>1.0999999999999999E-2</v>
      </c>
      <c r="F23" s="10">
        <v>24007</v>
      </c>
      <c r="G23" s="11">
        <v>8.0000000000000002E-3</v>
      </c>
      <c r="H23" s="11">
        <v>0.156</v>
      </c>
      <c r="I23" s="10">
        <v>29002800</v>
      </c>
      <c r="J23" s="12" t="s">
        <v>2951</v>
      </c>
      <c r="K23" s="10">
        <v>3756</v>
      </c>
      <c r="L23" s="12" t="s">
        <v>2952</v>
      </c>
      <c r="M23" s="10">
        <v>4129184050</v>
      </c>
      <c r="N23" s="10">
        <v>543813</v>
      </c>
      <c r="O23" s="12">
        <v>13</v>
      </c>
    </row>
    <row r="24" spans="1:15" ht="27" x14ac:dyDescent="0.3">
      <c r="A24" s="9">
        <v>43472</v>
      </c>
      <c r="B24" s="12">
        <v>139</v>
      </c>
      <c r="C24" s="11">
        <v>2.1000000000000001E-2</v>
      </c>
      <c r="D24" s="12">
        <v>155</v>
      </c>
      <c r="E24" s="11">
        <v>8.9999999999999993E-3</v>
      </c>
      <c r="F24" s="10">
        <v>18881</v>
      </c>
      <c r="G24" s="11">
        <v>7.0000000000000001E-3</v>
      </c>
      <c r="H24" s="11">
        <v>8.2000000000000003E-2</v>
      </c>
      <c r="I24" s="10">
        <v>10376050</v>
      </c>
      <c r="J24" s="12" t="s">
        <v>2953</v>
      </c>
      <c r="K24" s="10">
        <v>1551</v>
      </c>
      <c r="L24" s="12" t="s">
        <v>2954</v>
      </c>
      <c r="M24" s="10">
        <v>4139560100</v>
      </c>
      <c r="N24" s="10">
        <v>545364</v>
      </c>
      <c r="O24" s="12">
        <v>16</v>
      </c>
    </row>
    <row r="25" spans="1:15" ht="27" x14ac:dyDescent="0.3">
      <c r="A25" s="9">
        <v>43473</v>
      </c>
      <c r="B25" s="12">
        <v>144</v>
      </c>
      <c r="C25" s="11">
        <v>2.1000000000000001E-2</v>
      </c>
      <c r="D25" s="12">
        <v>162</v>
      </c>
      <c r="E25" s="11">
        <v>8.9999999999999993E-3</v>
      </c>
      <c r="F25" s="10">
        <v>19759</v>
      </c>
      <c r="G25" s="11">
        <v>7.0000000000000001E-3</v>
      </c>
      <c r="H25" s="11">
        <v>0.106</v>
      </c>
      <c r="I25" s="10">
        <v>13445150</v>
      </c>
      <c r="J25" s="12" t="s">
        <v>2955</v>
      </c>
      <c r="K25" s="10">
        <v>2087</v>
      </c>
      <c r="L25" s="12" t="s">
        <v>2956</v>
      </c>
      <c r="M25" s="10">
        <v>4153005250</v>
      </c>
      <c r="N25" s="10">
        <v>547451</v>
      </c>
      <c r="O25" s="12">
        <v>16</v>
      </c>
    </row>
    <row r="26" spans="1:15" ht="27" x14ac:dyDescent="0.3">
      <c r="A26" s="9">
        <v>43474</v>
      </c>
      <c r="B26" s="12">
        <v>38</v>
      </c>
      <c r="C26" s="11">
        <v>6.0000000000000001E-3</v>
      </c>
      <c r="D26" s="12">
        <v>41</v>
      </c>
      <c r="E26" s="11">
        <v>2E-3</v>
      </c>
      <c r="F26" s="10">
        <v>4451</v>
      </c>
      <c r="G26" s="11">
        <v>2E-3</v>
      </c>
      <c r="H26" s="11">
        <v>0.188</v>
      </c>
      <c r="I26" s="10">
        <v>5067850</v>
      </c>
      <c r="J26" s="12" t="s">
        <v>2957</v>
      </c>
      <c r="K26" s="12">
        <v>836</v>
      </c>
      <c r="L26" s="12" t="s">
        <v>2958</v>
      </c>
      <c r="M26" s="10">
        <v>4158073100</v>
      </c>
      <c r="N26" s="10">
        <v>548287</v>
      </c>
      <c r="O26" s="12">
        <v>18</v>
      </c>
    </row>
    <row r="27" spans="1:15" ht="27" x14ac:dyDescent="0.3">
      <c r="A27" s="9">
        <v>43475</v>
      </c>
      <c r="B27" s="12">
        <v>14</v>
      </c>
      <c r="C27" s="11">
        <v>2E-3</v>
      </c>
      <c r="D27" s="12">
        <v>15</v>
      </c>
      <c r="E27" s="11">
        <v>1E-3</v>
      </c>
      <c r="F27" s="10">
        <v>1661</v>
      </c>
      <c r="G27" s="11">
        <v>1E-3</v>
      </c>
      <c r="H27" s="11">
        <v>0.22900000000000001</v>
      </c>
      <c r="I27" s="10">
        <v>2254300</v>
      </c>
      <c r="J27" s="12" t="s">
        <v>2959</v>
      </c>
      <c r="K27" s="12">
        <v>380</v>
      </c>
      <c r="L27" s="12" t="s">
        <v>2960</v>
      </c>
      <c r="M27" s="10">
        <v>4160327400</v>
      </c>
      <c r="N27" s="10">
        <v>548667</v>
      </c>
      <c r="O27" s="12">
        <v>27</v>
      </c>
    </row>
    <row r="28" spans="1:15" ht="27" x14ac:dyDescent="0.3">
      <c r="A28" s="9">
        <v>43476</v>
      </c>
      <c r="B28" s="12">
        <v>16</v>
      </c>
      <c r="C28" s="11">
        <v>2E-3</v>
      </c>
      <c r="D28" s="12">
        <v>17</v>
      </c>
      <c r="E28" s="11">
        <v>1E-3</v>
      </c>
      <c r="F28" s="10">
        <v>1621</v>
      </c>
      <c r="G28" s="11">
        <v>1E-3</v>
      </c>
      <c r="H28" s="11">
        <v>0.26700000000000002</v>
      </c>
      <c r="I28" s="10">
        <v>2676500</v>
      </c>
      <c r="J28" s="12" t="s">
        <v>2961</v>
      </c>
      <c r="K28" s="12">
        <v>433</v>
      </c>
      <c r="L28" s="12" t="s">
        <v>2962</v>
      </c>
      <c r="M28" s="10">
        <v>4163003900</v>
      </c>
      <c r="N28" s="10">
        <v>549100</v>
      </c>
      <c r="O28" s="12">
        <v>23</v>
      </c>
    </row>
    <row r="29" spans="1:15" ht="27" x14ac:dyDescent="0.3">
      <c r="A29" s="9">
        <v>43477</v>
      </c>
      <c r="B29" s="12">
        <v>13</v>
      </c>
      <c r="C29" s="11">
        <v>2E-3</v>
      </c>
      <c r="D29" s="12">
        <v>14</v>
      </c>
      <c r="E29" s="11">
        <v>1E-3</v>
      </c>
      <c r="F29" s="10">
        <v>1159</v>
      </c>
      <c r="G29" s="11">
        <v>0</v>
      </c>
      <c r="H29" s="11">
        <v>0.33</v>
      </c>
      <c r="I29" s="10">
        <v>2878500</v>
      </c>
      <c r="J29" s="12" t="s">
        <v>2963</v>
      </c>
      <c r="K29" s="12">
        <v>383</v>
      </c>
      <c r="L29" s="12" t="s">
        <v>2964</v>
      </c>
      <c r="M29" s="10">
        <v>4165882400</v>
      </c>
      <c r="N29" s="10">
        <v>549483</v>
      </c>
      <c r="O29" s="12">
        <v>27</v>
      </c>
    </row>
    <row r="30" spans="1:15" ht="27" x14ac:dyDescent="0.3">
      <c r="A30" s="9">
        <v>43478</v>
      </c>
      <c r="B30" s="12">
        <v>13</v>
      </c>
      <c r="C30" s="11">
        <v>2E-3</v>
      </c>
      <c r="D30" s="12">
        <v>14</v>
      </c>
      <c r="E30" s="11">
        <v>1E-3</v>
      </c>
      <c r="F30" s="10">
        <v>1128</v>
      </c>
      <c r="G30" s="11">
        <v>0</v>
      </c>
      <c r="H30" s="11">
        <v>0.35199999999999998</v>
      </c>
      <c r="I30" s="10">
        <v>2923500</v>
      </c>
      <c r="J30" s="12" t="s">
        <v>2965</v>
      </c>
      <c r="K30" s="12">
        <v>397</v>
      </c>
      <c r="L30" s="12" t="s">
        <v>2966</v>
      </c>
      <c r="M30" s="10">
        <v>4168805900</v>
      </c>
      <c r="N30" s="10">
        <v>549880</v>
      </c>
      <c r="O30" s="12">
        <v>25</v>
      </c>
    </row>
    <row r="31" spans="1:15" ht="27" x14ac:dyDescent="0.3">
      <c r="A31" s="9">
        <v>43479</v>
      </c>
      <c r="B31" s="12">
        <v>11</v>
      </c>
      <c r="C31" s="11">
        <v>2E-3</v>
      </c>
      <c r="D31" s="12">
        <v>13</v>
      </c>
      <c r="E31" s="11">
        <v>1E-3</v>
      </c>
      <c r="F31" s="12">
        <v>941</v>
      </c>
      <c r="G31" s="11">
        <v>0</v>
      </c>
      <c r="H31" s="11">
        <v>0.27700000000000002</v>
      </c>
      <c r="I31" s="10">
        <v>1450000</v>
      </c>
      <c r="J31" s="12" t="s">
        <v>2967</v>
      </c>
      <c r="K31" s="12">
        <v>261</v>
      </c>
      <c r="L31" s="12" t="s">
        <v>2968</v>
      </c>
      <c r="M31" s="10">
        <v>4170255900</v>
      </c>
      <c r="N31" s="10">
        <v>550141</v>
      </c>
      <c r="O31" s="12">
        <v>27</v>
      </c>
    </row>
    <row r="32" spans="1:15" ht="27" x14ac:dyDescent="0.3">
      <c r="A32" s="9">
        <v>43480</v>
      </c>
      <c r="B32" s="12">
        <v>12</v>
      </c>
      <c r="C32" s="11">
        <v>2E-3</v>
      </c>
      <c r="D32" s="12">
        <v>14</v>
      </c>
      <c r="E32" s="11">
        <v>1E-3</v>
      </c>
      <c r="F32" s="12">
        <v>926</v>
      </c>
      <c r="G32" s="11">
        <v>0</v>
      </c>
      <c r="H32" s="11">
        <v>0.22600000000000001</v>
      </c>
      <c r="I32" s="10">
        <v>1288500</v>
      </c>
      <c r="J32" s="12" t="s">
        <v>2969</v>
      </c>
      <c r="K32" s="12">
        <v>209</v>
      </c>
      <c r="L32" s="12" t="s">
        <v>2970</v>
      </c>
      <c r="M32" s="10">
        <v>4171544400</v>
      </c>
      <c r="N32" s="10">
        <v>550350</v>
      </c>
      <c r="O32" s="12">
        <v>31</v>
      </c>
    </row>
    <row r="33" spans="1:15" ht="27" x14ac:dyDescent="0.3">
      <c r="A33" s="9">
        <v>43481</v>
      </c>
      <c r="B33" s="12">
        <v>9</v>
      </c>
      <c r="C33" s="11">
        <v>1E-3</v>
      </c>
      <c r="D33" s="12">
        <v>9</v>
      </c>
      <c r="E33" s="11">
        <v>0</v>
      </c>
      <c r="F33" s="10">
        <v>1295</v>
      </c>
      <c r="G33" s="11">
        <v>0</v>
      </c>
      <c r="H33" s="11">
        <v>0.41699999999999998</v>
      </c>
      <c r="I33" s="10">
        <v>2830000</v>
      </c>
      <c r="J33" s="12" t="s">
        <v>2971</v>
      </c>
      <c r="K33" s="12">
        <v>540</v>
      </c>
      <c r="L33" s="12" t="s">
        <v>2972</v>
      </c>
      <c r="M33" s="10">
        <v>4174374400</v>
      </c>
      <c r="N33" s="10">
        <v>550890</v>
      </c>
      <c r="O33" s="12">
        <v>21</v>
      </c>
    </row>
    <row r="34" spans="1:15" ht="27" x14ac:dyDescent="0.3">
      <c r="A34" s="9">
        <v>43482</v>
      </c>
      <c r="B34" s="12">
        <v>3</v>
      </c>
      <c r="C34" s="11">
        <v>0</v>
      </c>
      <c r="D34" s="12">
        <v>3</v>
      </c>
      <c r="E34" s="11">
        <v>0</v>
      </c>
      <c r="F34" s="12">
        <v>287</v>
      </c>
      <c r="G34" s="11">
        <v>0</v>
      </c>
      <c r="H34" s="11">
        <v>0.40799999999999997</v>
      </c>
      <c r="I34" s="10">
        <v>586000</v>
      </c>
      <c r="J34" s="12" t="s">
        <v>2973</v>
      </c>
      <c r="K34" s="12">
        <v>117</v>
      </c>
      <c r="L34" s="12" t="s">
        <v>2974</v>
      </c>
      <c r="M34" s="10">
        <v>4174960400</v>
      </c>
      <c r="N34" s="10">
        <v>551007</v>
      </c>
      <c r="O34" s="12">
        <v>42</v>
      </c>
    </row>
    <row r="35" spans="1:15" ht="27" x14ac:dyDescent="0.3">
      <c r="A35" s="9">
        <v>43483</v>
      </c>
      <c r="B35" s="12">
        <v>2</v>
      </c>
      <c r="C35" s="11">
        <v>0</v>
      </c>
      <c r="D35" s="12">
        <v>2</v>
      </c>
      <c r="E35" s="11">
        <v>0</v>
      </c>
      <c r="F35" s="12">
        <v>201</v>
      </c>
      <c r="G35" s="11">
        <v>0</v>
      </c>
      <c r="H35" s="11">
        <v>0.69699999999999995</v>
      </c>
      <c r="I35" s="10">
        <v>780000</v>
      </c>
      <c r="J35" s="12" t="s">
        <v>2975</v>
      </c>
      <c r="K35" s="12">
        <v>140</v>
      </c>
      <c r="L35" s="12" t="s">
        <v>2976</v>
      </c>
      <c r="M35" s="10">
        <v>4175740400</v>
      </c>
      <c r="N35" s="10">
        <v>551147</v>
      </c>
      <c r="O35" s="12">
        <v>39</v>
      </c>
    </row>
    <row r="36" spans="1:15" ht="27" x14ac:dyDescent="0.3">
      <c r="A36" s="9">
        <v>43484</v>
      </c>
      <c r="B36" s="12">
        <v>3</v>
      </c>
      <c r="C36" s="11">
        <v>0</v>
      </c>
      <c r="D36" s="12">
        <v>3</v>
      </c>
      <c r="E36" s="11">
        <v>0</v>
      </c>
      <c r="F36" s="12">
        <v>248</v>
      </c>
      <c r="G36" s="11">
        <v>0</v>
      </c>
      <c r="H36" s="11">
        <v>0.41099999999999998</v>
      </c>
      <c r="I36" s="10">
        <v>603000</v>
      </c>
      <c r="J36" s="12" t="s">
        <v>2977</v>
      </c>
      <c r="K36" s="12">
        <v>102</v>
      </c>
      <c r="L36" s="12" t="s">
        <v>2978</v>
      </c>
      <c r="M36" s="10">
        <v>4176343400</v>
      </c>
      <c r="N36" s="10">
        <v>551249</v>
      </c>
      <c r="O36" s="12">
        <v>49</v>
      </c>
    </row>
    <row r="37" spans="1:15" ht="27" x14ac:dyDescent="0.3">
      <c r="A37" s="9">
        <v>43485</v>
      </c>
      <c r="B37" s="12">
        <v>2</v>
      </c>
      <c r="C37" s="11">
        <v>0</v>
      </c>
      <c r="D37" s="12">
        <v>2</v>
      </c>
      <c r="E37" s="11">
        <v>0</v>
      </c>
      <c r="F37" s="12">
        <v>150</v>
      </c>
      <c r="G37" s="11">
        <v>0</v>
      </c>
      <c r="H37" s="11">
        <v>0.46700000000000003</v>
      </c>
      <c r="I37" s="10">
        <v>377000</v>
      </c>
      <c r="J37" s="12" t="s">
        <v>2979</v>
      </c>
      <c r="K37" s="12">
        <v>70</v>
      </c>
      <c r="L37" s="12" t="s">
        <v>2980</v>
      </c>
      <c r="M37" s="10">
        <v>4176720400</v>
      </c>
      <c r="N37" s="10">
        <v>551319</v>
      </c>
      <c r="O37" s="12">
        <v>44</v>
      </c>
    </row>
    <row r="38" spans="1:15" ht="27" x14ac:dyDescent="0.3">
      <c r="A38" s="9">
        <v>43486</v>
      </c>
      <c r="B38" s="12">
        <v>2</v>
      </c>
      <c r="C38" s="11">
        <v>0</v>
      </c>
      <c r="D38" s="12">
        <v>2</v>
      </c>
      <c r="E38" s="11">
        <v>0</v>
      </c>
      <c r="F38" s="12">
        <v>150</v>
      </c>
      <c r="G38" s="11">
        <v>0</v>
      </c>
      <c r="H38" s="11">
        <v>0.42699999999999999</v>
      </c>
      <c r="I38" s="10">
        <v>324000</v>
      </c>
      <c r="J38" s="12" t="s">
        <v>2981</v>
      </c>
      <c r="K38" s="12">
        <v>64</v>
      </c>
      <c r="L38" s="12" t="s">
        <v>2982</v>
      </c>
      <c r="M38" s="10">
        <v>4177044400</v>
      </c>
      <c r="N38" s="10">
        <v>551383</v>
      </c>
      <c r="O38" s="12">
        <v>46</v>
      </c>
    </row>
    <row r="39" spans="1:15" ht="27" x14ac:dyDescent="0.3">
      <c r="A39" s="9">
        <v>43487</v>
      </c>
      <c r="B39" s="12">
        <v>1</v>
      </c>
      <c r="C39" s="11">
        <v>0</v>
      </c>
      <c r="D39" s="12">
        <v>1</v>
      </c>
      <c r="E39" s="11">
        <v>0</v>
      </c>
      <c r="F39" s="12">
        <v>84</v>
      </c>
      <c r="G39" s="11">
        <v>0</v>
      </c>
      <c r="H39" s="11">
        <v>0.71399999999999997</v>
      </c>
      <c r="I39" s="10">
        <v>300000</v>
      </c>
      <c r="J39" s="12" t="s">
        <v>2983</v>
      </c>
      <c r="K39" s="12">
        <v>60</v>
      </c>
      <c r="L39" s="12" t="s">
        <v>2984</v>
      </c>
      <c r="M39" s="10">
        <v>4177344400</v>
      </c>
      <c r="N39" s="10">
        <v>551443</v>
      </c>
      <c r="O39" s="12">
        <v>54</v>
      </c>
    </row>
    <row r="40" spans="1:15" x14ac:dyDescent="0.3">
      <c r="A40" s="9">
        <v>43488</v>
      </c>
      <c r="B40" s="12">
        <v>1</v>
      </c>
      <c r="C40" s="11">
        <v>0</v>
      </c>
      <c r="D40" s="12">
        <v>1</v>
      </c>
      <c r="E40" s="11">
        <v>0</v>
      </c>
      <c r="F40" s="12">
        <v>84</v>
      </c>
      <c r="G40" s="11">
        <v>0</v>
      </c>
      <c r="H40" s="11">
        <v>0.71399999999999997</v>
      </c>
      <c r="I40" s="10">
        <v>300000</v>
      </c>
      <c r="J40" s="12" t="s">
        <v>292</v>
      </c>
      <c r="K40" s="12">
        <v>60</v>
      </c>
      <c r="L40" s="12" t="s">
        <v>292</v>
      </c>
      <c r="M40" s="10">
        <v>4177644400</v>
      </c>
      <c r="N40" s="10">
        <v>551503</v>
      </c>
      <c r="O40" s="12">
        <v>51</v>
      </c>
    </row>
    <row r="41" spans="1:15" x14ac:dyDescent="0.3">
      <c r="A41" s="9">
        <v>43489</v>
      </c>
      <c r="B41" s="12">
        <v>1</v>
      </c>
      <c r="C41" s="11">
        <v>0</v>
      </c>
      <c r="D41" s="12">
        <v>1</v>
      </c>
      <c r="E41" s="11">
        <v>0</v>
      </c>
      <c r="F41" s="12">
        <v>84</v>
      </c>
      <c r="G41" s="11">
        <v>0</v>
      </c>
      <c r="H41" s="11">
        <v>0.71399999999999997</v>
      </c>
      <c r="I41" s="10">
        <v>300000</v>
      </c>
      <c r="J41" s="12" t="s">
        <v>292</v>
      </c>
      <c r="K41" s="12">
        <v>60</v>
      </c>
      <c r="L41" s="12" t="s">
        <v>292</v>
      </c>
      <c r="M41" s="10">
        <v>4177944400</v>
      </c>
      <c r="N41" s="10">
        <v>551563</v>
      </c>
      <c r="O41" s="12">
        <v>49</v>
      </c>
    </row>
    <row r="42" spans="1:15" x14ac:dyDescent="0.3">
      <c r="A42" s="9">
        <v>43490</v>
      </c>
      <c r="B42" s="12">
        <v>1</v>
      </c>
      <c r="C42" s="11">
        <v>0</v>
      </c>
      <c r="D42" s="12">
        <v>1</v>
      </c>
      <c r="E42" s="11">
        <v>0</v>
      </c>
      <c r="F42" s="12">
        <v>84</v>
      </c>
      <c r="G42" s="11">
        <v>0</v>
      </c>
      <c r="H42" s="11">
        <v>0.71399999999999997</v>
      </c>
      <c r="I42" s="10">
        <v>300000</v>
      </c>
      <c r="J42" s="12" t="s">
        <v>292</v>
      </c>
      <c r="K42" s="12">
        <v>60</v>
      </c>
      <c r="L42" s="12" t="s">
        <v>292</v>
      </c>
      <c r="M42" s="10">
        <v>4178244400</v>
      </c>
      <c r="N42" s="10">
        <v>551623</v>
      </c>
      <c r="O42" s="12">
        <v>46</v>
      </c>
    </row>
    <row r="43" spans="1:15" x14ac:dyDescent="0.3">
      <c r="A43" s="9">
        <v>43491</v>
      </c>
      <c r="B43" s="12">
        <v>1</v>
      </c>
      <c r="C43" s="11">
        <v>0</v>
      </c>
      <c r="D43" s="12">
        <v>1</v>
      </c>
      <c r="E43" s="11">
        <v>0</v>
      </c>
      <c r="F43" s="12">
        <v>84</v>
      </c>
      <c r="G43" s="11">
        <v>0</v>
      </c>
      <c r="H43" s="11">
        <v>0.71399999999999997</v>
      </c>
      <c r="I43" s="10">
        <v>300000</v>
      </c>
      <c r="J43" s="12" t="s">
        <v>292</v>
      </c>
      <c r="K43" s="12">
        <v>60</v>
      </c>
      <c r="L43" s="12" t="s">
        <v>292</v>
      </c>
      <c r="M43" s="10">
        <v>4178544400</v>
      </c>
      <c r="N43" s="10">
        <v>551683</v>
      </c>
      <c r="O43" s="12">
        <v>53</v>
      </c>
    </row>
    <row r="44" spans="1:15" x14ac:dyDescent="0.3">
      <c r="A44" s="9">
        <v>43492</v>
      </c>
      <c r="B44" s="12">
        <v>1</v>
      </c>
      <c r="C44" s="11">
        <v>0</v>
      </c>
      <c r="D44" s="12">
        <v>1</v>
      </c>
      <c r="E44" s="11">
        <v>0</v>
      </c>
      <c r="F44" s="12">
        <v>84</v>
      </c>
      <c r="G44" s="11">
        <v>0</v>
      </c>
      <c r="H44" s="11">
        <v>0.71399999999999997</v>
      </c>
      <c r="I44" s="10">
        <v>300000</v>
      </c>
      <c r="J44" s="12" t="s">
        <v>292</v>
      </c>
      <c r="K44" s="12">
        <v>60</v>
      </c>
      <c r="L44" s="12" t="s">
        <v>292</v>
      </c>
      <c r="M44" s="10">
        <v>4178844400</v>
      </c>
      <c r="N44" s="10">
        <v>551743</v>
      </c>
      <c r="O44" s="12">
        <v>49</v>
      </c>
    </row>
    <row r="45" spans="1:15" x14ac:dyDescent="0.3">
      <c r="A45" s="9">
        <v>43493</v>
      </c>
      <c r="B45" s="12">
        <v>1</v>
      </c>
      <c r="C45" s="11">
        <v>0</v>
      </c>
      <c r="D45" s="12">
        <v>1</v>
      </c>
      <c r="E45" s="11">
        <v>0</v>
      </c>
      <c r="F45" s="12">
        <v>84</v>
      </c>
      <c r="G45" s="11">
        <v>0</v>
      </c>
      <c r="H45" s="11">
        <v>0.71399999999999997</v>
      </c>
      <c r="I45" s="10">
        <v>300000</v>
      </c>
      <c r="J45" s="12" t="s">
        <v>292</v>
      </c>
      <c r="K45" s="12">
        <v>60</v>
      </c>
      <c r="L45" s="12" t="s">
        <v>292</v>
      </c>
      <c r="M45" s="10">
        <v>4179144400</v>
      </c>
      <c r="N45" s="10">
        <v>551803</v>
      </c>
      <c r="O45" s="12">
        <v>47</v>
      </c>
    </row>
    <row r="46" spans="1:15" ht="27" x14ac:dyDescent="0.3">
      <c r="A46" s="9">
        <v>43494</v>
      </c>
      <c r="B46" s="12">
        <v>2</v>
      </c>
      <c r="C46" s="11">
        <v>0</v>
      </c>
      <c r="D46" s="12">
        <v>2</v>
      </c>
      <c r="E46" s="11">
        <v>0</v>
      </c>
      <c r="F46" s="12">
        <v>272</v>
      </c>
      <c r="G46" s="11">
        <v>0</v>
      </c>
      <c r="H46" s="11">
        <v>0.55100000000000005</v>
      </c>
      <c r="I46" s="10">
        <v>750000</v>
      </c>
      <c r="J46" s="12" t="s">
        <v>2985</v>
      </c>
      <c r="K46" s="12">
        <v>150</v>
      </c>
      <c r="L46" s="12" t="s">
        <v>2986</v>
      </c>
      <c r="M46" s="10">
        <v>4179894400</v>
      </c>
      <c r="N46" s="10">
        <v>551953</v>
      </c>
      <c r="O46" s="12">
        <v>45</v>
      </c>
    </row>
    <row r="47" spans="1:15" ht="27" x14ac:dyDescent="0.3">
      <c r="A47" s="9">
        <v>43509</v>
      </c>
      <c r="B47" s="12">
        <v>1</v>
      </c>
      <c r="C47" s="11">
        <v>0</v>
      </c>
      <c r="D47" s="12">
        <v>1</v>
      </c>
      <c r="E47" s="11">
        <v>0</v>
      </c>
      <c r="F47" s="12">
        <v>306</v>
      </c>
      <c r="G47" s="11">
        <v>0</v>
      </c>
      <c r="H47" s="11">
        <v>1</v>
      </c>
      <c r="I47" s="10">
        <v>2601000</v>
      </c>
      <c r="J47" s="12" t="s">
        <v>2987</v>
      </c>
      <c r="K47" s="12">
        <v>306</v>
      </c>
      <c r="L47" s="12" t="s">
        <v>465</v>
      </c>
      <c r="M47" s="10">
        <v>4182495400</v>
      </c>
      <c r="N47" s="10">
        <v>552259</v>
      </c>
      <c r="O47" s="12">
        <v>28</v>
      </c>
    </row>
    <row r="48" spans="1:15" ht="27" x14ac:dyDescent="0.3">
      <c r="A48" s="9">
        <v>43510</v>
      </c>
      <c r="B48" s="12">
        <v>3</v>
      </c>
      <c r="C48" s="11">
        <v>0</v>
      </c>
      <c r="D48" s="12">
        <v>3</v>
      </c>
      <c r="E48" s="11">
        <v>0</v>
      </c>
      <c r="F48" s="12">
        <v>859</v>
      </c>
      <c r="G48" s="11">
        <v>0</v>
      </c>
      <c r="H48" s="11">
        <v>0.82799999999999996</v>
      </c>
      <c r="I48" s="10">
        <v>6043500</v>
      </c>
      <c r="J48" s="12" t="s">
        <v>2988</v>
      </c>
      <c r="K48" s="12">
        <v>711</v>
      </c>
      <c r="L48" s="12" t="s">
        <v>2989</v>
      </c>
      <c r="M48" s="10">
        <v>4188538900</v>
      </c>
      <c r="N48" s="10">
        <v>552970</v>
      </c>
      <c r="O48" s="12">
        <v>18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89EB-17D8-4F16-A69C-7374CA3E7ED6}">
  <dimension ref="A1:O85"/>
  <sheetViews>
    <sheetView workbookViewId="0">
      <selection activeCell="A5" sqref="A5:O10"/>
    </sheetView>
  </sheetViews>
  <sheetFormatPr defaultRowHeight="16.5" x14ac:dyDescent="0.3"/>
  <sheetData>
    <row r="1" spans="1:15" ht="19.5" x14ac:dyDescent="0.3">
      <c r="A1" s="197" t="s">
        <v>2990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43496</v>
      </c>
      <c r="B5" s="12">
        <v>622</v>
      </c>
      <c r="C5" s="11">
        <v>0.113</v>
      </c>
      <c r="D5" s="10">
        <v>1526</v>
      </c>
      <c r="E5" s="11">
        <v>7.8E-2</v>
      </c>
      <c r="F5" s="10">
        <v>192685</v>
      </c>
      <c r="G5" s="11">
        <v>6.3E-2</v>
      </c>
      <c r="H5" s="11">
        <v>0.253</v>
      </c>
      <c r="I5" s="10">
        <v>352468520</v>
      </c>
      <c r="J5" s="12" t="s">
        <v>2991</v>
      </c>
      <c r="K5" s="10">
        <v>48839</v>
      </c>
      <c r="L5" s="12" t="s">
        <v>2992</v>
      </c>
      <c r="M5" s="10">
        <v>372911520</v>
      </c>
      <c r="N5" s="10">
        <v>51127</v>
      </c>
      <c r="O5" s="12">
        <v>4</v>
      </c>
    </row>
    <row r="6" spans="1:15" ht="40.5" x14ac:dyDescent="0.3">
      <c r="A6" s="9">
        <v>43497</v>
      </c>
      <c r="B6" s="12">
        <v>595</v>
      </c>
      <c r="C6" s="11">
        <v>0.11</v>
      </c>
      <c r="D6" s="10">
        <v>1428</v>
      </c>
      <c r="E6" s="11">
        <v>7.1999999999999995E-2</v>
      </c>
      <c r="F6" s="10">
        <v>180998</v>
      </c>
      <c r="G6" s="11">
        <v>5.8000000000000003E-2</v>
      </c>
      <c r="H6" s="11">
        <v>0.16</v>
      </c>
      <c r="I6" s="10">
        <v>229179520</v>
      </c>
      <c r="J6" s="12" t="s">
        <v>2993</v>
      </c>
      <c r="K6" s="10">
        <v>28939</v>
      </c>
      <c r="L6" s="12" t="s">
        <v>2994</v>
      </c>
      <c r="M6" s="10">
        <v>602091040</v>
      </c>
      <c r="N6" s="10">
        <v>80066</v>
      </c>
      <c r="O6" s="12">
        <v>4</v>
      </c>
    </row>
    <row r="7" spans="1:15" ht="27" x14ac:dyDescent="0.3">
      <c r="A7" s="9">
        <v>43498</v>
      </c>
      <c r="B7" s="12">
        <v>731</v>
      </c>
      <c r="C7" s="11">
        <v>0.128</v>
      </c>
      <c r="D7" s="10">
        <v>1814</v>
      </c>
      <c r="E7" s="11">
        <v>8.6999999999999994E-2</v>
      </c>
      <c r="F7" s="10">
        <v>234368</v>
      </c>
      <c r="G7" s="11">
        <v>7.1999999999999995E-2</v>
      </c>
      <c r="H7" s="11">
        <v>0.57599999999999996</v>
      </c>
      <c r="I7" s="10">
        <v>1056856870</v>
      </c>
      <c r="J7" s="12" t="s">
        <v>2995</v>
      </c>
      <c r="K7" s="10">
        <v>134911</v>
      </c>
      <c r="L7" s="12" t="s">
        <v>2996</v>
      </c>
      <c r="M7" s="10">
        <v>1658947910</v>
      </c>
      <c r="N7" s="10">
        <v>214977</v>
      </c>
      <c r="O7" s="12">
        <v>4</v>
      </c>
    </row>
    <row r="8" spans="1:15" ht="40.5" x14ac:dyDescent="0.3">
      <c r="A8" s="9">
        <v>43499</v>
      </c>
      <c r="B8" s="12">
        <v>752</v>
      </c>
      <c r="C8" s="11">
        <v>0.13100000000000001</v>
      </c>
      <c r="D8" s="10">
        <v>1875</v>
      </c>
      <c r="E8" s="11">
        <v>8.8999999999999996E-2</v>
      </c>
      <c r="F8" s="10">
        <v>240800</v>
      </c>
      <c r="G8" s="11">
        <v>7.3999999999999996E-2</v>
      </c>
      <c r="H8" s="11">
        <v>0.39300000000000002</v>
      </c>
      <c r="I8" s="10">
        <v>752127310</v>
      </c>
      <c r="J8" s="12" t="s">
        <v>2997</v>
      </c>
      <c r="K8" s="10">
        <v>94623</v>
      </c>
      <c r="L8" s="12" t="s">
        <v>2998</v>
      </c>
      <c r="M8" s="10">
        <v>2411075220</v>
      </c>
      <c r="N8" s="10">
        <v>309600</v>
      </c>
      <c r="O8" s="12">
        <v>4</v>
      </c>
    </row>
    <row r="9" spans="1:15" ht="40.5" x14ac:dyDescent="0.3">
      <c r="A9" s="9">
        <v>43500</v>
      </c>
      <c r="B9" s="12">
        <v>690</v>
      </c>
      <c r="C9" s="11">
        <v>0.123</v>
      </c>
      <c r="D9" s="10">
        <v>1700</v>
      </c>
      <c r="E9" s="11">
        <v>8.2000000000000003E-2</v>
      </c>
      <c r="F9" s="10">
        <v>219052</v>
      </c>
      <c r="G9" s="11">
        <v>6.7000000000000004E-2</v>
      </c>
      <c r="H9" s="11">
        <v>0.23200000000000001</v>
      </c>
      <c r="I9" s="10">
        <v>405537860</v>
      </c>
      <c r="J9" s="12" t="s">
        <v>2999</v>
      </c>
      <c r="K9" s="10">
        <v>50787</v>
      </c>
      <c r="L9" s="12" t="s">
        <v>3000</v>
      </c>
      <c r="M9" s="10">
        <v>2816613080</v>
      </c>
      <c r="N9" s="10">
        <v>360387</v>
      </c>
      <c r="O9" s="12">
        <v>4</v>
      </c>
    </row>
    <row r="10" spans="1:15" ht="40.5" x14ac:dyDescent="0.3">
      <c r="A10" s="9">
        <v>43501</v>
      </c>
      <c r="B10" s="12">
        <v>542</v>
      </c>
      <c r="C10" s="11">
        <v>9.7000000000000003E-2</v>
      </c>
      <c r="D10" s="10">
        <v>1139</v>
      </c>
      <c r="E10" s="11">
        <v>5.5E-2</v>
      </c>
      <c r="F10" s="10">
        <v>143244</v>
      </c>
      <c r="G10" s="11">
        <v>4.4999999999999998E-2</v>
      </c>
      <c r="H10" s="11">
        <v>0.17799999999999999</v>
      </c>
      <c r="I10" s="10">
        <v>211964660</v>
      </c>
      <c r="J10" s="12" t="s">
        <v>3001</v>
      </c>
      <c r="K10" s="10">
        <v>25536</v>
      </c>
      <c r="L10" s="12" t="s">
        <v>3002</v>
      </c>
      <c r="M10" s="10">
        <v>3028577740</v>
      </c>
      <c r="N10" s="10">
        <v>385923</v>
      </c>
      <c r="O10" s="12">
        <v>5</v>
      </c>
    </row>
    <row r="11" spans="1:15" ht="27" x14ac:dyDescent="0.3">
      <c r="A11" s="9">
        <v>43502</v>
      </c>
      <c r="B11" s="12">
        <v>543</v>
      </c>
      <c r="C11" s="11">
        <v>8.8999999999999996E-2</v>
      </c>
      <c r="D11" s="10">
        <v>1037</v>
      </c>
      <c r="E11" s="11">
        <v>5.0999999999999997E-2</v>
      </c>
      <c r="F11" s="10">
        <v>129656</v>
      </c>
      <c r="G11" s="11">
        <v>4.1000000000000002E-2</v>
      </c>
      <c r="H11" s="11">
        <v>0.41899999999999998</v>
      </c>
      <c r="I11" s="10">
        <v>435079500</v>
      </c>
      <c r="J11" s="12" t="s">
        <v>3003</v>
      </c>
      <c r="K11" s="10">
        <v>54313</v>
      </c>
      <c r="L11" s="12" t="s">
        <v>3004</v>
      </c>
      <c r="M11" s="10">
        <v>3463657240</v>
      </c>
      <c r="N11" s="10">
        <v>440236</v>
      </c>
      <c r="O11" s="12">
        <v>5</v>
      </c>
    </row>
    <row r="12" spans="1:15" ht="40.5" x14ac:dyDescent="0.3">
      <c r="A12" s="9">
        <v>43503</v>
      </c>
      <c r="B12" s="12">
        <v>398</v>
      </c>
      <c r="C12" s="11">
        <v>6.8000000000000005E-2</v>
      </c>
      <c r="D12" s="12">
        <v>618</v>
      </c>
      <c r="E12" s="11">
        <v>3.2000000000000001E-2</v>
      </c>
      <c r="F12" s="10">
        <v>75158</v>
      </c>
      <c r="G12" s="11">
        <v>2.5000000000000001E-2</v>
      </c>
      <c r="H12" s="11">
        <v>0.114</v>
      </c>
      <c r="I12" s="10">
        <v>61903910</v>
      </c>
      <c r="J12" s="12" t="s">
        <v>3005</v>
      </c>
      <c r="K12" s="10">
        <v>8591</v>
      </c>
      <c r="L12" s="12" t="s">
        <v>3006</v>
      </c>
      <c r="M12" s="10">
        <v>3525561150</v>
      </c>
      <c r="N12" s="10">
        <v>448827</v>
      </c>
      <c r="O12" s="12">
        <v>5</v>
      </c>
    </row>
    <row r="13" spans="1:15" ht="27" x14ac:dyDescent="0.3">
      <c r="A13" s="9">
        <v>43504</v>
      </c>
      <c r="B13" s="12">
        <v>393</v>
      </c>
      <c r="C13" s="11">
        <v>6.7000000000000004E-2</v>
      </c>
      <c r="D13" s="12">
        <v>584</v>
      </c>
      <c r="E13" s="11">
        <v>0.03</v>
      </c>
      <c r="F13" s="10">
        <v>70079</v>
      </c>
      <c r="G13" s="11">
        <v>2.3E-2</v>
      </c>
      <c r="H13" s="11">
        <v>0.107</v>
      </c>
      <c r="I13" s="10">
        <v>56243330</v>
      </c>
      <c r="J13" s="12" t="s">
        <v>3007</v>
      </c>
      <c r="K13" s="10">
        <v>7492</v>
      </c>
      <c r="L13" s="12" t="s">
        <v>3008</v>
      </c>
      <c r="M13" s="10">
        <v>3581804480</v>
      </c>
      <c r="N13" s="10">
        <v>456319</v>
      </c>
      <c r="O13" s="12">
        <v>5</v>
      </c>
    </row>
    <row r="14" spans="1:15" ht="27" x14ac:dyDescent="0.3">
      <c r="A14" s="9">
        <v>43505</v>
      </c>
      <c r="B14" s="12">
        <v>447</v>
      </c>
      <c r="C14" s="11">
        <v>7.3999999999999996E-2</v>
      </c>
      <c r="D14" s="12">
        <v>669</v>
      </c>
      <c r="E14" s="11">
        <v>3.3000000000000002E-2</v>
      </c>
      <c r="F14" s="10">
        <v>78297</v>
      </c>
      <c r="G14" s="11">
        <v>2.5000000000000001E-2</v>
      </c>
      <c r="H14" s="11">
        <v>0.42799999999999999</v>
      </c>
      <c r="I14" s="10">
        <v>261617730</v>
      </c>
      <c r="J14" s="12" t="s">
        <v>3009</v>
      </c>
      <c r="K14" s="10">
        <v>33522</v>
      </c>
      <c r="L14" s="12" t="s">
        <v>3010</v>
      </c>
      <c r="M14" s="10">
        <v>3843422210</v>
      </c>
      <c r="N14" s="10">
        <v>489841</v>
      </c>
      <c r="O14" s="12">
        <v>5</v>
      </c>
    </row>
    <row r="15" spans="1:15" ht="27" x14ac:dyDescent="0.3">
      <c r="A15" s="9">
        <v>43506</v>
      </c>
      <c r="B15" s="12">
        <v>464</v>
      </c>
      <c r="C15" s="11">
        <v>7.8E-2</v>
      </c>
      <c r="D15" s="12">
        <v>686</v>
      </c>
      <c r="E15" s="11">
        <v>3.5000000000000003E-2</v>
      </c>
      <c r="F15" s="10">
        <v>80853</v>
      </c>
      <c r="G15" s="11">
        <v>2.5999999999999999E-2</v>
      </c>
      <c r="H15" s="11">
        <v>0.41299999999999998</v>
      </c>
      <c r="I15" s="10">
        <v>261889890</v>
      </c>
      <c r="J15" s="12" t="s">
        <v>3011</v>
      </c>
      <c r="K15" s="10">
        <v>33390</v>
      </c>
      <c r="L15" s="12" t="s">
        <v>3012</v>
      </c>
      <c r="M15" s="10">
        <v>4105312100</v>
      </c>
      <c r="N15" s="10">
        <v>523231</v>
      </c>
      <c r="O15" s="12">
        <v>5</v>
      </c>
    </row>
    <row r="16" spans="1:15" ht="40.5" x14ac:dyDescent="0.3">
      <c r="A16" s="9">
        <v>43507</v>
      </c>
      <c r="B16" s="12">
        <v>320</v>
      </c>
      <c r="C16" s="11">
        <v>0.06</v>
      </c>
      <c r="D16" s="12">
        <v>426</v>
      </c>
      <c r="E16" s="11">
        <v>2.3E-2</v>
      </c>
      <c r="F16" s="10">
        <v>50106</v>
      </c>
      <c r="G16" s="11">
        <v>1.7000000000000001E-2</v>
      </c>
      <c r="H16" s="11">
        <v>6.8000000000000005E-2</v>
      </c>
      <c r="I16" s="10">
        <v>23794260</v>
      </c>
      <c r="J16" s="12" t="s">
        <v>3013</v>
      </c>
      <c r="K16" s="10">
        <v>3425</v>
      </c>
      <c r="L16" s="12" t="s">
        <v>3014</v>
      </c>
      <c r="M16" s="10">
        <v>4129106360</v>
      </c>
      <c r="N16" s="10">
        <v>526656</v>
      </c>
      <c r="O16" s="12">
        <v>5</v>
      </c>
    </row>
    <row r="17" spans="1:15" ht="27" x14ac:dyDescent="0.3">
      <c r="A17" s="9">
        <v>43508</v>
      </c>
      <c r="B17" s="12">
        <v>342</v>
      </c>
      <c r="C17" s="11">
        <v>6.0999999999999999E-2</v>
      </c>
      <c r="D17" s="12">
        <v>460</v>
      </c>
      <c r="E17" s="11">
        <v>2.5000000000000001E-2</v>
      </c>
      <c r="F17" s="10">
        <v>54211</v>
      </c>
      <c r="G17" s="11">
        <v>1.9E-2</v>
      </c>
      <c r="H17" s="11">
        <v>8.7999999999999995E-2</v>
      </c>
      <c r="I17" s="10">
        <v>30791010</v>
      </c>
      <c r="J17" s="12" t="s">
        <v>3015</v>
      </c>
      <c r="K17" s="10">
        <v>4752</v>
      </c>
      <c r="L17" s="12" t="s">
        <v>3016</v>
      </c>
      <c r="M17" s="10">
        <v>4159897370</v>
      </c>
      <c r="N17" s="10">
        <v>531408</v>
      </c>
      <c r="O17" s="12">
        <v>5</v>
      </c>
    </row>
    <row r="18" spans="1:15" ht="27" x14ac:dyDescent="0.3">
      <c r="A18" s="9">
        <v>43509</v>
      </c>
      <c r="B18" s="12">
        <v>168</v>
      </c>
      <c r="C18" s="11">
        <v>3.2000000000000001E-2</v>
      </c>
      <c r="D18" s="12">
        <v>211</v>
      </c>
      <c r="E18" s="11">
        <v>1.0999999999999999E-2</v>
      </c>
      <c r="F18" s="10">
        <v>24138</v>
      </c>
      <c r="G18" s="11">
        <v>8.0000000000000002E-3</v>
      </c>
      <c r="H18" s="11">
        <v>0.13600000000000001</v>
      </c>
      <c r="I18" s="10">
        <v>20507060</v>
      </c>
      <c r="J18" s="12" t="s">
        <v>3017</v>
      </c>
      <c r="K18" s="10">
        <v>3272</v>
      </c>
      <c r="L18" s="12" t="s">
        <v>3018</v>
      </c>
      <c r="M18" s="10">
        <v>4180404430</v>
      </c>
      <c r="N18" s="10">
        <v>534680</v>
      </c>
      <c r="O18" s="12">
        <v>7</v>
      </c>
    </row>
    <row r="19" spans="1:15" ht="27" x14ac:dyDescent="0.3">
      <c r="A19" s="9">
        <v>43510</v>
      </c>
      <c r="B19" s="12">
        <v>110</v>
      </c>
      <c r="C19" s="11">
        <v>1.7999999999999999E-2</v>
      </c>
      <c r="D19" s="12">
        <v>128</v>
      </c>
      <c r="E19" s="11">
        <v>7.0000000000000001E-3</v>
      </c>
      <c r="F19" s="10">
        <v>14840</v>
      </c>
      <c r="G19" s="11">
        <v>5.0000000000000001E-3</v>
      </c>
      <c r="H19" s="11">
        <v>0.13100000000000001</v>
      </c>
      <c r="I19" s="10">
        <v>12339360</v>
      </c>
      <c r="J19" s="12" t="s">
        <v>3019</v>
      </c>
      <c r="K19" s="10">
        <v>1950</v>
      </c>
      <c r="L19" s="12" t="s">
        <v>3020</v>
      </c>
      <c r="M19" s="10">
        <v>4192743790</v>
      </c>
      <c r="N19" s="10">
        <v>536630</v>
      </c>
      <c r="O19" s="12">
        <v>14</v>
      </c>
    </row>
    <row r="20" spans="1:15" ht="27" x14ac:dyDescent="0.3">
      <c r="A20" s="9">
        <v>43511</v>
      </c>
      <c r="B20" s="12">
        <v>104</v>
      </c>
      <c r="C20" s="11">
        <v>1.7000000000000001E-2</v>
      </c>
      <c r="D20" s="12">
        <v>123</v>
      </c>
      <c r="E20" s="11">
        <v>6.0000000000000001E-3</v>
      </c>
      <c r="F20" s="10">
        <v>13506</v>
      </c>
      <c r="G20" s="11">
        <v>4.0000000000000001E-3</v>
      </c>
      <c r="H20" s="11">
        <v>0.187</v>
      </c>
      <c r="I20" s="10">
        <v>16666700</v>
      </c>
      <c r="J20" s="12" t="s">
        <v>3021</v>
      </c>
      <c r="K20" s="10">
        <v>2527</v>
      </c>
      <c r="L20" s="12" t="s">
        <v>3022</v>
      </c>
      <c r="M20" s="10">
        <v>4209410490</v>
      </c>
      <c r="N20" s="10">
        <v>539157</v>
      </c>
      <c r="O20" s="12">
        <v>12</v>
      </c>
    </row>
    <row r="21" spans="1:15" ht="27" x14ac:dyDescent="0.3">
      <c r="A21" s="9">
        <v>43512</v>
      </c>
      <c r="B21" s="12">
        <v>165</v>
      </c>
      <c r="C21" s="11">
        <v>2.5000000000000001E-2</v>
      </c>
      <c r="D21" s="12">
        <v>213</v>
      </c>
      <c r="E21" s="11">
        <v>1.0999999999999999E-2</v>
      </c>
      <c r="F21" s="10">
        <v>24451</v>
      </c>
      <c r="G21" s="11">
        <v>8.0000000000000002E-3</v>
      </c>
      <c r="H21" s="11">
        <v>0.35599999999999998</v>
      </c>
      <c r="I21" s="10">
        <v>68805630</v>
      </c>
      <c r="J21" s="12" t="s">
        <v>3023</v>
      </c>
      <c r="K21" s="10">
        <v>8716</v>
      </c>
      <c r="L21" s="12" t="s">
        <v>3024</v>
      </c>
      <c r="M21" s="10">
        <v>4278216120</v>
      </c>
      <c r="N21" s="10">
        <v>547873</v>
      </c>
      <c r="O21" s="12">
        <v>9</v>
      </c>
    </row>
    <row r="22" spans="1:15" ht="27" x14ac:dyDescent="0.3">
      <c r="A22" s="9">
        <v>43513</v>
      </c>
      <c r="B22" s="12">
        <v>174</v>
      </c>
      <c r="C22" s="11">
        <v>2.5999999999999999E-2</v>
      </c>
      <c r="D22" s="12">
        <v>225</v>
      </c>
      <c r="E22" s="11">
        <v>1.0999999999999999E-2</v>
      </c>
      <c r="F22" s="10">
        <v>26878</v>
      </c>
      <c r="G22" s="11">
        <v>8.9999999999999993E-3</v>
      </c>
      <c r="H22" s="11">
        <v>0.38200000000000001</v>
      </c>
      <c r="I22" s="10">
        <v>82260200</v>
      </c>
      <c r="J22" s="12" t="s">
        <v>3025</v>
      </c>
      <c r="K22" s="10">
        <v>10271</v>
      </c>
      <c r="L22" s="12" t="s">
        <v>3026</v>
      </c>
      <c r="M22" s="10">
        <v>4360476320</v>
      </c>
      <c r="N22" s="10">
        <v>558144</v>
      </c>
      <c r="O22" s="12">
        <v>9</v>
      </c>
    </row>
    <row r="23" spans="1:15" ht="27" x14ac:dyDescent="0.3">
      <c r="A23" s="9">
        <v>43514</v>
      </c>
      <c r="B23" s="12">
        <v>103</v>
      </c>
      <c r="C23" s="11">
        <v>1.7000000000000001E-2</v>
      </c>
      <c r="D23" s="12">
        <v>118</v>
      </c>
      <c r="E23" s="11">
        <v>6.0000000000000001E-3</v>
      </c>
      <c r="F23" s="10">
        <v>14124</v>
      </c>
      <c r="G23" s="11">
        <v>5.0000000000000001E-3</v>
      </c>
      <c r="H23" s="11">
        <v>0.10100000000000001</v>
      </c>
      <c r="I23" s="10">
        <v>9440500</v>
      </c>
      <c r="J23" s="12" t="s">
        <v>3027</v>
      </c>
      <c r="K23" s="10">
        <v>1430</v>
      </c>
      <c r="L23" s="12" t="s">
        <v>3028</v>
      </c>
      <c r="M23" s="10">
        <v>4369916820</v>
      </c>
      <c r="N23" s="10">
        <v>559574</v>
      </c>
      <c r="O23" s="12">
        <v>15</v>
      </c>
    </row>
    <row r="24" spans="1:15" ht="27" x14ac:dyDescent="0.3">
      <c r="A24" s="9">
        <v>43515</v>
      </c>
      <c r="B24" s="12">
        <v>106</v>
      </c>
      <c r="C24" s="11">
        <v>1.7000000000000001E-2</v>
      </c>
      <c r="D24" s="12">
        <v>127</v>
      </c>
      <c r="E24" s="11">
        <v>7.0000000000000001E-3</v>
      </c>
      <c r="F24" s="10">
        <v>15102</v>
      </c>
      <c r="G24" s="11">
        <v>5.0000000000000001E-3</v>
      </c>
      <c r="H24" s="11">
        <v>9.2999999999999999E-2</v>
      </c>
      <c r="I24" s="10">
        <v>9178750</v>
      </c>
      <c r="J24" s="12" t="s">
        <v>3029</v>
      </c>
      <c r="K24" s="10">
        <v>1397</v>
      </c>
      <c r="L24" s="12" t="s">
        <v>3030</v>
      </c>
      <c r="M24" s="10">
        <v>4379095570</v>
      </c>
      <c r="N24" s="10">
        <v>560971</v>
      </c>
      <c r="O24" s="12">
        <v>17</v>
      </c>
    </row>
    <row r="25" spans="1:15" ht="27" x14ac:dyDescent="0.3">
      <c r="A25" s="9">
        <v>43516</v>
      </c>
      <c r="B25" s="12">
        <v>44</v>
      </c>
      <c r="C25" s="11">
        <v>7.0000000000000001E-3</v>
      </c>
      <c r="D25" s="12">
        <v>51</v>
      </c>
      <c r="E25" s="11">
        <v>3.0000000000000001E-3</v>
      </c>
      <c r="F25" s="10">
        <v>5652</v>
      </c>
      <c r="G25" s="11">
        <v>2E-3</v>
      </c>
      <c r="H25" s="11">
        <v>0.14899999999999999</v>
      </c>
      <c r="I25" s="10">
        <v>5524300</v>
      </c>
      <c r="J25" s="12" t="s">
        <v>3031</v>
      </c>
      <c r="K25" s="12">
        <v>844</v>
      </c>
      <c r="L25" s="12" t="s">
        <v>3032</v>
      </c>
      <c r="M25" s="10">
        <v>4384619870</v>
      </c>
      <c r="N25" s="10">
        <v>561815</v>
      </c>
      <c r="O25" s="12">
        <v>18</v>
      </c>
    </row>
    <row r="26" spans="1:15" ht="27" x14ac:dyDescent="0.3">
      <c r="A26" s="9">
        <v>43517</v>
      </c>
      <c r="B26" s="12">
        <v>44</v>
      </c>
      <c r="C26" s="11">
        <v>7.0000000000000001E-3</v>
      </c>
      <c r="D26" s="12">
        <v>50</v>
      </c>
      <c r="E26" s="11">
        <v>3.0000000000000001E-3</v>
      </c>
      <c r="F26" s="10">
        <v>5728</v>
      </c>
      <c r="G26" s="11">
        <v>2E-3</v>
      </c>
      <c r="H26" s="11">
        <v>0.17399999999999999</v>
      </c>
      <c r="I26" s="10">
        <v>6613880</v>
      </c>
      <c r="J26" s="12" t="s">
        <v>3033</v>
      </c>
      <c r="K26" s="12">
        <v>997</v>
      </c>
      <c r="L26" s="12" t="s">
        <v>3034</v>
      </c>
      <c r="M26" s="10">
        <v>4391233750</v>
      </c>
      <c r="N26" s="10">
        <v>562812</v>
      </c>
      <c r="O26" s="12">
        <v>21</v>
      </c>
    </row>
    <row r="27" spans="1:15" ht="27" x14ac:dyDescent="0.3">
      <c r="A27" s="9">
        <v>43518</v>
      </c>
      <c r="B27" s="12">
        <v>52</v>
      </c>
      <c r="C27" s="11">
        <v>8.0000000000000002E-3</v>
      </c>
      <c r="D27" s="12">
        <v>61</v>
      </c>
      <c r="E27" s="11">
        <v>3.0000000000000001E-3</v>
      </c>
      <c r="F27" s="10">
        <v>7444</v>
      </c>
      <c r="G27" s="11">
        <v>3.0000000000000001E-3</v>
      </c>
      <c r="H27" s="11">
        <v>0.157</v>
      </c>
      <c r="I27" s="10">
        <v>8905200</v>
      </c>
      <c r="J27" s="12" t="s">
        <v>3035</v>
      </c>
      <c r="K27" s="10">
        <v>1167</v>
      </c>
      <c r="L27" s="12" t="s">
        <v>3036</v>
      </c>
      <c r="M27" s="10">
        <v>4400138950</v>
      </c>
      <c r="N27" s="10">
        <v>563979</v>
      </c>
      <c r="O27" s="12">
        <v>18</v>
      </c>
    </row>
    <row r="28" spans="1:15" ht="27" x14ac:dyDescent="0.3">
      <c r="A28" s="9">
        <v>43519</v>
      </c>
      <c r="B28" s="12">
        <v>74</v>
      </c>
      <c r="C28" s="11">
        <v>1.0999999999999999E-2</v>
      </c>
      <c r="D28" s="12">
        <v>93</v>
      </c>
      <c r="E28" s="11">
        <v>5.0000000000000001E-3</v>
      </c>
      <c r="F28" s="10">
        <v>11242</v>
      </c>
      <c r="G28" s="11">
        <v>4.0000000000000001E-3</v>
      </c>
      <c r="H28" s="11">
        <v>0.22800000000000001</v>
      </c>
      <c r="I28" s="10">
        <v>20430380</v>
      </c>
      <c r="J28" s="12" t="s">
        <v>3037</v>
      </c>
      <c r="K28" s="10">
        <v>2562</v>
      </c>
      <c r="L28" s="12" t="s">
        <v>3038</v>
      </c>
      <c r="M28" s="10">
        <v>4420569330</v>
      </c>
      <c r="N28" s="10">
        <v>566541</v>
      </c>
      <c r="O28" s="12">
        <v>16</v>
      </c>
    </row>
    <row r="29" spans="1:15" ht="27" x14ac:dyDescent="0.3">
      <c r="A29" s="9">
        <v>43520</v>
      </c>
      <c r="B29" s="12">
        <v>71</v>
      </c>
      <c r="C29" s="11">
        <v>0.01</v>
      </c>
      <c r="D29" s="12">
        <v>91</v>
      </c>
      <c r="E29" s="11">
        <v>5.0000000000000001E-3</v>
      </c>
      <c r="F29" s="10">
        <v>10999</v>
      </c>
      <c r="G29" s="11">
        <v>4.0000000000000001E-3</v>
      </c>
      <c r="H29" s="11">
        <v>0.22700000000000001</v>
      </c>
      <c r="I29" s="10">
        <v>20146700</v>
      </c>
      <c r="J29" s="12" t="s">
        <v>3039</v>
      </c>
      <c r="K29" s="10">
        <v>2499</v>
      </c>
      <c r="L29" s="12" t="s">
        <v>3040</v>
      </c>
      <c r="M29" s="10">
        <v>4440716030</v>
      </c>
      <c r="N29" s="10">
        <v>569040</v>
      </c>
      <c r="O29" s="12">
        <v>15</v>
      </c>
    </row>
    <row r="30" spans="1:15" ht="27" x14ac:dyDescent="0.3">
      <c r="A30" s="9">
        <v>43521</v>
      </c>
      <c r="B30" s="12">
        <v>47</v>
      </c>
      <c r="C30" s="11">
        <v>8.0000000000000002E-3</v>
      </c>
      <c r="D30" s="12">
        <v>61</v>
      </c>
      <c r="E30" s="11">
        <v>3.0000000000000001E-3</v>
      </c>
      <c r="F30" s="10">
        <v>7326</v>
      </c>
      <c r="G30" s="11">
        <v>3.0000000000000001E-3</v>
      </c>
      <c r="H30" s="11">
        <v>0.16700000000000001</v>
      </c>
      <c r="I30" s="10">
        <v>8614960</v>
      </c>
      <c r="J30" s="12" t="s">
        <v>3041</v>
      </c>
      <c r="K30" s="10">
        <v>1222</v>
      </c>
      <c r="L30" s="12" t="s">
        <v>3042</v>
      </c>
      <c r="M30" s="10">
        <v>4449330990</v>
      </c>
      <c r="N30" s="10">
        <v>570262</v>
      </c>
      <c r="O30" s="12">
        <v>17</v>
      </c>
    </row>
    <row r="31" spans="1:15" ht="27" x14ac:dyDescent="0.3">
      <c r="A31" s="9">
        <v>43522</v>
      </c>
      <c r="B31" s="12">
        <v>47</v>
      </c>
      <c r="C31" s="11">
        <v>7.0000000000000001E-3</v>
      </c>
      <c r="D31" s="12">
        <v>59</v>
      </c>
      <c r="E31" s="11">
        <v>3.0000000000000001E-3</v>
      </c>
      <c r="F31" s="10">
        <v>7261</v>
      </c>
      <c r="G31" s="11">
        <v>3.0000000000000001E-3</v>
      </c>
      <c r="H31" s="11">
        <v>0.186</v>
      </c>
      <c r="I31" s="10">
        <v>9400000</v>
      </c>
      <c r="J31" s="12" t="s">
        <v>3043</v>
      </c>
      <c r="K31" s="10">
        <v>1354</v>
      </c>
      <c r="L31" s="12" t="s">
        <v>3044</v>
      </c>
      <c r="M31" s="10">
        <v>4458730990</v>
      </c>
      <c r="N31" s="10">
        <v>571616</v>
      </c>
      <c r="O31" s="12">
        <v>19</v>
      </c>
    </row>
    <row r="32" spans="1:15" ht="27" x14ac:dyDescent="0.3">
      <c r="A32" s="9">
        <v>43523</v>
      </c>
      <c r="B32" s="12">
        <v>12</v>
      </c>
      <c r="C32" s="11">
        <v>2E-3</v>
      </c>
      <c r="D32" s="12">
        <v>13</v>
      </c>
      <c r="E32" s="11">
        <v>1E-3</v>
      </c>
      <c r="F32" s="10">
        <v>1521</v>
      </c>
      <c r="G32" s="11">
        <v>1E-3</v>
      </c>
      <c r="H32" s="11">
        <v>0.17599999999999999</v>
      </c>
      <c r="I32" s="10">
        <v>1846200</v>
      </c>
      <c r="J32" s="12" t="s">
        <v>3045</v>
      </c>
      <c r="K32" s="12">
        <v>268</v>
      </c>
      <c r="L32" s="12" t="s">
        <v>3046</v>
      </c>
      <c r="M32" s="10">
        <v>4460577190</v>
      </c>
      <c r="N32" s="10">
        <v>571884</v>
      </c>
      <c r="O32" s="12">
        <v>36</v>
      </c>
    </row>
    <row r="33" spans="1:15" ht="27" x14ac:dyDescent="0.3">
      <c r="A33" s="9">
        <v>43524</v>
      </c>
      <c r="B33" s="12">
        <v>14</v>
      </c>
      <c r="C33" s="11">
        <v>2E-3</v>
      </c>
      <c r="D33" s="12">
        <v>15</v>
      </c>
      <c r="E33" s="11">
        <v>1E-3</v>
      </c>
      <c r="F33" s="10">
        <v>1642</v>
      </c>
      <c r="G33" s="11">
        <v>1E-3</v>
      </c>
      <c r="H33" s="11">
        <v>0.23599999999999999</v>
      </c>
      <c r="I33" s="10">
        <v>2716360</v>
      </c>
      <c r="J33" s="12" t="s">
        <v>3047</v>
      </c>
      <c r="K33" s="12">
        <v>388</v>
      </c>
      <c r="L33" s="12" t="s">
        <v>3048</v>
      </c>
      <c r="M33" s="10">
        <v>4463293550</v>
      </c>
      <c r="N33" s="10">
        <v>572272</v>
      </c>
      <c r="O33" s="12">
        <v>32</v>
      </c>
    </row>
    <row r="34" spans="1:15" ht="27" x14ac:dyDescent="0.3">
      <c r="A34" s="9">
        <v>43525</v>
      </c>
      <c r="B34" s="12">
        <v>16</v>
      </c>
      <c r="C34" s="11">
        <v>2E-3</v>
      </c>
      <c r="D34" s="12">
        <v>19</v>
      </c>
      <c r="E34" s="11">
        <v>1E-3</v>
      </c>
      <c r="F34" s="10">
        <v>1632</v>
      </c>
      <c r="G34" s="11">
        <v>1E-3</v>
      </c>
      <c r="H34" s="11">
        <v>0.34899999999999998</v>
      </c>
      <c r="I34" s="10">
        <v>4403800</v>
      </c>
      <c r="J34" s="12" t="s">
        <v>3049</v>
      </c>
      <c r="K34" s="12">
        <v>569</v>
      </c>
      <c r="L34" s="12" t="s">
        <v>3050</v>
      </c>
      <c r="M34" s="10">
        <v>4467697350</v>
      </c>
      <c r="N34" s="10">
        <v>572841</v>
      </c>
      <c r="O34" s="12">
        <v>26</v>
      </c>
    </row>
    <row r="35" spans="1:15" ht="27" x14ac:dyDescent="0.3">
      <c r="A35" s="9">
        <v>43526</v>
      </c>
      <c r="B35" s="12">
        <v>19</v>
      </c>
      <c r="C35" s="11">
        <v>3.0000000000000001E-3</v>
      </c>
      <c r="D35" s="12">
        <v>23</v>
      </c>
      <c r="E35" s="11">
        <v>1E-3</v>
      </c>
      <c r="F35" s="10">
        <v>2301</v>
      </c>
      <c r="G35" s="11">
        <v>1E-3</v>
      </c>
      <c r="H35" s="11">
        <v>0.219</v>
      </c>
      <c r="I35" s="10">
        <v>3795410</v>
      </c>
      <c r="J35" s="12" t="s">
        <v>3051</v>
      </c>
      <c r="K35" s="12">
        <v>504</v>
      </c>
      <c r="L35" s="12" t="s">
        <v>3052</v>
      </c>
      <c r="M35" s="10">
        <v>4471492760</v>
      </c>
      <c r="N35" s="10">
        <v>573345</v>
      </c>
      <c r="O35" s="12">
        <v>28</v>
      </c>
    </row>
    <row r="36" spans="1:15" ht="27" x14ac:dyDescent="0.3">
      <c r="A36" s="9">
        <v>43527</v>
      </c>
      <c r="B36" s="12">
        <v>18</v>
      </c>
      <c r="C36" s="11">
        <v>2E-3</v>
      </c>
      <c r="D36" s="12">
        <v>21</v>
      </c>
      <c r="E36" s="11">
        <v>1E-3</v>
      </c>
      <c r="F36" s="10">
        <v>2112</v>
      </c>
      <c r="G36" s="11">
        <v>1E-3</v>
      </c>
      <c r="H36" s="11">
        <v>0.20499999999999999</v>
      </c>
      <c r="I36" s="10">
        <v>3330300</v>
      </c>
      <c r="J36" s="12" t="s">
        <v>3053</v>
      </c>
      <c r="K36" s="12">
        <v>433</v>
      </c>
      <c r="L36" s="12" t="s">
        <v>3054</v>
      </c>
      <c r="M36" s="10">
        <v>4474823060</v>
      </c>
      <c r="N36" s="10">
        <v>573778</v>
      </c>
      <c r="O36" s="12">
        <v>27</v>
      </c>
    </row>
    <row r="37" spans="1:15" ht="27" x14ac:dyDescent="0.3">
      <c r="A37" s="9">
        <v>43528</v>
      </c>
      <c r="B37" s="12">
        <v>9</v>
      </c>
      <c r="C37" s="11">
        <v>2E-3</v>
      </c>
      <c r="D37" s="12">
        <v>11</v>
      </c>
      <c r="E37" s="11">
        <v>1E-3</v>
      </c>
      <c r="F37" s="12">
        <v>915</v>
      </c>
      <c r="G37" s="11">
        <v>0</v>
      </c>
      <c r="H37" s="11">
        <v>9.1999999999999998E-2</v>
      </c>
      <c r="I37" s="10">
        <v>576400</v>
      </c>
      <c r="J37" s="12" t="s">
        <v>3055</v>
      </c>
      <c r="K37" s="12">
        <v>84</v>
      </c>
      <c r="L37" s="12" t="s">
        <v>3056</v>
      </c>
      <c r="M37" s="10">
        <v>4475399460</v>
      </c>
      <c r="N37" s="10">
        <v>573862</v>
      </c>
      <c r="O37" s="12">
        <v>41</v>
      </c>
    </row>
    <row r="38" spans="1:15" ht="27" x14ac:dyDescent="0.3">
      <c r="A38" s="9">
        <v>43529</v>
      </c>
      <c r="B38" s="12">
        <v>5</v>
      </c>
      <c r="C38" s="11">
        <v>1E-3</v>
      </c>
      <c r="D38" s="12">
        <v>7</v>
      </c>
      <c r="E38" s="11">
        <v>0</v>
      </c>
      <c r="F38" s="12">
        <v>416</v>
      </c>
      <c r="G38" s="11">
        <v>0</v>
      </c>
      <c r="H38" s="11">
        <v>7.0000000000000007E-2</v>
      </c>
      <c r="I38" s="10">
        <v>216000</v>
      </c>
      <c r="J38" s="12" t="s">
        <v>3057</v>
      </c>
      <c r="K38" s="12">
        <v>29</v>
      </c>
      <c r="L38" s="12" t="s">
        <v>3058</v>
      </c>
      <c r="M38" s="10">
        <v>4475615460</v>
      </c>
      <c r="N38" s="10">
        <v>573891</v>
      </c>
      <c r="O38" s="12">
        <v>57</v>
      </c>
    </row>
    <row r="39" spans="1:15" ht="27" x14ac:dyDescent="0.3">
      <c r="A39" s="9">
        <v>43530</v>
      </c>
      <c r="B39" s="12">
        <v>3</v>
      </c>
      <c r="C39" s="11">
        <v>1E-3</v>
      </c>
      <c r="D39" s="12">
        <v>3</v>
      </c>
      <c r="E39" s="11">
        <v>0</v>
      </c>
      <c r="F39" s="12">
        <v>288</v>
      </c>
      <c r="G39" s="11">
        <v>0</v>
      </c>
      <c r="H39" s="11">
        <v>2.4E-2</v>
      </c>
      <c r="I39" s="10">
        <v>50000</v>
      </c>
      <c r="J39" s="12" t="s">
        <v>3059</v>
      </c>
      <c r="K39" s="12">
        <v>7</v>
      </c>
      <c r="L39" s="12" t="s">
        <v>3060</v>
      </c>
      <c r="M39" s="10">
        <v>4475665460</v>
      </c>
      <c r="N39" s="10">
        <v>573898</v>
      </c>
      <c r="O39" s="12">
        <v>68</v>
      </c>
    </row>
    <row r="40" spans="1:15" ht="27" x14ac:dyDescent="0.3">
      <c r="A40" s="9">
        <v>43531</v>
      </c>
      <c r="B40" s="12">
        <v>3</v>
      </c>
      <c r="C40" s="11">
        <v>1E-3</v>
      </c>
      <c r="D40" s="12">
        <v>3</v>
      </c>
      <c r="E40" s="11">
        <v>0</v>
      </c>
      <c r="F40" s="12">
        <v>508</v>
      </c>
      <c r="G40" s="11">
        <v>0</v>
      </c>
      <c r="H40" s="11">
        <v>2.5999999999999999E-2</v>
      </c>
      <c r="I40" s="10">
        <v>93000</v>
      </c>
      <c r="J40" s="12" t="s">
        <v>3061</v>
      </c>
      <c r="K40" s="12">
        <v>13</v>
      </c>
      <c r="L40" s="12" t="s">
        <v>1132</v>
      </c>
      <c r="M40" s="10">
        <v>4475758460</v>
      </c>
      <c r="N40" s="10">
        <v>573911</v>
      </c>
      <c r="O40" s="12">
        <v>58</v>
      </c>
    </row>
    <row r="41" spans="1:15" ht="27" x14ac:dyDescent="0.3">
      <c r="A41" s="9">
        <v>43532</v>
      </c>
      <c r="B41" s="12">
        <v>2</v>
      </c>
      <c r="C41" s="11">
        <v>0</v>
      </c>
      <c r="D41" s="12">
        <v>2</v>
      </c>
      <c r="E41" s="11">
        <v>0</v>
      </c>
      <c r="F41" s="12">
        <v>218</v>
      </c>
      <c r="G41" s="11">
        <v>0</v>
      </c>
      <c r="H41" s="11">
        <v>1.4E-2</v>
      </c>
      <c r="I41" s="10">
        <v>22500</v>
      </c>
      <c r="J41" s="12" t="s">
        <v>3062</v>
      </c>
      <c r="K41" s="12">
        <v>3</v>
      </c>
      <c r="L41" s="12" t="s">
        <v>3063</v>
      </c>
      <c r="M41" s="10">
        <v>4475780960</v>
      </c>
      <c r="N41" s="10">
        <v>573914</v>
      </c>
      <c r="O41" s="12">
        <v>77</v>
      </c>
    </row>
    <row r="42" spans="1:15" ht="27" x14ac:dyDescent="0.3">
      <c r="A42" s="9">
        <v>43533</v>
      </c>
      <c r="B42" s="12">
        <v>12</v>
      </c>
      <c r="C42" s="11">
        <v>2E-3</v>
      </c>
      <c r="D42" s="12">
        <v>13</v>
      </c>
      <c r="E42" s="11">
        <v>1E-3</v>
      </c>
      <c r="F42" s="10">
        <v>1563</v>
      </c>
      <c r="G42" s="11">
        <v>1E-3</v>
      </c>
      <c r="H42" s="11">
        <v>0.12</v>
      </c>
      <c r="I42" s="10">
        <v>1434700</v>
      </c>
      <c r="J42" s="12" t="s">
        <v>3064</v>
      </c>
      <c r="K42" s="12">
        <v>188</v>
      </c>
      <c r="L42" s="12" t="s">
        <v>3065</v>
      </c>
      <c r="M42" s="10">
        <v>4477215660</v>
      </c>
      <c r="N42" s="10">
        <v>574102</v>
      </c>
      <c r="O42" s="12">
        <v>32</v>
      </c>
    </row>
    <row r="43" spans="1:15" ht="27" x14ac:dyDescent="0.3">
      <c r="A43" s="9">
        <v>43534</v>
      </c>
      <c r="B43" s="12">
        <v>12</v>
      </c>
      <c r="C43" s="11">
        <v>2E-3</v>
      </c>
      <c r="D43" s="12">
        <v>13</v>
      </c>
      <c r="E43" s="11">
        <v>1E-3</v>
      </c>
      <c r="F43" s="10">
        <v>1580</v>
      </c>
      <c r="G43" s="11">
        <v>1E-3</v>
      </c>
      <c r="H43" s="11">
        <v>0.127</v>
      </c>
      <c r="I43" s="10">
        <v>1607100</v>
      </c>
      <c r="J43" s="12" t="s">
        <v>3066</v>
      </c>
      <c r="K43" s="12">
        <v>200</v>
      </c>
      <c r="L43" s="12" t="s">
        <v>3067</v>
      </c>
      <c r="M43" s="10">
        <v>4478822760</v>
      </c>
      <c r="N43" s="10">
        <v>574302</v>
      </c>
      <c r="O43" s="12">
        <v>29</v>
      </c>
    </row>
    <row r="44" spans="1:15" ht="27" x14ac:dyDescent="0.3">
      <c r="A44" s="9">
        <v>43535</v>
      </c>
      <c r="B44" s="12">
        <v>2</v>
      </c>
      <c r="C44" s="11">
        <v>0</v>
      </c>
      <c r="D44" s="12">
        <v>2</v>
      </c>
      <c r="E44" s="11">
        <v>0</v>
      </c>
      <c r="F44" s="12">
        <v>211</v>
      </c>
      <c r="G44" s="11">
        <v>0</v>
      </c>
      <c r="H44" s="11">
        <v>1.4E-2</v>
      </c>
      <c r="I44" s="10">
        <v>21000</v>
      </c>
      <c r="J44" s="12" t="s">
        <v>3068</v>
      </c>
      <c r="K44" s="12">
        <v>3</v>
      </c>
      <c r="L44" s="12" t="s">
        <v>3069</v>
      </c>
      <c r="M44" s="10">
        <v>4478843760</v>
      </c>
      <c r="N44" s="10">
        <v>574305</v>
      </c>
      <c r="O44" s="12">
        <v>61</v>
      </c>
    </row>
    <row r="45" spans="1:15" ht="27" x14ac:dyDescent="0.3">
      <c r="A45" s="9">
        <v>43536</v>
      </c>
      <c r="B45" s="12">
        <v>1</v>
      </c>
      <c r="C45" s="11">
        <v>0</v>
      </c>
      <c r="D45" s="12">
        <v>1</v>
      </c>
      <c r="E45" s="11">
        <v>0</v>
      </c>
      <c r="F45" s="12">
        <v>25</v>
      </c>
      <c r="G45" s="11">
        <v>0</v>
      </c>
      <c r="H45" s="11">
        <v>0.12</v>
      </c>
      <c r="I45" s="10">
        <v>15000</v>
      </c>
      <c r="J45" s="12" t="s">
        <v>3070</v>
      </c>
      <c r="K45" s="12">
        <v>3</v>
      </c>
      <c r="L45" s="12" t="s">
        <v>292</v>
      </c>
      <c r="M45" s="10">
        <v>4478858760</v>
      </c>
      <c r="N45" s="10">
        <v>574308</v>
      </c>
      <c r="O45" s="12">
        <v>76</v>
      </c>
    </row>
    <row r="46" spans="1:15" ht="27" x14ac:dyDescent="0.3">
      <c r="A46" s="9">
        <v>43537</v>
      </c>
      <c r="B46" s="12">
        <v>1</v>
      </c>
      <c r="C46" s="11">
        <v>0</v>
      </c>
      <c r="D46" s="12">
        <v>1</v>
      </c>
      <c r="E46" s="11">
        <v>0</v>
      </c>
      <c r="F46" s="12">
        <v>186</v>
      </c>
      <c r="G46" s="11">
        <v>0</v>
      </c>
      <c r="H46" s="11">
        <v>2.1999999999999999E-2</v>
      </c>
      <c r="I46" s="10">
        <v>29000</v>
      </c>
      <c r="J46" s="12" t="s">
        <v>3071</v>
      </c>
      <c r="K46" s="12">
        <v>4</v>
      </c>
      <c r="L46" s="12" t="s">
        <v>2431</v>
      </c>
      <c r="M46" s="10">
        <v>4478887760</v>
      </c>
      <c r="N46" s="10">
        <v>574312</v>
      </c>
      <c r="O46" s="12">
        <v>70</v>
      </c>
    </row>
    <row r="47" spans="1:15" ht="27" x14ac:dyDescent="0.3">
      <c r="A47" s="9">
        <v>43539</v>
      </c>
      <c r="B47" s="12">
        <v>2</v>
      </c>
      <c r="C47" s="11">
        <v>0</v>
      </c>
      <c r="D47" s="12">
        <v>2</v>
      </c>
      <c r="E47" s="11">
        <v>0</v>
      </c>
      <c r="F47" s="12">
        <v>72</v>
      </c>
      <c r="G47" s="11">
        <v>0</v>
      </c>
      <c r="H47" s="11">
        <v>4.2000000000000003E-2</v>
      </c>
      <c r="I47" s="10">
        <v>18000</v>
      </c>
      <c r="J47" s="12" t="s">
        <v>3072</v>
      </c>
      <c r="K47" s="12">
        <v>3</v>
      </c>
      <c r="L47" s="12" t="s">
        <v>294</v>
      </c>
      <c r="M47" s="10">
        <v>4478905760</v>
      </c>
      <c r="N47" s="10">
        <v>574315</v>
      </c>
      <c r="O47" s="12">
        <v>81</v>
      </c>
    </row>
    <row r="48" spans="1:15" ht="27" x14ac:dyDescent="0.3">
      <c r="A48" s="9">
        <v>43540</v>
      </c>
      <c r="B48" s="12">
        <v>5</v>
      </c>
      <c r="C48" s="11">
        <v>1E-3</v>
      </c>
      <c r="D48" s="12">
        <v>6</v>
      </c>
      <c r="E48" s="11">
        <v>0</v>
      </c>
      <c r="F48" s="12">
        <v>893</v>
      </c>
      <c r="G48" s="11">
        <v>0</v>
      </c>
      <c r="H48" s="11">
        <v>0.123</v>
      </c>
      <c r="I48" s="10">
        <v>745300</v>
      </c>
      <c r="J48" s="12" t="s">
        <v>3073</v>
      </c>
      <c r="K48" s="12">
        <v>110</v>
      </c>
      <c r="L48" s="12" t="s">
        <v>3074</v>
      </c>
      <c r="M48" s="10">
        <v>4479651060</v>
      </c>
      <c r="N48" s="10">
        <v>574425</v>
      </c>
      <c r="O48" s="12">
        <v>44</v>
      </c>
    </row>
    <row r="49" spans="1:15" ht="27" x14ac:dyDescent="0.3">
      <c r="A49" s="9">
        <v>43541</v>
      </c>
      <c r="B49" s="12">
        <v>5</v>
      </c>
      <c r="C49" s="11">
        <v>1E-3</v>
      </c>
      <c r="D49" s="12">
        <v>5</v>
      </c>
      <c r="E49" s="11">
        <v>0</v>
      </c>
      <c r="F49" s="12">
        <v>853</v>
      </c>
      <c r="G49" s="11">
        <v>0</v>
      </c>
      <c r="H49" s="11">
        <v>8.3000000000000004E-2</v>
      </c>
      <c r="I49" s="10">
        <v>522500</v>
      </c>
      <c r="J49" s="12" t="s">
        <v>3075</v>
      </c>
      <c r="K49" s="12">
        <v>71</v>
      </c>
      <c r="L49" s="12" t="s">
        <v>3076</v>
      </c>
      <c r="M49" s="10">
        <v>4480173560</v>
      </c>
      <c r="N49" s="10">
        <v>574496</v>
      </c>
      <c r="O49" s="12">
        <v>50</v>
      </c>
    </row>
    <row r="50" spans="1:15" ht="27" x14ac:dyDescent="0.3">
      <c r="A50" s="9">
        <v>43543</v>
      </c>
      <c r="B50" s="12">
        <v>1</v>
      </c>
      <c r="C50" s="11">
        <v>0</v>
      </c>
      <c r="D50" s="12">
        <v>1</v>
      </c>
      <c r="E50" s="11">
        <v>0</v>
      </c>
      <c r="F50" s="12">
        <v>32</v>
      </c>
      <c r="G50" s="11">
        <v>0</v>
      </c>
      <c r="H50" s="11">
        <v>6.3E-2</v>
      </c>
      <c r="I50" s="10">
        <v>12000</v>
      </c>
      <c r="J50" s="12" t="s">
        <v>2442</v>
      </c>
      <c r="K50" s="12">
        <v>2</v>
      </c>
      <c r="L50" s="12" t="s">
        <v>1408</v>
      </c>
      <c r="M50" s="10">
        <v>4480185560</v>
      </c>
      <c r="N50" s="10">
        <v>574498</v>
      </c>
      <c r="O50" s="12">
        <v>86</v>
      </c>
    </row>
    <row r="51" spans="1:15" ht="27" x14ac:dyDescent="0.3">
      <c r="A51" s="9">
        <v>43544</v>
      </c>
      <c r="B51" s="12">
        <v>3</v>
      </c>
      <c r="C51" s="11">
        <v>1E-3</v>
      </c>
      <c r="D51" s="12">
        <v>4</v>
      </c>
      <c r="E51" s="11">
        <v>0</v>
      </c>
      <c r="F51" s="12">
        <v>578</v>
      </c>
      <c r="G51" s="11">
        <v>0</v>
      </c>
      <c r="H51" s="11">
        <v>1.4E-2</v>
      </c>
      <c r="I51" s="10">
        <v>51000</v>
      </c>
      <c r="J51" s="12" t="s">
        <v>3077</v>
      </c>
      <c r="K51" s="12">
        <v>8</v>
      </c>
      <c r="L51" s="12" t="s">
        <v>3078</v>
      </c>
      <c r="M51" s="10">
        <v>4480236560</v>
      </c>
      <c r="N51" s="10">
        <v>574506</v>
      </c>
      <c r="O51" s="12">
        <v>73</v>
      </c>
    </row>
    <row r="52" spans="1:15" ht="27" x14ac:dyDescent="0.3">
      <c r="A52" s="9">
        <v>43545</v>
      </c>
      <c r="B52" s="12">
        <v>2</v>
      </c>
      <c r="C52" s="11">
        <v>0</v>
      </c>
      <c r="D52" s="12">
        <v>3</v>
      </c>
      <c r="E52" s="11">
        <v>0</v>
      </c>
      <c r="F52" s="12">
        <v>128</v>
      </c>
      <c r="G52" s="11">
        <v>0</v>
      </c>
      <c r="H52" s="11">
        <v>8.5999999999999993E-2</v>
      </c>
      <c r="I52" s="10">
        <v>72000</v>
      </c>
      <c r="J52" s="12" t="s">
        <v>3079</v>
      </c>
      <c r="K52" s="12">
        <v>11</v>
      </c>
      <c r="L52" s="12" t="s">
        <v>3080</v>
      </c>
      <c r="M52" s="10">
        <v>4480308560</v>
      </c>
      <c r="N52" s="10">
        <v>574517</v>
      </c>
      <c r="O52" s="12">
        <v>73</v>
      </c>
    </row>
    <row r="53" spans="1:15" ht="27" x14ac:dyDescent="0.3">
      <c r="A53" s="9">
        <v>43546</v>
      </c>
      <c r="B53" s="12">
        <v>1</v>
      </c>
      <c r="C53" s="11">
        <v>0</v>
      </c>
      <c r="D53" s="12">
        <v>1</v>
      </c>
      <c r="E53" s="11">
        <v>0</v>
      </c>
      <c r="F53" s="12">
        <v>40</v>
      </c>
      <c r="G53" s="11">
        <v>0</v>
      </c>
      <c r="H53" s="11">
        <v>0.1</v>
      </c>
      <c r="I53" s="10">
        <v>32000</v>
      </c>
      <c r="J53" s="12" t="s">
        <v>3081</v>
      </c>
      <c r="K53" s="12">
        <v>4</v>
      </c>
      <c r="L53" s="12" t="s">
        <v>3082</v>
      </c>
      <c r="M53" s="10">
        <v>4480340560</v>
      </c>
      <c r="N53" s="10">
        <v>574521</v>
      </c>
      <c r="O53" s="12">
        <v>90</v>
      </c>
    </row>
    <row r="54" spans="1:15" ht="27" x14ac:dyDescent="0.3">
      <c r="A54" s="9">
        <v>43547</v>
      </c>
      <c r="B54" s="12">
        <v>3</v>
      </c>
      <c r="C54" s="11">
        <v>1E-3</v>
      </c>
      <c r="D54" s="12">
        <v>5</v>
      </c>
      <c r="E54" s="11">
        <v>0</v>
      </c>
      <c r="F54" s="12">
        <v>268</v>
      </c>
      <c r="G54" s="11">
        <v>0</v>
      </c>
      <c r="H54" s="11">
        <v>0.17499999999999999</v>
      </c>
      <c r="I54" s="10">
        <v>345000</v>
      </c>
      <c r="J54" s="12" t="s">
        <v>3083</v>
      </c>
      <c r="K54" s="12">
        <v>47</v>
      </c>
      <c r="L54" s="12" t="s">
        <v>3084</v>
      </c>
      <c r="M54" s="10">
        <v>4480685560</v>
      </c>
      <c r="N54" s="10">
        <v>574568</v>
      </c>
      <c r="O54" s="12">
        <v>72</v>
      </c>
    </row>
    <row r="55" spans="1:15" ht="27" x14ac:dyDescent="0.3">
      <c r="A55" s="9">
        <v>43548</v>
      </c>
      <c r="B55" s="12">
        <v>4</v>
      </c>
      <c r="C55" s="11">
        <v>1E-3</v>
      </c>
      <c r="D55" s="12">
        <v>6</v>
      </c>
      <c r="E55" s="11">
        <v>0</v>
      </c>
      <c r="F55" s="12">
        <v>654</v>
      </c>
      <c r="G55" s="11">
        <v>0</v>
      </c>
      <c r="H55" s="11">
        <v>9.1999999999999998E-2</v>
      </c>
      <c r="I55" s="10">
        <v>453480</v>
      </c>
      <c r="J55" s="12" t="s">
        <v>3085</v>
      </c>
      <c r="K55" s="12">
        <v>60</v>
      </c>
      <c r="L55" s="12" t="s">
        <v>3086</v>
      </c>
      <c r="M55" s="10">
        <v>4481139040</v>
      </c>
      <c r="N55" s="10">
        <v>574628</v>
      </c>
      <c r="O55" s="12">
        <v>54</v>
      </c>
    </row>
    <row r="56" spans="1:15" ht="27" x14ac:dyDescent="0.3">
      <c r="A56" s="9">
        <v>43549</v>
      </c>
      <c r="B56" s="12">
        <v>2</v>
      </c>
      <c r="C56" s="11">
        <v>0</v>
      </c>
      <c r="D56" s="12">
        <v>2</v>
      </c>
      <c r="E56" s="11">
        <v>0</v>
      </c>
      <c r="F56" s="12">
        <v>88</v>
      </c>
      <c r="G56" s="11">
        <v>0</v>
      </c>
      <c r="H56" s="11">
        <v>3.4000000000000002E-2</v>
      </c>
      <c r="I56" s="10">
        <v>18000</v>
      </c>
      <c r="J56" s="12" t="s">
        <v>3087</v>
      </c>
      <c r="K56" s="12">
        <v>3</v>
      </c>
      <c r="L56" s="12" t="s">
        <v>3088</v>
      </c>
      <c r="M56" s="10">
        <v>4481157040</v>
      </c>
      <c r="N56" s="10">
        <v>574631</v>
      </c>
      <c r="O56" s="12">
        <v>83</v>
      </c>
    </row>
    <row r="57" spans="1:15" ht="27" x14ac:dyDescent="0.3">
      <c r="A57" s="9">
        <v>43551</v>
      </c>
      <c r="B57" s="12">
        <v>1</v>
      </c>
      <c r="C57" s="11">
        <v>0</v>
      </c>
      <c r="D57" s="12">
        <v>2</v>
      </c>
      <c r="E57" s="11">
        <v>0</v>
      </c>
      <c r="F57" s="12">
        <v>80</v>
      </c>
      <c r="G57" s="11">
        <v>0</v>
      </c>
      <c r="H57" s="11">
        <v>6.3E-2</v>
      </c>
      <c r="I57" s="10">
        <v>28000</v>
      </c>
      <c r="J57" s="12" t="s">
        <v>304</v>
      </c>
      <c r="K57" s="12">
        <v>5</v>
      </c>
      <c r="L57" s="12" t="s">
        <v>1395</v>
      </c>
      <c r="M57" s="10">
        <v>4481185040</v>
      </c>
      <c r="N57" s="10">
        <v>574636</v>
      </c>
      <c r="O57" s="12">
        <v>103</v>
      </c>
    </row>
    <row r="58" spans="1:15" ht="27" x14ac:dyDescent="0.3">
      <c r="A58" s="9">
        <v>43552</v>
      </c>
      <c r="B58" s="12">
        <v>4</v>
      </c>
      <c r="C58" s="11">
        <v>1E-3</v>
      </c>
      <c r="D58" s="12">
        <v>4</v>
      </c>
      <c r="E58" s="11">
        <v>0</v>
      </c>
      <c r="F58" s="12">
        <v>207</v>
      </c>
      <c r="G58" s="11">
        <v>0</v>
      </c>
      <c r="H58" s="11">
        <v>0.41499999999999998</v>
      </c>
      <c r="I58" s="10">
        <v>441000</v>
      </c>
      <c r="J58" s="12" t="s">
        <v>3089</v>
      </c>
      <c r="K58" s="12">
        <v>86</v>
      </c>
      <c r="L58" s="12" t="s">
        <v>3090</v>
      </c>
      <c r="M58" s="10">
        <v>4481626040</v>
      </c>
      <c r="N58" s="10">
        <v>574722</v>
      </c>
      <c r="O58" s="12">
        <v>59</v>
      </c>
    </row>
    <row r="59" spans="1:15" ht="27" x14ac:dyDescent="0.3">
      <c r="A59" s="9">
        <v>43554</v>
      </c>
      <c r="B59" s="12">
        <v>2</v>
      </c>
      <c r="C59" s="11">
        <v>0</v>
      </c>
      <c r="D59" s="12">
        <v>4</v>
      </c>
      <c r="E59" s="11">
        <v>0</v>
      </c>
      <c r="F59" s="12">
        <v>506</v>
      </c>
      <c r="G59" s="11">
        <v>0</v>
      </c>
      <c r="H59" s="11">
        <v>9.0999999999999998E-2</v>
      </c>
      <c r="I59" s="10">
        <v>320600</v>
      </c>
      <c r="J59" s="12" t="s">
        <v>3091</v>
      </c>
      <c r="K59" s="12">
        <v>46</v>
      </c>
      <c r="L59" s="12" t="s">
        <v>3092</v>
      </c>
      <c r="M59" s="10">
        <v>4481946640</v>
      </c>
      <c r="N59" s="10">
        <v>574768</v>
      </c>
      <c r="O59" s="12">
        <v>67</v>
      </c>
    </row>
    <row r="60" spans="1:15" ht="27" x14ac:dyDescent="0.3">
      <c r="A60" s="9">
        <v>43555</v>
      </c>
      <c r="B60" s="12">
        <v>1</v>
      </c>
      <c r="C60" s="11">
        <v>0</v>
      </c>
      <c r="D60" s="12">
        <v>3</v>
      </c>
      <c r="E60" s="11">
        <v>0</v>
      </c>
      <c r="F60" s="12">
        <v>120</v>
      </c>
      <c r="G60" s="11">
        <v>0</v>
      </c>
      <c r="H60" s="11">
        <v>0.45800000000000002</v>
      </c>
      <c r="I60" s="10">
        <v>384000</v>
      </c>
      <c r="J60" s="12" t="s">
        <v>3093</v>
      </c>
      <c r="K60" s="12">
        <v>55</v>
      </c>
      <c r="L60" s="12" t="s">
        <v>3094</v>
      </c>
      <c r="M60" s="10">
        <v>4482330640</v>
      </c>
      <c r="N60" s="10">
        <v>574823</v>
      </c>
      <c r="O60" s="12">
        <v>57</v>
      </c>
    </row>
    <row r="61" spans="1:15" ht="27" x14ac:dyDescent="0.3">
      <c r="A61" s="9">
        <v>43556</v>
      </c>
      <c r="B61" s="12">
        <v>2</v>
      </c>
      <c r="C61" s="11">
        <v>0</v>
      </c>
      <c r="D61" s="12">
        <v>2</v>
      </c>
      <c r="E61" s="11">
        <v>0</v>
      </c>
      <c r="F61" s="12">
        <v>88</v>
      </c>
      <c r="G61" s="11">
        <v>0</v>
      </c>
      <c r="H61" s="11">
        <v>0.125</v>
      </c>
      <c r="I61" s="10">
        <v>69000</v>
      </c>
      <c r="J61" s="12" t="s">
        <v>3095</v>
      </c>
      <c r="K61" s="12">
        <v>11</v>
      </c>
      <c r="L61" s="12" t="s">
        <v>3096</v>
      </c>
      <c r="M61" s="10">
        <v>4482399640</v>
      </c>
      <c r="N61" s="10">
        <v>574834</v>
      </c>
      <c r="O61" s="12">
        <v>72</v>
      </c>
    </row>
    <row r="62" spans="1:15" ht="27" x14ac:dyDescent="0.3">
      <c r="A62" s="9">
        <v>43557</v>
      </c>
      <c r="B62" s="12">
        <v>2</v>
      </c>
      <c r="C62" s="11">
        <v>0</v>
      </c>
      <c r="D62" s="12">
        <v>2</v>
      </c>
      <c r="E62" s="11">
        <v>0</v>
      </c>
      <c r="F62" s="12">
        <v>88</v>
      </c>
      <c r="G62" s="11">
        <v>0</v>
      </c>
      <c r="H62" s="11">
        <v>5.7000000000000002E-2</v>
      </c>
      <c r="I62" s="10">
        <v>32000</v>
      </c>
      <c r="J62" s="12" t="s">
        <v>3097</v>
      </c>
      <c r="K62" s="12">
        <v>5</v>
      </c>
      <c r="L62" s="12" t="s">
        <v>3098</v>
      </c>
      <c r="M62" s="10">
        <v>4482431640</v>
      </c>
      <c r="N62" s="10">
        <v>574839</v>
      </c>
      <c r="O62" s="12">
        <v>83</v>
      </c>
    </row>
    <row r="63" spans="1:15" ht="27" x14ac:dyDescent="0.3">
      <c r="A63" s="9">
        <v>43558</v>
      </c>
      <c r="B63" s="12">
        <v>2</v>
      </c>
      <c r="C63" s="11">
        <v>0</v>
      </c>
      <c r="D63" s="12">
        <v>2</v>
      </c>
      <c r="E63" s="11">
        <v>0</v>
      </c>
      <c r="F63" s="12">
        <v>88</v>
      </c>
      <c r="G63" s="11">
        <v>0</v>
      </c>
      <c r="H63" s="11">
        <v>6.8000000000000005E-2</v>
      </c>
      <c r="I63" s="10">
        <v>38000</v>
      </c>
      <c r="J63" s="12" t="s">
        <v>3099</v>
      </c>
      <c r="K63" s="12">
        <v>6</v>
      </c>
      <c r="L63" s="12" t="s">
        <v>3100</v>
      </c>
      <c r="M63" s="10">
        <v>4482469640</v>
      </c>
      <c r="N63" s="10">
        <v>574845</v>
      </c>
      <c r="O63" s="12">
        <v>79</v>
      </c>
    </row>
    <row r="64" spans="1:15" ht="27" x14ac:dyDescent="0.3">
      <c r="A64" s="9">
        <v>43559</v>
      </c>
      <c r="B64" s="12">
        <v>2</v>
      </c>
      <c r="C64" s="11">
        <v>0</v>
      </c>
      <c r="D64" s="12">
        <v>2</v>
      </c>
      <c r="E64" s="11">
        <v>0</v>
      </c>
      <c r="F64" s="12">
        <v>88</v>
      </c>
      <c r="G64" s="11">
        <v>0</v>
      </c>
      <c r="H64" s="11">
        <v>6.8000000000000005E-2</v>
      </c>
      <c r="I64" s="10">
        <v>44000</v>
      </c>
      <c r="J64" s="12" t="s">
        <v>3101</v>
      </c>
      <c r="K64" s="12">
        <v>6</v>
      </c>
      <c r="L64" s="12" t="s">
        <v>292</v>
      </c>
      <c r="M64" s="10">
        <v>4482513640</v>
      </c>
      <c r="N64" s="10">
        <v>574851</v>
      </c>
      <c r="O64" s="12">
        <v>82</v>
      </c>
    </row>
    <row r="65" spans="1:15" ht="27" x14ac:dyDescent="0.3">
      <c r="A65" s="9">
        <v>43560</v>
      </c>
      <c r="B65" s="12">
        <v>1</v>
      </c>
      <c r="C65" s="11">
        <v>0</v>
      </c>
      <c r="D65" s="12">
        <v>1</v>
      </c>
      <c r="E65" s="11">
        <v>0</v>
      </c>
      <c r="F65" s="12">
        <v>40</v>
      </c>
      <c r="G65" s="11">
        <v>0</v>
      </c>
      <c r="H65" s="11">
        <v>0.125</v>
      </c>
      <c r="I65" s="10">
        <v>34000</v>
      </c>
      <c r="J65" s="12" t="s">
        <v>3102</v>
      </c>
      <c r="K65" s="12">
        <v>5</v>
      </c>
      <c r="L65" s="12" t="s">
        <v>3103</v>
      </c>
      <c r="M65" s="10">
        <v>4482547640</v>
      </c>
      <c r="N65" s="10">
        <v>574856</v>
      </c>
      <c r="O65" s="12">
        <v>91</v>
      </c>
    </row>
    <row r="66" spans="1:15" ht="27" x14ac:dyDescent="0.3">
      <c r="A66" s="9">
        <v>43561</v>
      </c>
      <c r="B66" s="12">
        <v>1</v>
      </c>
      <c r="C66" s="11">
        <v>0</v>
      </c>
      <c r="D66" s="12">
        <v>2</v>
      </c>
      <c r="E66" s="11">
        <v>0</v>
      </c>
      <c r="F66" s="12">
        <v>80</v>
      </c>
      <c r="G66" s="11">
        <v>0</v>
      </c>
      <c r="H66" s="11">
        <v>0.25</v>
      </c>
      <c r="I66" s="10">
        <v>135000</v>
      </c>
      <c r="J66" s="12" t="s">
        <v>3104</v>
      </c>
      <c r="K66" s="12">
        <v>20</v>
      </c>
      <c r="L66" s="12" t="s">
        <v>3105</v>
      </c>
      <c r="M66" s="10">
        <v>4482682640</v>
      </c>
      <c r="N66" s="10">
        <v>574876</v>
      </c>
      <c r="O66" s="12">
        <v>76</v>
      </c>
    </row>
    <row r="67" spans="1:15" ht="27" x14ac:dyDescent="0.3">
      <c r="A67" s="9">
        <v>43562</v>
      </c>
      <c r="B67" s="12">
        <v>1</v>
      </c>
      <c r="C67" s="11">
        <v>0</v>
      </c>
      <c r="D67" s="12">
        <v>2</v>
      </c>
      <c r="E67" s="11">
        <v>0</v>
      </c>
      <c r="F67" s="12">
        <v>80</v>
      </c>
      <c r="G67" s="11">
        <v>0</v>
      </c>
      <c r="H67" s="11">
        <v>0.313</v>
      </c>
      <c r="I67" s="10">
        <v>188000</v>
      </c>
      <c r="J67" s="12" t="s">
        <v>3106</v>
      </c>
      <c r="K67" s="12">
        <v>25</v>
      </c>
      <c r="L67" s="12" t="s">
        <v>3107</v>
      </c>
      <c r="M67" s="10">
        <v>4482870640</v>
      </c>
      <c r="N67" s="10">
        <v>574901</v>
      </c>
      <c r="O67" s="12">
        <v>63</v>
      </c>
    </row>
    <row r="68" spans="1:15" ht="27" x14ac:dyDescent="0.3">
      <c r="A68" s="9">
        <v>43563</v>
      </c>
      <c r="B68" s="12">
        <v>1</v>
      </c>
      <c r="C68" s="11">
        <v>0</v>
      </c>
      <c r="D68" s="12">
        <v>1</v>
      </c>
      <c r="E68" s="11">
        <v>0</v>
      </c>
      <c r="F68" s="12">
        <v>40</v>
      </c>
      <c r="G68" s="11">
        <v>0</v>
      </c>
      <c r="H68" s="11">
        <v>0.05</v>
      </c>
      <c r="I68" s="10">
        <v>14000</v>
      </c>
      <c r="J68" s="12" t="s">
        <v>3108</v>
      </c>
      <c r="K68" s="12">
        <v>2</v>
      </c>
      <c r="L68" s="12" t="s">
        <v>3109</v>
      </c>
      <c r="M68" s="10">
        <v>4482884640</v>
      </c>
      <c r="N68" s="10">
        <v>574903</v>
      </c>
      <c r="O68" s="12">
        <v>86</v>
      </c>
    </row>
    <row r="69" spans="1:15" ht="27" x14ac:dyDescent="0.3">
      <c r="A69" s="9">
        <v>43564</v>
      </c>
      <c r="B69" s="12">
        <v>1</v>
      </c>
      <c r="C69" s="11">
        <v>0</v>
      </c>
      <c r="D69" s="12">
        <v>1</v>
      </c>
      <c r="E69" s="11">
        <v>0</v>
      </c>
      <c r="F69" s="12">
        <v>40</v>
      </c>
      <c r="G69" s="11">
        <v>0</v>
      </c>
      <c r="H69" s="11">
        <v>0.05</v>
      </c>
      <c r="I69" s="10">
        <v>12000</v>
      </c>
      <c r="J69" s="12" t="s">
        <v>3110</v>
      </c>
      <c r="K69" s="12">
        <v>2</v>
      </c>
      <c r="L69" s="12" t="s">
        <v>292</v>
      </c>
      <c r="M69" s="10">
        <v>4482896640</v>
      </c>
      <c r="N69" s="10">
        <v>574905</v>
      </c>
      <c r="O69" s="12">
        <v>96</v>
      </c>
    </row>
    <row r="70" spans="1:15" ht="27" x14ac:dyDescent="0.3">
      <c r="A70" s="9">
        <v>43567</v>
      </c>
      <c r="B70" s="12">
        <v>2</v>
      </c>
      <c r="C70" s="11">
        <v>0</v>
      </c>
      <c r="D70" s="12">
        <v>3</v>
      </c>
      <c r="E70" s="11">
        <v>0</v>
      </c>
      <c r="F70" s="12">
        <v>112</v>
      </c>
      <c r="G70" s="11">
        <v>0</v>
      </c>
      <c r="H70" s="11">
        <v>6.3E-2</v>
      </c>
      <c r="I70" s="10">
        <v>58000</v>
      </c>
      <c r="J70" s="12" t="s">
        <v>3111</v>
      </c>
      <c r="K70" s="12">
        <v>7</v>
      </c>
      <c r="L70" s="12" t="s">
        <v>314</v>
      </c>
      <c r="M70" s="10">
        <v>4482954640</v>
      </c>
      <c r="N70" s="10">
        <v>574912</v>
      </c>
      <c r="O70" s="12">
        <v>91</v>
      </c>
    </row>
    <row r="71" spans="1:15" ht="27" x14ac:dyDescent="0.3">
      <c r="A71" s="9">
        <v>43568</v>
      </c>
      <c r="B71" s="12">
        <v>2</v>
      </c>
      <c r="C71" s="11">
        <v>0</v>
      </c>
      <c r="D71" s="12">
        <v>4</v>
      </c>
      <c r="E71" s="11">
        <v>0</v>
      </c>
      <c r="F71" s="12">
        <v>160</v>
      </c>
      <c r="G71" s="11">
        <v>0</v>
      </c>
      <c r="H71" s="11">
        <v>0.16300000000000001</v>
      </c>
      <c r="I71" s="10">
        <v>188000</v>
      </c>
      <c r="J71" s="12" t="s">
        <v>3112</v>
      </c>
      <c r="K71" s="12">
        <v>26</v>
      </c>
      <c r="L71" s="12" t="s">
        <v>3113</v>
      </c>
      <c r="M71" s="10">
        <v>4483142640</v>
      </c>
      <c r="N71" s="10">
        <v>574938</v>
      </c>
      <c r="O71" s="12">
        <v>75</v>
      </c>
    </row>
    <row r="72" spans="1:15" ht="27" x14ac:dyDescent="0.3">
      <c r="A72" s="9">
        <v>43569</v>
      </c>
      <c r="B72" s="12">
        <v>2</v>
      </c>
      <c r="C72" s="11">
        <v>0</v>
      </c>
      <c r="D72" s="12">
        <v>3</v>
      </c>
      <c r="E72" s="11">
        <v>0</v>
      </c>
      <c r="F72" s="12">
        <v>128</v>
      </c>
      <c r="G72" s="11">
        <v>0</v>
      </c>
      <c r="H72" s="11">
        <v>0.24199999999999999</v>
      </c>
      <c r="I72" s="10">
        <v>232500</v>
      </c>
      <c r="J72" s="12" t="s">
        <v>3114</v>
      </c>
      <c r="K72" s="12">
        <v>31</v>
      </c>
      <c r="L72" s="12" t="s">
        <v>3115</v>
      </c>
      <c r="M72" s="10">
        <v>4483375140</v>
      </c>
      <c r="N72" s="10">
        <v>574969</v>
      </c>
      <c r="O72" s="12">
        <v>67</v>
      </c>
    </row>
    <row r="73" spans="1:15" ht="27" x14ac:dyDescent="0.3">
      <c r="A73" s="9">
        <v>43570</v>
      </c>
      <c r="B73" s="12">
        <v>2</v>
      </c>
      <c r="C73" s="11">
        <v>0</v>
      </c>
      <c r="D73" s="12">
        <v>2</v>
      </c>
      <c r="E73" s="11">
        <v>0</v>
      </c>
      <c r="F73" s="12">
        <v>134</v>
      </c>
      <c r="G73" s="11">
        <v>0</v>
      </c>
      <c r="H73" s="11">
        <v>0.03</v>
      </c>
      <c r="I73" s="10">
        <v>24000</v>
      </c>
      <c r="J73" s="12" t="s">
        <v>3116</v>
      </c>
      <c r="K73" s="12">
        <v>4</v>
      </c>
      <c r="L73" s="12" t="s">
        <v>3117</v>
      </c>
      <c r="M73" s="10">
        <v>4483399140</v>
      </c>
      <c r="N73" s="10">
        <v>574973</v>
      </c>
      <c r="O73" s="12">
        <v>84</v>
      </c>
    </row>
    <row r="74" spans="1:15" ht="27" x14ac:dyDescent="0.3">
      <c r="A74" s="9">
        <v>43571</v>
      </c>
      <c r="B74" s="12">
        <v>1</v>
      </c>
      <c r="C74" s="11">
        <v>0</v>
      </c>
      <c r="D74" s="12">
        <v>1</v>
      </c>
      <c r="E74" s="11">
        <v>0</v>
      </c>
      <c r="F74" s="12">
        <v>32</v>
      </c>
      <c r="G74" s="11">
        <v>0</v>
      </c>
      <c r="H74" s="11">
        <v>9.4E-2</v>
      </c>
      <c r="I74" s="10">
        <v>21000</v>
      </c>
      <c r="J74" s="12" t="s">
        <v>3118</v>
      </c>
      <c r="K74" s="12">
        <v>3</v>
      </c>
      <c r="L74" s="12" t="s">
        <v>2429</v>
      </c>
      <c r="M74" s="10">
        <v>4483420140</v>
      </c>
      <c r="N74" s="10">
        <v>574976</v>
      </c>
      <c r="O74" s="12">
        <v>98</v>
      </c>
    </row>
    <row r="75" spans="1:15" ht="27" x14ac:dyDescent="0.3">
      <c r="A75" s="9">
        <v>43572</v>
      </c>
      <c r="B75" s="12">
        <v>1</v>
      </c>
      <c r="C75" s="11">
        <v>0</v>
      </c>
      <c r="D75" s="12">
        <v>1</v>
      </c>
      <c r="E75" s="11">
        <v>0</v>
      </c>
      <c r="F75" s="12">
        <v>48</v>
      </c>
      <c r="G75" s="11">
        <v>0</v>
      </c>
      <c r="H75" s="11">
        <v>0.104</v>
      </c>
      <c r="I75" s="10">
        <v>36000</v>
      </c>
      <c r="J75" s="12" t="s">
        <v>3119</v>
      </c>
      <c r="K75" s="12">
        <v>5</v>
      </c>
      <c r="L75" s="12" t="s">
        <v>3120</v>
      </c>
      <c r="M75" s="10">
        <v>4483456140</v>
      </c>
      <c r="N75" s="10">
        <v>574981</v>
      </c>
      <c r="O75" s="12">
        <v>97</v>
      </c>
    </row>
    <row r="76" spans="1:15" ht="27" x14ac:dyDescent="0.3">
      <c r="A76" s="9">
        <v>43573</v>
      </c>
      <c r="B76" s="12">
        <v>2</v>
      </c>
      <c r="C76" s="11">
        <v>0</v>
      </c>
      <c r="D76" s="12">
        <v>2</v>
      </c>
      <c r="E76" s="11">
        <v>0</v>
      </c>
      <c r="F76" s="12">
        <v>80</v>
      </c>
      <c r="G76" s="11">
        <v>0</v>
      </c>
      <c r="H76" s="11">
        <v>0.125</v>
      </c>
      <c r="I76" s="10">
        <v>69000</v>
      </c>
      <c r="J76" s="12" t="s">
        <v>3121</v>
      </c>
      <c r="K76" s="12">
        <v>10</v>
      </c>
      <c r="L76" s="12" t="s">
        <v>1395</v>
      </c>
      <c r="M76" s="10">
        <v>4483525140</v>
      </c>
      <c r="N76" s="10">
        <v>574991</v>
      </c>
      <c r="O76" s="12">
        <v>97</v>
      </c>
    </row>
    <row r="77" spans="1:15" ht="27" x14ac:dyDescent="0.3">
      <c r="A77" s="9">
        <v>43574</v>
      </c>
      <c r="B77" s="12">
        <v>1</v>
      </c>
      <c r="C77" s="11">
        <v>0</v>
      </c>
      <c r="D77" s="12">
        <v>1</v>
      </c>
      <c r="E77" s="11">
        <v>0</v>
      </c>
      <c r="F77" s="12">
        <v>32</v>
      </c>
      <c r="G77" s="11">
        <v>0</v>
      </c>
      <c r="H77" s="11">
        <v>6.3E-2</v>
      </c>
      <c r="I77" s="10">
        <v>16000</v>
      </c>
      <c r="J77" s="12" t="s">
        <v>3122</v>
      </c>
      <c r="K77" s="12">
        <v>2</v>
      </c>
      <c r="L77" s="12" t="s">
        <v>1417</v>
      </c>
      <c r="M77" s="10">
        <v>4483541140</v>
      </c>
      <c r="N77" s="10">
        <v>574993</v>
      </c>
      <c r="O77" s="12">
        <v>108</v>
      </c>
    </row>
    <row r="78" spans="1:15" ht="27" x14ac:dyDescent="0.3">
      <c r="A78" s="9">
        <v>43575</v>
      </c>
      <c r="B78" s="12">
        <v>1</v>
      </c>
      <c r="C78" s="11">
        <v>0</v>
      </c>
      <c r="D78" s="12">
        <v>2</v>
      </c>
      <c r="E78" s="11">
        <v>0</v>
      </c>
      <c r="F78" s="12">
        <v>64</v>
      </c>
      <c r="G78" s="11">
        <v>0</v>
      </c>
      <c r="H78" s="11">
        <v>0.25</v>
      </c>
      <c r="I78" s="10">
        <v>116000</v>
      </c>
      <c r="J78" s="12" t="s">
        <v>3123</v>
      </c>
      <c r="K78" s="12">
        <v>16</v>
      </c>
      <c r="L78" s="12" t="s">
        <v>3124</v>
      </c>
      <c r="M78" s="10">
        <v>4483657140</v>
      </c>
      <c r="N78" s="10">
        <v>575009</v>
      </c>
      <c r="O78" s="12">
        <v>86</v>
      </c>
    </row>
    <row r="79" spans="1:15" ht="27" x14ac:dyDescent="0.3">
      <c r="A79" s="9">
        <v>43576</v>
      </c>
      <c r="B79" s="12">
        <v>1</v>
      </c>
      <c r="C79" s="11">
        <v>0</v>
      </c>
      <c r="D79" s="12">
        <v>2</v>
      </c>
      <c r="E79" s="11">
        <v>0</v>
      </c>
      <c r="F79" s="12">
        <v>64</v>
      </c>
      <c r="G79" s="11">
        <v>0</v>
      </c>
      <c r="H79" s="11">
        <v>0.28100000000000003</v>
      </c>
      <c r="I79" s="10">
        <v>134000</v>
      </c>
      <c r="J79" s="12" t="s">
        <v>3125</v>
      </c>
      <c r="K79" s="12">
        <v>18</v>
      </c>
      <c r="L79" s="12" t="s">
        <v>3126</v>
      </c>
      <c r="M79" s="10">
        <v>4483791140</v>
      </c>
      <c r="N79" s="10">
        <v>575027</v>
      </c>
      <c r="O79" s="12">
        <v>85</v>
      </c>
    </row>
    <row r="80" spans="1:15" ht="27" x14ac:dyDescent="0.3">
      <c r="A80" s="9">
        <v>43577</v>
      </c>
      <c r="B80" s="12">
        <v>2</v>
      </c>
      <c r="C80" s="11">
        <v>0</v>
      </c>
      <c r="D80" s="12">
        <v>2</v>
      </c>
      <c r="E80" s="11">
        <v>0</v>
      </c>
      <c r="F80" s="12">
        <v>80</v>
      </c>
      <c r="G80" s="11">
        <v>0</v>
      </c>
      <c r="H80" s="11">
        <v>6.3E-2</v>
      </c>
      <c r="I80" s="10">
        <v>33000</v>
      </c>
      <c r="J80" s="12" t="s">
        <v>3127</v>
      </c>
      <c r="K80" s="12">
        <v>5</v>
      </c>
      <c r="L80" s="12" t="s">
        <v>3128</v>
      </c>
      <c r="M80" s="10">
        <v>4483824140</v>
      </c>
      <c r="N80" s="10">
        <v>575032</v>
      </c>
      <c r="O80" s="12">
        <v>90</v>
      </c>
    </row>
    <row r="81" spans="1:15" ht="27" x14ac:dyDescent="0.3">
      <c r="A81" s="9">
        <v>43578</v>
      </c>
      <c r="B81" s="12">
        <v>1</v>
      </c>
      <c r="C81" s="11">
        <v>0</v>
      </c>
      <c r="D81" s="12">
        <v>1</v>
      </c>
      <c r="E81" s="11">
        <v>0</v>
      </c>
      <c r="F81" s="12">
        <v>32</v>
      </c>
      <c r="G81" s="11">
        <v>0</v>
      </c>
      <c r="H81" s="11">
        <v>3.1E-2</v>
      </c>
      <c r="I81" s="10">
        <v>5000</v>
      </c>
      <c r="J81" s="12" t="s">
        <v>3129</v>
      </c>
      <c r="K81" s="12">
        <v>1</v>
      </c>
      <c r="L81" s="12" t="s">
        <v>310</v>
      </c>
      <c r="M81" s="10">
        <v>4483829140</v>
      </c>
      <c r="N81" s="10">
        <v>575033</v>
      </c>
      <c r="O81" s="12">
        <v>125</v>
      </c>
    </row>
    <row r="82" spans="1:15" ht="27" x14ac:dyDescent="0.3">
      <c r="A82" s="9">
        <v>43579</v>
      </c>
      <c r="B82" s="12">
        <v>1</v>
      </c>
      <c r="C82" s="11">
        <v>0</v>
      </c>
      <c r="D82" s="12">
        <v>1</v>
      </c>
      <c r="E82" s="11">
        <v>0</v>
      </c>
      <c r="F82" s="12">
        <v>32</v>
      </c>
      <c r="G82" s="11">
        <v>0</v>
      </c>
      <c r="H82" s="11">
        <v>6.3E-2</v>
      </c>
      <c r="I82" s="10">
        <v>10000</v>
      </c>
      <c r="J82" s="12" t="s">
        <v>584</v>
      </c>
      <c r="K82" s="12">
        <v>2</v>
      </c>
      <c r="L82" s="12" t="s">
        <v>312</v>
      </c>
      <c r="M82" s="10">
        <v>4483839140</v>
      </c>
      <c r="N82" s="10">
        <v>575035</v>
      </c>
      <c r="O82" s="12">
        <v>100</v>
      </c>
    </row>
    <row r="83" spans="1:15" ht="27" x14ac:dyDescent="0.3">
      <c r="A83" s="9">
        <v>43580</v>
      </c>
      <c r="B83" s="12">
        <v>1</v>
      </c>
      <c r="C83" s="11">
        <v>0</v>
      </c>
      <c r="D83" s="12">
        <v>1</v>
      </c>
      <c r="E83" s="11">
        <v>0</v>
      </c>
      <c r="F83" s="12">
        <v>123</v>
      </c>
      <c r="G83" s="11">
        <v>0</v>
      </c>
      <c r="H83" s="11">
        <v>0.65</v>
      </c>
      <c r="I83" s="10">
        <v>400000</v>
      </c>
      <c r="J83" s="12" t="s">
        <v>3130</v>
      </c>
      <c r="K83" s="12">
        <v>80</v>
      </c>
      <c r="L83" s="12" t="s">
        <v>3131</v>
      </c>
      <c r="M83" s="10">
        <v>4484239140</v>
      </c>
      <c r="N83" s="10">
        <v>575115</v>
      </c>
      <c r="O83" s="12">
        <v>55</v>
      </c>
    </row>
    <row r="84" spans="1:15" ht="27" x14ac:dyDescent="0.3">
      <c r="A84" s="9">
        <v>43595</v>
      </c>
      <c r="B84" s="12">
        <v>1</v>
      </c>
      <c r="C84" s="11">
        <v>0</v>
      </c>
      <c r="D84" s="12">
        <v>1</v>
      </c>
      <c r="E84" s="11">
        <v>0</v>
      </c>
      <c r="F84" s="12">
        <v>132</v>
      </c>
      <c r="G84" s="11">
        <v>0</v>
      </c>
      <c r="H84" s="11">
        <v>0.81799999999999995</v>
      </c>
      <c r="I84" s="10">
        <v>756000</v>
      </c>
      <c r="J84" s="12" t="s">
        <v>3132</v>
      </c>
      <c r="K84" s="12">
        <v>108</v>
      </c>
      <c r="L84" s="12" t="s">
        <v>3133</v>
      </c>
      <c r="M84" s="10">
        <v>4484995140</v>
      </c>
      <c r="N84" s="10">
        <v>575223</v>
      </c>
      <c r="O84" s="12">
        <v>37</v>
      </c>
    </row>
    <row r="85" spans="1:15" ht="27" x14ac:dyDescent="0.3">
      <c r="A85" s="9">
        <v>43597</v>
      </c>
      <c r="B85" s="12">
        <v>1</v>
      </c>
      <c r="C85" s="11">
        <v>0</v>
      </c>
      <c r="D85" s="12">
        <v>1</v>
      </c>
      <c r="E85" s="11">
        <v>0</v>
      </c>
      <c r="F85" s="12">
        <v>141</v>
      </c>
      <c r="G85" s="11">
        <v>0</v>
      </c>
      <c r="H85" s="11">
        <v>0.92200000000000004</v>
      </c>
      <c r="I85" s="10">
        <v>910000</v>
      </c>
      <c r="J85" s="12" t="s">
        <v>3134</v>
      </c>
      <c r="K85" s="12">
        <v>130</v>
      </c>
      <c r="L85" s="12" t="s">
        <v>2882</v>
      </c>
      <c r="M85" s="10">
        <v>4485905140</v>
      </c>
      <c r="N85" s="10">
        <v>575353</v>
      </c>
      <c r="O85" s="12">
        <v>33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DDD75-4EA1-4763-B2E5-929939803571}">
  <dimension ref="A1:O47"/>
  <sheetViews>
    <sheetView workbookViewId="0">
      <selection activeCell="A5" sqref="A5:O8"/>
    </sheetView>
  </sheetViews>
  <sheetFormatPr defaultRowHeight="16.5" x14ac:dyDescent="0.3"/>
  <sheetData>
    <row r="1" spans="1:15" ht="19.5" x14ac:dyDescent="0.3">
      <c r="A1" s="197" t="s">
        <v>3135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43453</v>
      </c>
      <c r="B5" s="10">
        <v>1254</v>
      </c>
      <c r="C5" s="11">
        <v>0.19800000000000001</v>
      </c>
      <c r="D5" s="10">
        <v>5300</v>
      </c>
      <c r="E5" s="11">
        <v>0.307</v>
      </c>
      <c r="F5" s="10">
        <v>913644</v>
      </c>
      <c r="G5" s="11">
        <v>0.33800000000000002</v>
      </c>
      <c r="H5" s="11">
        <v>0.27400000000000002</v>
      </c>
      <c r="I5" s="10">
        <v>2045376200</v>
      </c>
      <c r="J5" s="12" t="s">
        <v>3136</v>
      </c>
      <c r="K5" s="10">
        <v>250106</v>
      </c>
      <c r="L5" s="12" t="s">
        <v>3137</v>
      </c>
      <c r="M5" s="10">
        <v>2193466200</v>
      </c>
      <c r="N5" s="10">
        <v>269065</v>
      </c>
      <c r="O5" s="12">
        <v>1</v>
      </c>
    </row>
    <row r="6" spans="1:15" ht="40.5" x14ac:dyDescent="0.3">
      <c r="A6" s="9">
        <v>43454</v>
      </c>
      <c r="B6" s="10">
        <v>1297</v>
      </c>
      <c r="C6" s="11">
        <v>0.20100000000000001</v>
      </c>
      <c r="D6" s="10">
        <v>5300</v>
      </c>
      <c r="E6" s="11">
        <v>0.308</v>
      </c>
      <c r="F6" s="10">
        <v>923485</v>
      </c>
      <c r="G6" s="11">
        <v>0.34300000000000003</v>
      </c>
      <c r="H6" s="11">
        <v>0.20100000000000001</v>
      </c>
      <c r="I6" s="10">
        <v>1516071150</v>
      </c>
      <c r="J6" s="12" t="s">
        <v>3138</v>
      </c>
      <c r="K6" s="10">
        <v>185432</v>
      </c>
      <c r="L6" s="12" t="s">
        <v>3139</v>
      </c>
      <c r="M6" s="10">
        <v>3709537350</v>
      </c>
      <c r="N6" s="10">
        <v>454497</v>
      </c>
      <c r="O6" s="12">
        <v>1</v>
      </c>
    </row>
    <row r="7" spans="1:15" ht="27" x14ac:dyDescent="0.3">
      <c r="A7" s="9">
        <v>43455</v>
      </c>
      <c r="B7" s="10">
        <v>1286</v>
      </c>
      <c r="C7" s="11">
        <v>0.19600000000000001</v>
      </c>
      <c r="D7" s="10">
        <v>5336</v>
      </c>
      <c r="E7" s="11">
        <v>0.30199999999999999</v>
      </c>
      <c r="F7" s="10">
        <v>930780</v>
      </c>
      <c r="G7" s="11">
        <v>0.33700000000000002</v>
      </c>
      <c r="H7" s="11">
        <v>0.19700000000000001</v>
      </c>
      <c r="I7" s="10">
        <v>1657712969</v>
      </c>
      <c r="J7" s="12" t="s">
        <v>3140</v>
      </c>
      <c r="K7" s="10">
        <v>182926</v>
      </c>
      <c r="L7" s="12" t="s">
        <v>3141</v>
      </c>
      <c r="M7" s="10">
        <v>5367250319</v>
      </c>
      <c r="N7" s="10">
        <v>637423</v>
      </c>
      <c r="O7" s="12">
        <v>1</v>
      </c>
    </row>
    <row r="8" spans="1:15" ht="27" x14ac:dyDescent="0.3">
      <c r="A8" s="9">
        <v>43456</v>
      </c>
      <c r="B8" s="10">
        <v>1215</v>
      </c>
      <c r="C8" s="11">
        <v>0.17599999999999999</v>
      </c>
      <c r="D8" s="10">
        <v>5030</v>
      </c>
      <c r="E8" s="11">
        <v>0.26500000000000001</v>
      </c>
      <c r="F8" s="10">
        <v>885269</v>
      </c>
      <c r="G8" s="11">
        <v>0.30099999999999999</v>
      </c>
      <c r="H8" s="11">
        <v>0.34</v>
      </c>
      <c r="I8" s="10">
        <v>2769901483</v>
      </c>
      <c r="J8" s="12" t="s">
        <v>3142</v>
      </c>
      <c r="K8" s="10">
        <v>301170</v>
      </c>
      <c r="L8" s="12" t="s">
        <v>3143</v>
      </c>
      <c r="M8" s="10">
        <v>8137151802</v>
      </c>
      <c r="N8" s="10">
        <v>938593</v>
      </c>
      <c r="O8" s="12">
        <v>2</v>
      </c>
    </row>
    <row r="9" spans="1:15" ht="40.5" x14ac:dyDescent="0.3">
      <c r="A9" s="9">
        <v>43457</v>
      </c>
      <c r="B9" s="10">
        <v>1141</v>
      </c>
      <c r="C9" s="11">
        <v>0.16300000000000001</v>
      </c>
      <c r="D9" s="10">
        <v>4627</v>
      </c>
      <c r="E9" s="11">
        <v>0.246</v>
      </c>
      <c r="F9" s="10">
        <v>811253</v>
      </c>
      <c r="G9" s="11">
        <v>0.27800000000000002</v>
      </c>
      <c r="H9" s="11">
        <v>0.33500000000000002</v>
      </c>
      <c r="I9" s="10">
        <v>2500153150</v>
      </c>
      <c r="J9" s="12" t="s">
        <v>3144</v>
      </c>
      <c r="K9" s="10">
        <v>271586</v>
      </c>
      <c r="L9" s="12" t="s">
        <v>3145</v>
      </c>
      <c r="M9" s="10">
        <v>10637304952</v>
      </c>
      <c r="N9" s="10">
        <v>1210179</v>
      </c>
      <c r="O9" s="12">
        <v>2</v>
      </c>
    </row>
    <row r="10" spans="1:15" ht="40.5" x14ac:dyDescent="0.3">
      <c r="A10" s="9">
        <v>43458</v>
      </c>
      <c r="B10" s="10">
        <v>1075</v>
      </c>
      <c r="C10" s="11">
        <v>0.14499999999999999</v>
      </c>
      <c r="D10" s="10">
        <v>4005</v>
      </c>
      <c r="E10" s="11">
        <v>0.20899999999999999</v>
      </c>
      <c r="F10" s="10">
        <v>677602</v>
      </c>
      <c r="G10" s="11">
        <v>0.22700000000000001</v>
      </c>
      <c r="H10" s="11">
        <v>0.28199999999999997</v>
      </c>
      <c r="I10" s="10">
        <v>1576247600</v>
      </c>
      <c r="J10" s="12" t="s">
        <v>3146</v>
      </c>
      <c r="K10" s="10">
        <v>191134</v>
      </c>
      <c r="L10" s="12" t="s">
        <v>3147</v>
      </c>
      <c r="M10" s="10">
        <v>12213552552</v>
      </c>
      <c r="N10" s="10">
        <v>1401313</v>
      </c>
      <c r="O10" s="12">
        <v>2</v>
      </c>
    </row>
    <row r="11" spans="1:15" ht="27" x14ac:dyDescent="0.3">
      <c r="A11" s="9">
        <v>43459</v>
      </c>
      <c r="B11" s="12">
        <v>833</v>
      </c>
      <c r="C11" s="11">
        <v>0.112</v>
      </c>
      <c r="D11" s="10">
        <v>2815</v>
      </c>
      <c r="E11" s="11">
        <v>0.14099999999999999</v>
      </c>
      <c r="F11" s="10">
        <v>427281</v>
      </c>
      <c r="G11" s="11">
        <v>0.13600000000000001</v>
      </c>
      <c r="H11" s="11">
        <v>0.49</v>
      </c>
      <c r="I11" s="10">
        <v>1924422950</v>
      </c>
      <c r="J11" s="12" t="s">
        <v>3148</v>
      </c>
      <c r="K11" s="10">
        <v>209240</v>
      </c>
      <c r="L11" s="12" t="s">
        <v>3149</v>
      </c>
      <c r="M11" s="10">
        <v>14137975502</v>
      </c>
      <c r="N11" s="10">
        <v>1610553</v>
      </c>
      <c r="O11" s="12">
        <v>3</v>
      </c>
    </row>
    <row r="12" spans="1:15" ht="54" x14ac:dyDescent="0.3">
      <c r="A12" s="9">
        <v>43460</v>
      </c>
      <c r="B12" s="12">
        <v>679</v>
      </c>
      <c r="C12" s="11">
        <v>0.10299999999999999</v>
      </c>
      <c r="D12" s="10">
        <v>2006</v>
      </c>
      <c r="E12" s="11">
        <v>0.109</v>
      </c>
      <c r="F12" s="10">
        <v>278250</v>
      </c>
      <c r="G12" s="11">
        <v>9.6000000000000002E-2</v>
      </c>
      <c r="H12" s="11">
        <v>0.187</v>
      </c>
      <c r="I12" s="10">
        <v>332252550</v>
      </c>
      <c r="J12" s="12" t="s">
        <v>3150</v>
      </c>
      <c r="K12" s="10">
        <v>51991</v>
      </c>
      <c r="L12" s="12" t="s">
        <v>3151</v>
      </c>
      <c r="M12" s="10">
        <v>14470228052</v>
      </c>
      <c r="N12" s="10">
        <v>1662544</v>
      </c>
      <c r="O12" s="12">
        <v>6</v>
      </c>
    </row>
    <row r="13" spans="1:15" ht="27" x14ac:dyDescent="0.3">
      <c r="A13" s="9">
        <v>43461</v>
      </c>
      <c r="B13" s="12">
        <v>654</v>
      </c>
      <c r="C13" s="11">
        <v>9.8000000000000004E-2</v>
      </c>
      <c r="D13" s="10">
        <v>1850</v>
      </c>
      <c r="E13" s="11">
        <v>0.1</v>
      </c>
      <c r="F13" s="10">
        <v>249793</v>
      </c>
      <c r="G13" s="11">
        <v>8.5999999999999993E-2</v>
      </c>
      <c r="H13" s="11">
        <v>0.127</v>
      </c>
      <c r="I13" s="10">
        <v>256167950</v>
      </c>
      <c r="J13" s="12" t="s">
        <v>3152</v>
      </c>
      <c r="K13" s="10">
        <v>31836</v>
      </c>
      <c r="L13" s="12" t="s">
        <v>3153</v>
      </c>
      <c r="M13" s="10">
        <v>14726396002</v>
      </c>
      <c r="N13" s="10">
        <v>1694380</v>
      </c>
      <c r="O13" s="12">
        <v>6</v>
      </c>
    </row>
    <row r="14" spans="1:15" ht="27" x14ac:dyDescent="0.3">
      <c r="A14" s="9">
        <v>43462</v>
      </c>
      <c r="B14" s="12">
        <v>622</v>
      </c>
      <c r="C14" s="11">
        <v>0.09</v>
      </c>
      <c r="D14" s="10">
        <v>1648</v>
      </c>
      <c r="E14" s="11">
        <v>8.6999999999999994E-2</v>
      </c>
      <c r="F14" s="10">
        <v>215019</v>
      </c>
      <c r="G14" s="11">
        <v>7.1999999999999995E-2</v>
      </c>
      <c r="H14" s="11">
        <v>0.128</v>
      </c>
      <c r="I14" s="10">
        <v>245430950</v>
      </c>
      <c r="J14" s="12" t="s">
        <v>3154</v>
      </c>
      <c r="K14" s="10">
        <v>27567</v>
      </c>
      <c r="L14" s="12" t="s">
        <v>3155</v>
      </c>
      <c r="M14" s="10">
        <v>14971826952</v>
      </c>
      <c r="N14" s="10">
        <v>1721947</v>
      </c>
      <c r="O14" s="12">
        <v>6</v>
      </c>
    </row>
    <row r="15" spans="1:15" ht="27" x14ac:dyDescent="0.3">
      <c r="A15" s="9">
        <v>43463</v>
      </c>
      <c r="B15" s="12">
        <v>560</v>
      </c>
      <c r="C15" s="11">
        <v>7.6999999999999999E-2</v>
      </c>
      <c r="D15" s="10">
        <v>1276</v>
      </c>
      <c r="E15" s="11">
        <v>6.5000000000000002E-2</v>
      </c>
      <c r="F15" s="10">
        <v>156280</v>
      </c>
      <c r="G15" s="11">
        <v>5.0999999999999997E-2</v>
      </c>
      <c r="H15" s="11">
        <v>0.21099999999999999</v>
      </c>
      <c r="I15" s="10">
        <v>301772600</v>
      </c>
      <c r="J15" s="12" t="s">
        <v>3156</v>
      </c>
      <c r="K15" s="10">
        <v>32904</v>
      </c>
      <c r="L15" s="12" t="s">
        <v>3157</v>
      </c>
      <c r="M15" s="10">
        <v>15273599552</v>
      </c>
      <c r="N15" s="10">
        <v>1754851</v>
      </c>
      <c r="O15" s="12">
        <v>8</v>
      </c>
    </row>
    <row r="16" spans="1:15" ht="27" x14ac:dyDescent="0.3">
      <c r="A16" s="9">
        <v>43464</v>
      </c>
      <c r="B16" s="12">
        <v>539</v>
      </c>
      <c r="C16" s="11">
        <v>7.4999999999999997E-2</v>
      </c>
      <c r="D16" s="10">
        <v>1200</v>
      </c>
      <c r="E16" s="11">
        <v>6.2E-2</v>
      </c>
      <c r="F16" s="10">
        <v>146462</v>
      </c>
      <c r="G16" s="11">
        <v>4.8000000000000001E-2</v>
      </c>
      <c r="H16" s="11">
        <v>0.22500000000000001</v>
      </c>
      <c r="I16" s="10">
        <v>301718900</v>
      </c>
      <c r="J16" s="12" t="s">
        <v>3158</v>
      </c>
      <c r="K16" s="10">
        <v>32974</v>
      </c>
      <c r="L16" s="12" t="s">
        <v>3159</v>
      </c>
      <c r="M16" s="10">
        <v>15575318452</v>
      </c>
      <c r="N16" s="10">
        <v>1787825</v>
      </c>
      <c r="O16" s="12">
        <v>7</v>
      </c>
    </row>
    <row r="17" spans="1:15" ht="27" x14ac:dyDescent="0.3">
      <c r="A17" s="9">
        <v>43465</v>
      </c>
      <c r="B17" s="12">
        <v>533</v>
      </c>
      <c r="C17" s="11">
        <v>7.6999999999999999E-2</v>
      </c>
      <c r="D17" s="10">
        <v>1178</v>
      </c>
      <c r="E17" s="11">
        <v>6.0999999999999999E-2</v>
      </c>
      <c r="F17" s="10">
        <v>143897</v>
      </c>
      <c r="G17" s="11">
        <v>4.8000000000000001E-2</v>
      </c>
      <c r="H17" s="11">
        <v>0.17899999999999999</v>
      </c>
      <c r="I17" s="10">
        <v>209406100</v>
      </c>
      <c r="J17" s="12" t="s">
        <v>3160</v>
      </c>
      <c r="K17" s="10">
        <v>25769</v>
      </c>
      <c r="L17" s="12" t="s">
        <v>3161</v>
      </c>
      <c r="M17" s="10">
        <v>15784724552</v>
      </c>
      <c r="N17" s="10">
        <v>1813594</v>
      </c>
      <c r="O17" s="12">
        <v>8</v>
      </c>
    </row>
    <row r="18" spans="1:15" ht="27" x14ac:dyDescent="0.3">
      <c r="A18" s="9">
        <v>43466</v>
      </c>
      <c r="B18" s="12">
        <v>426</v>
      </c>
      <c r="C18" s="11">
        <v>5.8999999999999997E-2</v>
      </c>
      <c r="D18" s="12">
        <v>705</v>
      </c>
      <c r="E18" s="11">
        <v>3.5999999999999997E-2</v>
      </c>
      <c r="F18" s="10">
        <v>84467</v>
      </c>
      <c r="G18" s="11">
        <v>2.8000000000000001E-2</v>
      </c>
      <c r="H18" s="11">
        <v>0.22800000000000001</v>
      </c>
      <c r="I18" s="10">
        <v>173524150</v>
      </c>
      <c r="J18" s="12" t="s">
        <v>3162</v>
      </c>
      <c r="K18" s="10">
        <v>19248</v>
      </c>
      <c r="L18" s="12" t="s">
        <v>3163</v>
      </c>
      <c r="M18" s="10">
        <v>15958248702</v>
      </c>
      <c r="N18" s="10">
        <v>1832842</v>
      </c>
      <c r="O18" s="12">
        <v>10</v>
      </c>
    </row>
    <row r="19" spans="1:15" ht="40.5" x14ac:dyDescent="0.3">
      <c r="A19" s="9">
        <v>43467</v>
      </c>
      <c r="B19" s="12">
        <v>403</v>
      </c>
      <c r="C19" s="11">
        <v>0.06</v>
      </c>
      <c r="D19" s="12">
        <v>684</v>
      </c>
      <c r="E19" s="11">
        <v>3.6999999999999998E-2</v>
      </c>
      <c r="F19" s="10">
        <v>82919</v>
      </c>
      <c r="G19" s="11">
        <v>2.9000000000000001E-2</v>
      </c>
      <c r="H19" s="11">
        <v>8.2000000000000003E-2</v>
      </c>
      <c r="I19" s="10">
        <v>54248000</v>
      </c>
      <c r="J19" s="12" t="s">
        <v>3164</v>
      </c>
      <c r="K19" s="10">
        <v>6794</v>
      </c>
      <c r="L19" s="12" t="s">
        <v>3165</v>
      </c>
      <c r="M19" s="10">
        <v>16012496702</v>
      </c>
      <c r="N19" s="10">
        <v>1839636</v>
      </c>
      <c r="O19" s="12">
        <v>10</v>
      </c>
    </row>
    <row r="20" spans="1:15" ht="27" x14ac:dyDescent="0.3">
      <c r="A20" s="9">
        <v>43468</v>
      </c>
      <c r="B20" s="12">
        <v>327</v>
      </c>
      <c r="C20" s="11">
        <v>4.7E-2</v>
      </c>
      <c r="D20" s="12">
        <v>475</v>
      </c>
      <c r="E20" s="11">
        <v>2.5999999999999999E-2</v>
      </c>
      <c r="F20" s="10">
        <v>56856</v>
      </c>
      <c r="G20" s="11">
        <v>0.02</v>
      </c>
      <c r="H20" s="11">
        <v>7.1999999999999995E-2</v>
      </c>
      <c r="I20" s="10">
        <v>32651300</v>
      </c>
      <c r="J20" s="12" t="s">
        <v>3166</v>
      </c>
      <c r="K20" s="10">
        <v>4109</v>
      </c>
      <c r="L20" s="12" t="s">
        <v>3167</v>
      </c>
      <c r="M20" s="10">
        <v>16045148002</v>
      </c>
      <c r="N20" s="10">
        <v>1843745</v>
      </c>
      <c r="O20" s="12">
        <v>11</v>
      </c>
    </row>
    <row r="21" spans="1:15" ht="27" x14ac:dyDescent="0.3">
      <c r="A21" s="9">
        <v>43469</v>
      </c>
      <c r="B21" s="12">
        <v>299</v>
      </c>
      <c r="C21" s="11">
        <v>4.2999999999999997E-2</v>
      </c>
      <c r="D21" s="12">
        <v>439</v>
      </c>
      <c r="E21" s="11">
        <v>2.3E-2</v>
      </c>
      <c r="F21" s="10">
        <v>53510</v>
      </c>
      <c r="G21" s="11">
        <v>1.7999999999999999E-2</v>
      </c>
      <c r="H21" s="11">
        <v>7.2999999999999995E-2</v>
      </c>
      <c r="I21" s="10">
        <v>34668600</v>
      </c>
      <c r="J21" s="12" t="s">
        <v>3168</v>
      </c>
      <c r="K21" s="10">
        <v>3904</v>
      </c>
      <c r="L21" s="12" t="s">
        <v>3169</v>
      </c>
      <c r="M21" s="10">
        <v>16079816602</v>
      </c>
      <c r="N21" s="10">
        <v>1847649</v>
      </c>
      <c r="O21" s="12">
        <v>11</v>
      </c>
    </row>
    <row r="22" spans="1:15" ht="27" x14ac:dyDescent="0.3">
      <c r="A22" s="9">
        <v>43470</v>
      </c>
      <c r="B22" s="12">
        <v>266</v>
      </c>
      <c r="C22" s="11">
        <v>3.4000000000000002E-2</v>
      </c>
      <c r="D22" s="12">
        <v>361</v>
      </c>
      <c r="E22" s="11">
        <v>1.9E-2</v>
      </c>
      <c r="F22" s="10">
        <v>41880</v>
      </c>
      <c r="G22" s="11">
        <v>1.4E-2</v>
      </c>
      <c r="H22" s="11">
        <v>0.13500000000000001</v>
      </c>
      <c r="I22" s="10">
        <v>51088200</v>
      </c>
      <c r="J22" s="12" t="s">
        <v>3170</v>
      </c>
      <c r="K22" s="10">
        <v>5654</v>
      </c>
      <c r="L22" s="12" t="s">
        <v>3171</v>
      </c>
      <c r="M22" s="10">
        <v>16130904802</v>
      </c>
      <c r="N22" s="10">
        <v>1853303</v>
      </c>
      <c r="O22" s="12">
        <v>12</v>
      </c>
    </row>
    <row r="23" spans="1:15" ht="27" x14ac:dyDescent="0.3">
      <c r="A23" s="9">
        <v>43471</v>
      </c>
      <c r="B23" s="12">
        <v>243</v>
      </c>
      <c r="C23" s="11">
        <v>3.1E-2</v>
      </c>
      <c r="D23" s="12">
        <v>328</v>
      </c>
      <c r="E23" s="11">
        <v>1.7000000000000001E-2</v>
      </c>
      <c r="F23" s="10">
        <v>37770</v>
      </c>
      <c r="G23" s="11">
        <v>1.2999999999999999E-2</v>
      </c>
      <c r="H23" s="11">
        <v>0.113</v>
      </c>
      <c r="I23" s="10">
        <v>38035050</v>
      </c>
      <c r="J23" s="12" t="s">
        <v>3172</v>
      </c>
      <c r="K23" s="10">
        <v>4253</v>
      </c>
      <c r="L23" s="12" t="s">
        <v>3173</v>
      </c>
      <c r="M23" s="10">
        <v>16168939852</v>
      </c>
      <c r="N23" s="10">
        <v>1857556</v>
      </c>
      <c r="O23" s="12">
        <v>12</v>
      </c>
    </row>
    <row r="24" spans="1:15" ht="27" x14ac:dyDescent="0.3">
      <c r="A24" s="9">
        <v>43472</v>
      </c>
      <c r="B24" s="12">
        <v>240</v>
      </c>
      <c r="C24" s="11">
        <v>3.5000000000000003E-2</v>
      </c>
      <c r="D24" s="12">
        <v>335</v>
      </c>
      <c r="E24" s="11">
        <v>1.9E-2</v>
      </c>
      <c r="F24" s="10">
        <v>38859</v>
      </c>
      <c r="G24" s="11">
        <v>1.4E-2</v>
      </c>
      <c r="H24" s="11">
        <v>6.0999999999999999E-2</v>
      </c>
      <c r="I24" s="10">
        <v>19188150</v>
      </c>
      <c r="J24" s="12" t="s">
        <v>3174</v>
      </c>
      <c r="K24" s="10">
        <v>2373</v>
      </c>
      <c r="L24" s="12" t="s">
        <v>3175</v>
      </c>
      <c r="M24" s="10">
        <v>16188128002</v>
      </c>
      <c r="N24" s="10">
        <v>1859929</v>
      </c>
      <c r="O24" s="12">
        <v>14</v>
      </c>
    </row>
    <row r="25" spans="1:15" ht="27" x14ac:dyDescent="0.3">
      <c r="A25" s="9">
        <v>43473</v>
      </c>
      <c r="B25" s="12">
        <v>242</v>
      </c>
      <c r="C25" s="11">
        <v>3.5000000000000003E-2</v>
      </c>
      <c r="D25" s="12">
        <v>341</v>
      </c>
      <c r="E25" s="11">
        <v>1.9E-2</v>
      </c>
      <c r="F25" s="10">
        <v>39851</v>
      </c>
      <c r="G25" s="11">
        <v>1.4E-2</v>
      </c>
      <c r="H25" s="11">
        <v>5.7000000000000002E-2</v>
      </c>
      <c r="I25" s="10">
        <v>18379250</v>
      </c>
      <c r="J25" s="12" t="s">
        <v>3176</v>
      </c>
      <c r="K25" s="10">
        <v>2254</v>
      </c>
      <c r="L25" s="12" t="s">
        <v>3177</v>
      </c>
      <c r="M25" s="10">
        <v>16206507252</v>
      </c>
      <c r="N25" s="10">
        <v>1862183</v>
      </c>
      <c r="O25" s="12">
        <v>15</v>
      </c>
    </row>
    <row r="26" spans="1:15" ht="27" x14ac:dyDescent="0.3">
      <c r="A26" s="9">
        <v>43474</v>
      </c>
      <c r="B26" s="12">
        <v>11</v>
      </c>
      <c r="C26" s="11">
        <v>2E-3</v>
      </c>
      <c r="D26" s="12">
        <v>19</v>
      </c>
      <c r="E26" s="11">
        <v>1E-3</v>
      </c>
      <c r="F26" s="10">
        <v>2326</v>
      </c>
      <c r="G26" s="11">
        <v>1E-3</v>
      </c>
      <c r="H26" s="11">
        <v>6.9000000000000006E-2</v>
      </c>
      <c r="I26" s="10">
        <v>1320700</v>
      </c>
      <c r="J26" s="12" t="s">
        <v>3178</v>
      </c>
      <c r="K26" s="12">
        <v>160</v>
      </c>
      <c r="L26" s="12" t="s">
        <v>3179</v>
      </c>
      <c r="M26" s="10">
        <v>16207827952</v>
      </c>
      <c r="N26" s="10">
        <v>1862343</v>
      </c>
      <c r="O26" s="12">
        <v>36</v>
      </c>
    </row>
    <row r="27" spans="1:15" ht="27" x14ac:dyDescent="0.3">
      <c r="A27" s="9">
        <v>43475</v>
      </c>
      <c r="B27" s="12">
        <v>12</v>
      </c>
      <c r="C27" s="11">
        <v>2E-3</v>
      </c>
      <c r="D27" s="12">
        <v>17</v>
      </c>
      <c r="E27" s="11">
        <v>1E-3</v>
      </c>
      <c r="F27" s="10">
        <v>2111</v>
      </c>
      <c r="G27" s="11">
        <v>1E-3</v>
      </c>
      <c r="H27" s="11">
        <v>0.08</v>
      </c>
      <c r="I27" s="10">
        <v>1316100</v>
      </c>
      <c r="J27" s="12" t="s">
        <v>3180</v>
      </c>
      <c r="K27" s="12">
        <v>168</v>
      </c>
      <c r="L27" s="12" t="s">
        <v>3181</v>
      </c>
      <c r="M27" s="10">
        <v>16209144052</v>
      </c>
      <c r="N27" s="10">
        <v>1862511</v>
      </c>
      <c r="O27" s="12">
        <v>39</v>
      </c>
    </row>
    <row r="28" spans="1:15" ht="27" x14ac:dyDescent="0.3">
      <c r="A28" s="9">
        <v>43476</v>
      </c>
      <c r="B28" s="12">
        <v>10</v>
      </c>
      <c r="C28" s="11">
        <v>1E-3</v>
      </c>
      <c r="D28" s="12">
        <v>16</v>
      </c>
      <c r="E28" s="11">
        <v>1E-3</v>
      </c>
      <c r="F28" s="10">
        <v>2038</v>
      </c>
      <c r="G28" s="11">
        <v>1E-3</v>
      </c>
      <c r="H28" s="11">
        <v>0.06</v>
      </c>
      <c r="I28" s="10">
        <v>1105200</v>
      </c>
      <c r="J28" s="12" t="s">
        <v>3182</v>
      </c>
      <c r="K28" s="12">
        <v>123</v>
      </c>
      <c r="L28" s="12" t="s">
        <v>3183</v>
      </c>
      <c r="M28" s="10">
        <v>16210249252</v>
      </c>
      <c r="N28" s="10">
        <v>1862634</v>
      </c>
      <c r="O28" s="12">
        <v>36</v>
      </c>
    </row>
    <row r="29" spans="1:15" ht="27" x14ac:dyDescent="0.3">
      <c r="A29" s="9">
        <v>43477</v>
      </c>
      <c r="B29" s="12">
        <v>10</v>
      </c>
      <c r="C29" s="11">
        <v>1E-3</v>
      </c>
      <c r="D29" s="12">
        <v>14</v>
      </c>
      <c r="E29" s="11">
        <v>1E-3</v>
      </c>
      <c r="F29" s="10">
        <v>2157</v>
      </c>
      <c r="G29" s="11">
        <v>1E-3</v>
      </c>
      <c r="H29" s="11">
        <v>0.20499999999999999</v>
      </c>
      <c r="I29" s="10">
        <v>3984780</v>
      </c>
      <c r="J29" s="12" t="s">
        <v>3184</v>
      </c>
      <c r="K29" s="12">
        <v>443</v>
      </c>
      <c r="L29" s="12" t="s">
        <v>3185</v>
      </c>
      <c r="M29" s="10">
        <v>16214234032</v>
      </c>
      <c r="N29" s="10">
        <v>1863077</v>
      </c>
      <c r="O29" s="12">
        <v>25</v>
      </c>
    </row>
    <row r="30" spans="1:15" ht="27" x14ac:dyDescent="0.3">
      <c r="A30" s="9">
        <v>43478</v>
      </c>
      <c r="B30" s="12">
        <v>9</v>
      </c>
      <c r="C30" s="11">
        <v>1E-3</v>
      </c>
      <c r="D30" s="12">
        <v>12</v>
      </c>
      <c r="E30" s="11">
        <v>1E-3</v>
      </c>
      <c r="F30" s="10">
        <v>1800</v>
      </c>
      <c r="G30" s="11">
        <v>1E-3</v>
      </c>
      <c r="H30" s="11">
        <v>0.114</v>
      </c>
      <c r="I30" s="10">
        <v>1814280</v>
      </c>
      <c r="J30" s="12" t="s">
        <v>3186</v>
      </c>
      <c r="K30" s="12">
        <v>206</v>
      </c>
      <c r="L30" s="12" t="s">
        <v>3187</v>
      </c>
      <c r="M30" s="10">
        <v>16216048312</v>
      </c>
      <c r="N30" s="10">
        <v>1863283</v>
      </c>
      <c r="O30" s="12">
        <v>28</v>
      </c>
    </row>
    <row r="31" spans="1:15" ht="27" x14ac:dyDescent="0.3">
      <c r="A31" s="9">
        <v>43479</v>
      </c>
      <c r="B31" s="12">
        <v>8</v>
      </c>
      <c r="C31" s="11">
        <v>1E-3</v>
      </c>
      <c r="D31" s="12">
        <v>10</v>
      </c>
      <c r="E31" s="11">
        <v>1E-3</v>
      </c>
      <c r="F31" s="10">
        <v>1372</v>
      </c>
      <c r="G31" s="11">
        <v>0</v>
      </c>
      <c r="H31" s="11">
        <v>5.8000000000000003E-2</v>
      </c>
      <c r="I31" s="10">
        <v>598500</v>
      </c>
      <c r="J31" s="12" t="s">
        <v>3188</v>
      </c>
      <c r="K31" s="12">
        <v>80</v>
      </c>
      <c r="L31" s="12" t="s">
        <v>3189</v>
      </c>
      <c r="M31" s="10">
        <v>16216646812</v>
      </c>
      <c r="N31" s="10">
        <v>1863363</v>
      </c>
      <c r="O31" s="12">
        <v>44</v>
      </c>
    </row>
    <row r="32" spans="1:15" ht="27" x14ac:dyDescent="0.3">
      <c r="A32" s="9">
        <v>43480</v>
      </c>
      <c r="B32" s="12">
        <v>10</v>
      </c>
      <c r="C32" s="11">
        <v>2E-3</v>
      </c>
      <c r="D32" s="12">
        <v>11</v>
      </c>
      <c r="E32" s="11">
        <v>1E-3</v>
      </c>
      <c r="F32" s="10">
        <v>1495</v>
      </c>
      <c r="G32" s="11">
        <v>1E-3</v>
      </c>
      <c r="H32" s="11">
        <v>7.1999999999999995E-2</v>
      </c>
      <c r="I32" s="10">
        <v>777630</v>
      </c>
      <c r="J32" s="12" t="s">
        <v>3190</v>
      </c>
      <c r="K32" s="12">
        <v>108</v>
      </c>
      <c r="L32" s="12" t="s">
        <v>3191</v>
      </c>
      <c r="M32" s="10">
        <v>16217424442</v>
      </c>
      <c r="N32" s="10">
        <v>1863471</v>
      </c>
      <c r="O32" s="12">
        <v>44</v>
      </c>
    </row>
    <row r="33" spans="1:15" ht="27" x14ac:dyDescent="0.3">
      <c r="A33" s="9">
        <v>43481</v>
      </c>
      <c r="B33" s="12">
        <v>5</v>
      </c>
      <c r="C33" s="11">
        <v>1E-3</v>
      </c>
      <c r="D33" s="12">
        <v>5</v>
      </c>
      <c r="E33" s="11">
        <v>0</v>
      </c>
      <c r="F33" s="12">
        <v>918</v>
      </c>
      <c r="G33" s="11">
        <v>0</v>
      </c>
      <c r="H33" s="11">
        <v>4.4999999999999998E-2</v>
      </c>
      <c r="I33" s="10">
        <v>299000</v>
      </c>
      <c r="J33" s="12" t="s">
        <v>3192</v>
      </c>
      <c r="K33" s="12">
        <v>41</v>
      </c>
      <c r="L33" s="12" t="s">
        <v>3193</v>
      </c>
      <c r="M33" s="10">
        <v>16217723442</v>
      </c>
      <c r="N33" s="10">
        <v>1863512</v>
      </c>
      <c r="O33" s="12">
        <v>63</v>
      </c>
    </row>
    <row r="34" spans="1:15" ht="27" x14ac:dyDescent="0.3">
      <c r="A34" s="9">
        <v>43482</v>
      </c>
      <c r="B34" s="12">
        <v>2</v>
      </c>
      <c r="C34" s="11">
        <v>0</v>
      </c>
      <c r="D34" s="12">
        <v>2</v>
      </c>
      <c r="E34" s="11">
        <v>0</v>
      </c>
      <c r="F34" s="12">
        <v>373</v>
      </c>
      <c r="G34" s="11">
        <v>0</v>
      </c>
      <c r="H34" s="11">
        <v>7.8E-2</v>
      </c>
      <c r="I34" s="10">
        <v>215000</v>
      </c>
      <c r="J34" s="12" t="s">
        <v>3194</v>
      </c>
      <c r="K34" s="12">
        <v>29</v>
      </c>
      <c r="L34" s="12" t="s">
        <v>3195</v>
      </c>
      <c r="M34" s="10">
        <v>16217938442</v>
      </c>
      <c r="N34" s="10">
        <v>1863541</v>
      </c>
      <c r="O34" s="12">
        <v>63</v>
      </c>
    </row>
    <row r="35" spans="1:15" ht="27" x14ac:dyDescent="0.3">
      <c r="A35" s="9">
        <v>43483</v>
      </c>
      <c r="B35" s="12">
        <v>2</v>
      </c>
      <c r="C35" s="11">
        <v>0</v>
      </c>
      <c r="D35" s="12">
        <v>2</v>
      </c>
      <c r="E35" s="11">
        <v>0</v>
      </c>
      <c r="F35" s="12">
        <v>373</v>
      </c>
      <c r="G35" s="11">
        <v>0</v>
      </c>
      <c r="H35" s="11">
        <v>5.3999999999999999E-2</v>
      </c>
      <c r="I35" s="10">
        <v>164000</v>
      </c>
      <c r="J35" s="12" t="s">
        <v>3196</v>
      </c>
      <c r="K35" s="12">
        <v>20</v>
      </c>
      <c r="L35" s="12" t="s">
        <v>3197</v>
      </c>
      <c r="M35" s="10">
        <v>16218102442</v>
      </c>
      <c r="N35" s="10">
        <v>1863561</v>
      </c>
      <c r="O35" s="12">
        <v>64</v>
      </c>
    </row>
    <row r="36" spans="1:15" ht="27" x14ac:dyDescent="0.3">
      <c r="A36" s="9">
        <v>43484</v>
      </c>
      <c r="B36" s="12">
        <v>3</v>
      </c>
      <c r="C36" s="11">
        <v>0</v>
      </c>
      <c r="D36" s="12">
        <v>3</v>
      </c>
      <c r="E36" s="11">
        <v>0</v>
      </c>
      <c r="F36" s="12">
        <v>471</v>
      </c>
      <c r="G36" s="11">
        <v>0</v>
      </c>
      <c r="H36" s="11">
        <v>7.1999999999999995E-2</v>
      </c>
      <c r="I36" s="10">
        <v>279000</v>
      </c>
      <c r="J36" s="12" t="s">
        <v>3198</v>
      </c>
      <c r="K36" s="12">
        <v>34</v>
      </c>
      <c r="L36" s="12" t="s">
        <v>3199</v>
      </c>
      <c r="M36" s="10">
        <v>16218381442</v>
      </c>
      <c r="N36" s="10">
        <v>1863595</v>
      </c>
      <c r="O36" s="12">
        <v>61</v>
      </c>
    </row>
    <row r="37" spans="1:15" ht="27" x14ac:dyDescent="0.3">
      <c r="A37" s="9">
        <v>43485</v>
      </c>
      <c r="B37" s="12">
        <v>2</v>
      </c>
      <c r="C37" s="11">
        <v>0</v>
      </c>
      <c r="D37" s="12">
        <v>2</v>
      </c>
      <c r="E37" s="11">
        <v>0</v>
      </c>
      <c r="F37" s="12">
        <v>307</v>
      </c>
      <c r="G37" s="11">
        <v>0</v>
      </c>
      <c r="H37" s="11">
        <v>0.182</v>
      </c>
      <c r="I37" s="10">
        <v>543000</v>
      </c>
      <c r="J37" s="12" t="s">
        <v>3200</v>
      </c>
      <c r="K37" s="12">
        <v>56</v>
      </c>
      <c r="L37" s="12" t="s">
        <v>3201</v>
      </c>
      <c r="M37" s="10">
        <v>16218924442</v>
      </c>
      <c r="N37" s="10">
        <v>1863651</v>
      </c>
      <c r="O37" s="12">
        <v>46</v>
      </c>
    </row>
    <row r="38" spans="1:15" ht="27" x14ac:dyDescent="0.3">
      <c r="A38" s="9">
        <v>43486</v>
      </c>
      <c r="B38" s="12">
        <v>2</v>
      </c>
      <c r="C38" s="11">
        <v>0</v>
      </c>
      <c r="D38" s="12">
        <v>2</v>
      </c>
      <c r="E38" s="11">
        <v>0</v>
      </c>
      <c r="F38" s="12">
        <v>307</v>
      </c>
      <c r="G38" s="11">
        <v>0</v>
      </c>
      <c r="H38" s="11">
        <v>4.9000000000000002E-2</v>
      </c>
      <c r="I38" s="10">
        <v>101000</v>
      </c>
      <c r="J38" s="12" t="s">
        <v>3202</v>
      </c>
      <c r="K38" s="12">
        <v>15</v>
      </c>
      <c r="L38" s="12" t="s">
        <v>3203</v>
      </c>
      <c r="M38" s="10">
        <v>16219025442</v>
      </c>
      <c r="N38" s="10">
        <v>1863666</v>
      </c>
      <c r="O38" s="12">
        <v>63</v>
      </c>
    </row>
    <row r="39" spans="1:15" ht="27" x14ac:dyDescent="0.3">
      <c r="A39" s="9">
        <v>43487</v>
      </c>
      <c r="B39" s="12">
        <v>2</v>
      </c>
      <c r="C39" s="11">
        <v>0</v>
      </c>
      <c r="D39" s="12">
        <v>2</v>
      </c>
      <c r="E39" s="11">
        <v>0</v>
      </c>
      <c r="F39" s="12">
        <v>307</v>
      </c>
      <c r="G39" s="11">
        <v>0</v>
      </c>
      <c r="H39" s="11">
        <v>8.1000000000000003E-2</v>
      </c>
      <c r="I39" s="10">
        <v>190000</v>
      </c>
      <c r="J39" s="12" t="s">
        <v>3204</v>
      </c>
      <c r="K39" s="12">
        <v>25</v>
      </c>
      <c r="L39" s="12" t="s">
        <v>1986</v>
      </c>
      <c r="M39" s="10">
        <v>16219215442</v>
      </c>
      <c r="N39" s="10">
        <v>1863691</v>
      </c>
      <c r="O39" s="12">
        <v>67</v>
      </c>
    </row>
    <row r="40" spans="1:15" ht="27" x14ac:dyDescent="0.3">
      <c r="A40" s="9">
        <v>43488</v>
      </c>
      <c r="B40" s="12">
        <v>1</v>
      </c>
      <c r="C40" s="11">
        <v>0</v>
      </c>
      <c r="D40" s="12">
        <v>1</v>
      </c>
      <c r="E40" s="11">
        <v>0</v>
      </c>
      <c r="F40" s="12">
        <v>405</v>
      </c>
      <c r="G40" s="11">
        <v>0</v>
      </c>
      <c r="H40" s="11">
        <v>2.1999999999999999E-2</v>
      </c>
      <c r="I40" s="10">
        <v>71000</v>
      </c>
      <c r="J40" s="12" t="s">
        <v>3205</v>
      </c>
      <c r="K40" s="12">
        <v>9</v>
      </c>
      <c r="L40" s="12" t="s">
        <v>3206</v>
      </c>
      <c r="M40" s="10">
        <v>16219286442</v>
      </c>
      <c r="N40" s="10">
        <v>1863700</v>
      </c>
      <c r="O40" s="12">
        <v>74</v>
      </c>
    </row>
    <row r="41" spans="1:15" ht="27" x14ac:dyDescent="0.3">
      <c r="A41" s="9">
        <v>43489</v>
      </c>
      <c r="B41" s="12">
        <v>1</v>
      </c>
      <c r="C41" s="11">
        <v>0</v>
      </c>
      <c r="D41" s="12">
        <v>1</v>
      </c>
      <c r="E41" s="11">
        <v>0</v>
      </c>
      <c r="F41" s="12">
        <v>160</v>
      </c>
      <c r="G41" s="11">
        <v>0</v>
      </c>
      <c r="H41" s="11">
        <v>0.05</v>
      </c>
      <c r="I41" s="10">
        <v>56000</v>
      </c>
      <c r="J41" s="12" t="s">
        <v>3207</v>
      </c>
      <c r="K41" s="12">
        <v>8</v>
      </c>
      <c r="L41" s="12" t="s">
        <v>3208</v>
      </c>
      <c r="M41" s="10">
        <v>16219342442</v>
      </c>
      <c r="N41" s="10">
        <v>1863708</v>
      </c>
      <c r="O41" s="12">
        <v>73</v>
      </c>
    </row>
    <row r="42" spans="1:15" ht="27" x14ac:dyDescent="0.3">
      <c r="A42" s="9">
        <v>43490</v>
      </c>
      <c r="B42" s="12">
        <v>1</v>
      </c>
      <c r="C42" s="11">
        <v>0</v>
      </c>
      <c r="D42" s="12">
        <v>1</v>
      </c>
      <c r="E42" s="11">
        <v>0</v>
      </c>
      <c r="F42" s="12">
        <v>160</v>
      </c>
      <c r="G42" s="11">
        <v>0</v>
      </c>
      <c r="H42" s="11">
        <v>6.0000000000000001E-3</v>
      </c>
      <c r="I42" s="10">
        <v>6000</v>
      </c>
      <c r="J42" s="12" t="s">
        <v>3209</v>
      </c>
      <c r="K42" s="12">
        <v>1</v>
      </c>
      <c r="L42" s="12" t="s">
        <v>3210</v>
      </c>
      <c r="M42" s="10">
        <v>16219348442</v>
      </c>
      <c r="N42" s="10">
        <v>1863709</v>
      </c>
      <c r="O42" s="12">
        <v>81</v>
      </c>
    </row>
    <row r="43" spans="1:15" ht="27" x14ac:dyDescent="0.3">
      <c r="A43" s="9">
        <v>43492</v>
      </c>
      <c r="B43" s="12">
        <v>1</v>
      </c>
      <c r="C43" s="11">
        <v>0</v>
      </c>
      <c r="D43" s="12">
        <v>1</v>
      </c>
      <c r="E43" s="11">
        <v>0</v>
      </c>
      <c r="F43" s="12">
        <v>160</v>
      </c>
      <c r="G43" s="11">
        <v>0</v>
      </c>
      <c r="H43" s="11">
        <v>6.0000000000000001E-3</v>
      </c>
      <c r="I43" s="10">
        <v>7000</v>
      </c>
      <c r="J43" s="12" t="s">
        <v>1411</v>
      </c>
      <c r="K43" s="12">
        <v>1</v>
      </c>
      <c r="L43" s="12" t="s">
        <v>312</v>
      </c>
      <c r="M43" s="10">
        <v>16219355442</v>
      </c>
      <c r="N43" s="10">
        <v>1863710</v>
      </c>
      <c r="O43" s="12">
        <v>70</v>
      </c>
    </row>
    <row r="44" spans="1:15" ht="27" x14ac:dyDescent="0.3">
      <c r="A44" s="9">
        <v>43493</v>
      </c>
      <c r="B44" s="12">
        <v>1</v>
      </c>
      <c r="C44" s="11">
        <v>0</v>
      </c>
      <c r="D44" s="12">
        <v>1</v>
      </c>
      <c r="E44" s="11">
        <v>0</v>
      </c>
      <c r="F44" s="12">
        <v>160</v>
      </c>
      <c r="G44" s="11">
        <v>0</v>
      </c>
      <c r="H44" s="11">
        <v>1.2999999999999999E-2</v>
      </c>
      <c r="I44" s="10">
        <v>12000</v>
      </c>
      <c r="J44" s="12" t="s">
        <v>3211</v>
      </c>
      <c r="K44" s="12">
        <v>2</v>
      </c>
      <c r="L44" s="12" t="s">
        <v>312</v>
      </c>
      <c r="M44" s="10">
        <v>16219367442</v>
      </c>
      <c r="N44" s="10">
        <v>1863712</v>
      </c>
      <c r="O44" s="12">
        <v>71</v>
      </c>
    </row>
    <row r="45" spans="1:15" ht="27" x14ac:dyDescent="0.3">
      <c r="A45" s="9">
        <v>43494</v>
      </c>
      <c r="B45" s="12">
        <v>2</v>
      </c>
      <c r="C45" s="11">
        <v>0</v>
      </c>
      <c r="D45" s="12">
        <v>2</v>
      </c>
      <c r="E45" s="11">
        <v>0</v>
      </c>
      <c r="F45" s="12">
        <v>264</v>
      </c>
      <c r="G45" s="11">
        <v>0</v>
      </c>
      <c r="H45" s="11">
        <v>8.0000000000000002E-3</v>
      </c>
      <c r="I45" s="10">
        <v>11000</v>
      </c>
      <c r="J45" s="12" t="s">
        <v>3212</v>
      </c>
      <c r="K45" s="12">
        <v>2</v>
      </c>
      <c r="L45" s="12" t="s">
        <v>292</v>
      </c>
      <c r="M45" s="10">
        <v>16219378442</v>
      </c>
      <c r="N45" s="10">
        <v>1863714</v>
      </c>
      <c r="O45" s="12">
        <v>90</v>
      </c>
    </row>
    <row r="46" spans="1:15" ht="27" x14ac:dyDescent="0.3">
      <c r="A46" s="9">
        <v>43495</v>
      </c>
      <c r="B46" s="12">
        <v>2</v>
      </c>
      <c r="C46" s="11">
        <v>0</v>
      </c>
      <c r="D46" s="12">
        <v>2</v>
      </c>
      <c r="E46" s="11">
        <v>0</v>
      </c>
      <c r="F46" s="12">
        <v>257</v>
      </c>
      <c r="G46" s="11">
        <v>0</v>
      </c>
      <c r="H46" s="11">
        <v>1.2E-2</v>
      </c>
      <c r="I46" s="10">
        <v>17000</v>
      </c>
      <c r="J46" s="12" t="s">
        <v>3213</v>
      </c>
      <c r="K46" s="12">
        <v>3</v>
      </c>
      <c r="L46" s="12" t="s">
        <v>291</v>
      </c>
      <c r="M46" s="10">
        <v>16219395442</v>
      </c>
      <c r="N46" s="10">
        <v>1863717</v>
      </c>
      <c r="O46" s="12">
        <v>71</v>
      </c>
    </row>
    <row r="47" spans="1:15" ht="27" x14ac:dyDescent="0.3">
      <c r="A47" s="9">
        <v>43510</v>
      </c>
      <c r="B47" s="12">
        <v>1</v>
      </c>
      <c r="C47" s="11">
        <v>0</v>
      </c>
      <c r="D47" s="12">
        <v>1</v>
      </c>
      <c r="E47" s="11">
        <v>0</v>
      </c>
      <c r="F47" s="12">
        <v>389</v>
      </c>
      <c r="G47" s="11">
        <v>0</v>
      </c>
      <c r="H47" s="11">
        <v>0.92300000000000004</v>
      </c>
      <c r="I47" s="10">
        <v>3051500</v>
      </c>
      <c r="J47" s="12" t="s">
        <v>3214</v>
      </c>
      <c r="K47" s="12">
        <v>359</v>
      </c>
      <c r="L47" s="12" t="s">
        <v>3215</v>
      </c>
      <c r="M47" s="10">
        <v>16222446942</v>
      </c>
      <c r="N47" s="10">
        <v>1864076</v>
      </c>
      <c r="O47" s="12">
        <v>25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B3075-1472-4F1E-A79C-4D8091468085}">
  <dimension ref="A1:O46"/>
  <sheetViews>
    <sheetView workbookViewId="0">
      <selection activeCell="A5" sqref="A5:O10"/>
    </sheetView>
  </sheetViews>
  <sheetFormatPr defaultRowHeight="16.5" x14ac:dyDescent="0.3"/>
  <sheetData>
    <row r="1" spans="1:15" ht="19.5" x14ac:dyDescent="0.3">
      <c r="A1" s="197" t="s">
        <v>3216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43501</v>
      </c>
      <c r="B5" s="12">
        <v>919</v>
      </c>
      <c r="C5" s="11">
        <v>0.16400000000000001</v>
      </c>
      <c r="D5" s="10">
        <v>3456</v>
      </c>
      <c r="E5" s="11">
        <v>0.16800000000000001</v>
      </c>
      <c r="F5" s="10">
        <v>515419</v>
      </c>
      <c r="G5" s="11">
        <v>0.161</v>
      </c>
      <c r="H5" s="11">
        <v>0.51300000000000001</v>
      </c>
      <c r="I5" s="10">
        <v>2662761200</v>
      </c>
      <c r="J5" s="12" t="s">
        <v>3217</v>
      </c>
      <c r="K5" s="10">
        <v>264263</v>
      </c>
      <c r="L5" s="12" t="s">
        <v>3218</v>
      </c>
      <c r="M5" s="10">
        <v>2846416200</v>
      </c>
      <c r="N5" s="10">
        <v>276963</v>
      </c>
      <c r="O5" s="12">
        <v>2</v>
      </c>
    </row>
    <row r="6" spans="1:15" ht="27" x14ac:dyDescent="0.3">
      <c r="A6" s="9">
        <v>43502</v>
      </c>
      <c r="B6" s="10">
        <v>1004</v>
      </c>
      <c r="C6" s="11">
        <v>0.16400000000000001</v>
      </c>
      <c r="D6" s="10">
        <v>3523</v>
      </c>
      <c r="E6" s="11">
        <v>0.17199999999999999</v>
      </c>
      <c r="F6" s="10">
        <v>521252</v>
      </c>
      <c r="G6" s="11">
        <v>0.16300000000000001</v>
      </c>
      <c r="H6" s="11">
        <v>0.54200000000000004</v>
      </c>
      <c r="I6" s="10">
        <v>2753199740</v>
      </c>
      <c r="J6" s="12" t="s">
        <v>3219</v>
      </c>
      <c r="K6" s="10">
        <v>282430</v>
      </c>
      <c r="L6" s="12" t="s">
        <v>3220</v>
      </c>
      <c r="M6" s="10">
        <v>5599615940</v>
      </c>
      <c r="N6" s="10">
        <v>559393</v>
      </c>
      <c r="O6" s="12">
        <v>2</v>
      </c>
    </row>
    <row r="7" spans="1:15" ht="54" x14ac:dyDescent="0.3">
      <c r="A7" s="9">
        <v>43503</v>
      </c>
      <c r="B7" s="12">
        <v>966</v>
      </c>
      <c r="C7" s="11">
        <v>0.16600000000000001</v>
      </c>
      <c r="D7" s="10">
        <v>3905</v>
      </c>
      <c r="E7" s="11">
        <v>0.20200000000000001</v>
      </c>
      <c r="F7" s="10">
        <v>603377</v>
      </c>
      <c r="G7" s="11">
        <v>0.19900000000000001</v>
      </c>
      <c r="H7" s="11">
        <v>0.19800000000000001</v>
      </c>
      <c r="I7" s="10">
        <v>1068592580</v>
      </c>
      <c r="J7" s="12" t="s">
        <v>3221</v>
      </c>
      <c r="K7" s="10">
        <v>119475</v>
      </c>
      <c r="L7" s="12" t="s">
        <v>3222</v>
      </c>
      <c r="M7" s="10">
        <v>6668208520</v>
      </c>
      <c r="N7" s="10">
        <v>678868</v>
      </c>
      <c r="O7" s="12">
        <v>2</v>
      </c>
    </row>
    <row r="8" spans="1:15" ht="27" x14ac:dyDescent="0.3">
      <c r="A8" s="9">
        <v>43504</v>
      </c>
      <c r="B8" s="12">
        <v>994</v>
      </c>
      <c r="C8" s="11">
        <v>0.17</v>
      </c>
      <c r="D8" s="10">
        <v>4039</v>
      </c>
      <c r="E8" s="11">
        <v>0.20699999999999999</v>
      </c>
      <c r="F8" s="10">
        <v>625431</v>
      </c>
      <c r="G8" s="11">
        <v>0.20499999999999999</v>
      </c>
      <c r="H8" s="11">
        <v>0.183</v>
      </c>
      <c r="I8" s="10">
        <v>1116482674</v>
      </c>
      <c r="J8" s="12" t="s">
        <v>3223</v>
      </c>
      <c r="K8" s="10">
        <v>114672</v>
      </c>
      <c r="L8" s="12" t="s">
        <v>3224</v>
      </c>
      <c r="M8" s="10">
        <v>7784691194</v>
      </c>
      <c r="N8" s="10">
        <v>793540</v>
      </c>
      <c r="O8" s="12">
        <v>2</v>
      </c>
    </row>
    <row r="9" spans="1:15" ht="40.5" x14ac:dyDescent="0.3">
      <c r="A9" s="9">
        <v>43505</v>
      </c>
      <c r="B9" s="10">
        <v>1043</v>
      </c>
      <c r="C9" s="11">
        <v>0.17299999999999999</v>
      </c>
      <c r="D9" s="10">
        <v>4268</v>
      </c>
      <c r="E9" s="11">
        <v>0.21099999999999999</v>
      </c>
      <c r="F9" s="10">
        <v>660831</v>
      </c>
      <c r="G9" s="11">
        <v>0.21</v>
      </c>
      <c r="H9" s="11">
        <v>0.374</v>
      </c>
      <c r="I9" s="10">
        <v>2366823615</v>
      </c>
      <c r="J9" s="12" t="s">
        <v>3225</v>
      </c>
      <c r="K9" s="10">
        <v>247117</v>
      </c>
      <c r="L9" s="12" t="s">
        <v>3226</v>
      </c>
      <c r="M9" s="10">
        <v>10151514809</v>
      </c>
      <c r="N9" s="10">
        <v>1040657</v>
      </c>
      <c r="O9" s="12">
        <v>2</v>
      </c>
    </row>
    <row r="10" spans="1:15" ht="40.5" x14ac:dyDescent="0.3">
      <c r="A10" s="9">
        <v>43506</v>
      </c>
      <c r="B10" s="10">
        <v>1012</v>
      </c>
      <c r="C10" s="11">
        <v>0.17100000000000001</v>
      </c>
      <c r="D10" s="10">
        <v>4158</v>
      </c>
      <c r="E10" s="11">
        <v>0.21</v>
      </c>
      <c r="F10" s="10">
        <v>644084</v>
      </c>
      <c r="G10" s="11">
        <v>0.20799999999999999</v>
      </c>
      <c r="H10" s="11">
        <v>0.33600000000000002</v>
      </c>
      <c r="I10" s="10">
        <v>2046484270</v>
      </c>
      <c r="J10" s="12" t="s">
        <v>3227</v>
      </c>
      <c r="K10" s="10">
        <v>216214</v>
      </c>
      <c r="L10" s="12" t="s">
        <v>3228</v>
      </c>
      <c r="M10" s="10">
        <v>12197999079</v>
      </c>
      <c r="N10" s="10">
        <v>1256871</v>
      </c>
      <c r="O10" s="12">
        <v>2</v>
      </c>
    </row>
    <row r="11" spans="1:15" ht="54" x14ac:dyDescent="0.3">
      <c r="A11" s="9">
        <v>43507</v>
      </c>
      <c r="B11" s="12">
        <v>946</v>
      </c>
      <c r="C11" s="11">
        <v>0.17699999999999999</v>
      </c>
      <c r="D11" s="10">
        <v>4047</v>
      </c>
      <c r="E11" s="11">
        <v>0.219</v>
      </c>
      <c r="F11" s="10">
        <v>638441</v>
      </c>
      <c r="G11" s="11">
        <v>0.22</v>
      </c>
      <c r="H11" s="11">
        <v>0.10299999999999999</v>
      </c>
      <c r="I11" s="10">
        <v>585676860</v>
      </c>
      <c r="J11" s="12" t="s">
        <v>3229</v>
      </c>
      <c r="K11" s="10">
        <v>66011</v>
      </c>
      <c r="L11" s="12" t="s">
        <v>3230</v>
      </c>
      <c r="M11" s="10">
        <v>12783675939</v>
      </c>
      <c r="N11" s="10">
        <v>1322882</v>
      </c>
      <c r="O11" s="12">
        <v>2</v>
      </c>
    </row>
    <row r="12" spans="1:15" ht="27" x14ac:dyDescent="0.3">
      <c r="A12" s="9">
        <v>43508</v>
      </c>
      <c r="B12" s="12">
        <v>966</v>
      </c>
      <c r="C12" s="11">
        <v>0.17199999999999999</v>
      </c>
      <c r="D12" s="10">
        <v>4010</v>
      </c>
      <c r="E12" s="11">
        <v>0.216</v>
      </c>
      <c r="F12" s="10">
        <v>630538</v>
      </c>
      <c r="G12" s="11">
        <v>0.216</v>
      </c>
      <c r="H12" s="11">
        <v>0.10100000000000001</v>
      </c>
      <c r="I12" s="10">
        <v>546423210</v>
      </c>
      <c r="J12" s="12" t="s">
        <v>3231</v>
      </c>
      <c r="K12" s="10">
        <v>63473</v>
      </c>
      <c r="L12" s="12" t="s">
        <v>3232</v>
      </c>
      <c r="M12" s="10">
        <v>13330099149</v>
      </c>
      <c r="N12" s="10">
        <v>1386355</v>
      </c>
      <c r="O12" s="12">
        <v>2</v>
      </c>
    </row>
    <row r="13" spans="1:15" ht="40.5" x14ac:dyDescent="0.3">
      <c r="A13" s="9">
        <v>43509</v>
      </c>
      <c r="B13" s="12">
        <v>673</v>
      </c>
      <c r="C13" s="11">
        <v>0.129</v>
      </c>
      <c r="D13" s="10">
        <v>2679</v>
      </c>
      <c r="E13" s="11">
        <v>0.14299999999999999</v>
      </c>
      <c r="F13" s="10">
        <v>421838</v>
      </c>
      <c r="G13" s="11">
        <v>0.14399999999999999</v>
      </c>
      <c r="H13" s="11">
        <v>0.114</v>
      </c>
      <c r="I13" s="10">
        <v>433524890</v>
      </c>
      <c r="J13" s="12" t="s">
        <v>3233</v>
      </c>
      <c r="K13" s="10">
        <v>48230</v>
      </c>
      <c r="L13" s="12" t="s">
        <v>3234</v>
      </c>
      <c r="M13" s="10">
        <v>13763624039</v>
      </c>
      <c r="N13" s="10">
        <v>1434585</v>
      </c>
      <c r="O13" s="12">
        <v>3</v>
      </c>
    </row>
    <row r="14" spans="1:15" ht="27" x14ac:dyDescent="0.3">
      <c r="A14" s="9">
        <v>43510</v>
      </c>
      <c r="B14" s="12">
        <v>601</v>
      </c>
      <c r="C14" s="11">
        <v>9.9000000000000005E-2</v>
      </c>
      <c r="D14" s="10">
        <v>1862</v>
      </c>
      <c r="E14" s="11">
        <v>9.7000000000000003E-2</v>
      </c>
      <c r="F14" s="10">
        <v>292004</v>
      </c>
      <c r="G14" s="11">
        <v>9.7000000000000003E-2</v>
      </c>
      <c r="H14" s="11">
        <v>0.13700000000000001</v>
      </c>
      <c r="I14" s="10">
        <v>372091650</v>
      </c>
      <c r="J14" s="12" t="s">
        <v>3235</v>
      </c>
      <c r="K14" s="10">
        <v>40088</v>
      </c>
      <c r="L14" s="12" t="s">
        <v>3236</v>
      </c>
      <c r="M14" s="10">
        <v>14135715689</v>
      </c>
      <c r="N14" s="10">
        <v>1474673</v>
      </c>
      <c r="O14" s="12">
        <v>4</v>
      </c>
    </row>
    <row r="15" spans="1:15" ht="27" x14ac:dyDescent="0.3">
      <c r="A15" s="9">
        <v>43511</v>
      </c>
      <c r="B15" s="12">
        <v>613</v>
      </c>
      <c r="C15" s="11">
        <v>0.1</v>
      </c>
      <c r="D15" s="10">
        <v>1849</v>
      </c>
      <c r="E15" s="11">
        <v>9.5000000000000001E-2</v>
      </c>
      <c r="F15" s="10">
        <v>287481</v>
      </c>
      <c r="G15" s="11">
        <v>9.5000000000000001E-2</v>
      </c>
      <c r="H15" s="11">
        <v>0.16</v>
      </c>
      <c r="I15" s="10">
        <v>456649039</v>
      </c>
      <c r="J15" s="12" t="s">
        <v>3237</v>
      </c>
      <c r="K15" s="10">
        <v>45876</v>
      </c>
      <c r="L15" s="12" t="s">
        <v>3238</v>
      </c>
      <c r="M15" s="10">
        <v>14592364728</v>
      </c>
      <c r="N15" s="10">
        <v>1520549</v>
      </c>
      <c r="O15" s="12">
        <v>4</v>
      </c>
    </row>
    <row r="16" spans="1:15" ht="27" x14ac:dyDescent="0.3">
      <c r="A16" s="9">
        <v>43512</v>
      </c>
      <c r="B16" s="12">
        <v>651</v>
      </c>
      <c r="C16" s="11">
        <v>9.8000000000000004E-2</v>
      </c>
      <c r="D16" s="10">
        <v>1875</v>
      </c>
      <c r="E16" s="11">
        <v>9.2999999999999999E-2</v>
      </c>
      <c r="F16" s="10">
        <v>283076</v>
      </c>
      <c r="G16" s="11">
        <v>0.09</v>
      </c>
      <c r="H16" s="11">
        <v>0.36799999999999999</v>
      </c>
      <c r="I16" s="10">
        <v>1035322746</v>
      </c>
      <c r="J16" s="12" t="s">
        <v>3239</v>
      </c>
      <c r="K16" s="10">
        <v>104037</v>
      </c>
      <c r="L16" s="12" t="s">
        <v>3240</v>
      </c>
      <c r="M16" s="10">
        <v>15627687474</v>
      </c>
      <c r="N16" s="10">
        <v>1624586</v>
      </c>
      <c r="O16" s="12">
        <v>3</v>
      </c>
    </row>
    <row r="17" spans="1:15" ht="40.5" x14ac:dyDescent="0.3">
      <c r="A17" s="9">
        <v>43513</v>
      </c>
      <c r="B17" s="12">
        <v>687</v>
      </c>
      <c r="C17" s="11">
        <v>0.10299999999999999</v>
      </c>
      <c r="D17" s="10">
        <v>1906</v>
      </c>
      <c r="E17" s="11">
        <v>9.7000000000000003E-2</v>
      </c>
      <c r="F17" s="10">
        <v>288734</v>
      </c>
      <c r="G17" s="11">
        <v>9.4E-2</v>
      </c>
      <c r="H17" s="11">
        <v>0.32400000000000001</v>
      </c>
      <c r="I17" s="10">
        <v>913111980</v>
      </c>
      <c r="J17" s="12" t="s">
        <v>3241</v>
      </c>
      <c r="K17" s="10">
        <v>93432</v>
      </c>
      <c r="L17" s="12" t="s">
        <v>3242</v>
      </c>
      <c r="M17" s="10">
        <v>16540799454</v>
      </c>
      <c r="N17" s="10">
        <v>1718018</v>
      </c>
      <c r="O17" s="12">
        <v>3</v>
      </c>
    </row>
    <row r="18" spans="1:15" ht="40.5" x14ac:dyDescent="0.3">
      <c r="A18" s="9">
        <v>43514</v>
      </c>
      <c r="B18" s="12">
        <v>631</v>
      </c>
      <c r="C18" s="11">
        <v>0.104</v>
      </c>
      <c r="D18" s="10">
        <v>1911</v>
      </c>
      <c r="E18" s="11">
        <v>0.10299999999999999</v>
      </c>
      <c r="F18" s="10">
        <v>301261</v>
      </c>
      <c r="G18" s="11">
        <v>0.104</v>
      </c>
      <c r="H18" s="11">
        <v>9.8000000000000004E-2</v>
      </c>
      <c r="I18" s="10">
        <v>270683640</v>
      </c>
      <c r="J18" s="12" t="s">
        <v>3243</v>
      </c>
      <c r="K18" s="10">
        <v>29618</v>
      </c>
      <c r="L18" s="12" t="s">
        <v>3244</v>
      </c>
      <c r="M18" s="10">
        <v>16811483094</v>
      </c>
      <c r="N18" s="10">
        <v>1747636</v>
      </c>
      <c r="O18" s="12">
        <v>3</v>
      </c>
    </row>
    <row r="19" spans="1:15" ht="27" x14ac:dyDescent="0.3">
      <c r="A19" s="9">
        <v>43515</v>
      </c>
      <c r="B19" s="12">
        <v>637</v>
      </c>
      <c r="C19" s="11">
        <v>0.10199999999999999</v>
      </c>
      <c r="D19" s="10">
        <v>1875</v>
      </c>
      <c r="E19" s="11">
        <v>0.10100000000000001</v>
      </c>
      <c r="F19" s="10">
        <v>297368</v>
      </c>
      <c r="G19" s="11">
        <v>0.10199999999999999</v>
      </c>
      <c r="H19" s="11">
        <v>0.10199999999999999</v>
      </c>
      <c r="I19" s="10">
        <v>279876740</v>
      </c>
      <c r="J19" s="12" t="s">
        <v>3245</v>
      </c>
      <c r="K19" s="10">
        <v>30226</v>
      </c>
      <c r="L19" s="12" t="s">
        <v>3246</v>
      </c>
      <c r="M19" s="10">
        <v>17091359834</v>
      </c>
      <c r="N19" s="10">
        <v>1777862</v>
      </c>
      <c r="O19" s="12">
        <v>3</v>
      </c>
    </row>
    <row r="20" spans="1:15" ht="40.5" x14ac:dyDescent="0.3">
      <c r="A20" s="9">
        <v>43516</v>
      </c>
      <c r="B20" s="12">
        <v>414</v>
      </c>
      <c r="C20" s="11">
        <v>6.7000000000000004E-2</v>
      </c>
      <c r="D20" s="12">
        <v>834</v>
      </c>
      <c r="E20" s="11">
        <v>4.4999999999999998E-2</v>
      </c>
      <c r="F20" s="10">
        <v>112633</v>
      </c>
      <c r="G20" s="11">
        <v>3.9E-2</v>
      </c>
      <c r="H20" s="11">
        <v>0.13400000000000001</v>
      </c>
      <c r="I20" s="10">
        <v>118704780</v>
      </c>
      <c r="J20" s="12" t="s">
        <v>3247</v>
      </c>
      <c r="K20" s="10">
        <v>15056</v>
      </c>
      <c r="L20" s="12" t="s">
        <v>3248</v>
      </c>
      <c r="M20" s="10">
        <v>17210064614</v>
      </c>
      <c r="N20" s="10">
        <v>1792918</v>
      </c>
      <c r="O20" s="12">
        <v>6</v>
      </c>
    </row>
    <row r="21" spans="1:15" ht="27" x14ac:dyDescent="0.3">
      <c r="A21" s="9">
        <v>43517</v>
      </c>
      <c r="B21" s="12">
        <v>401</v>
      </c>
      <c r="C21" s="11">
        <v>6.3E-2</v>
      </c>
      <c r="D21" s="12">
        <v>749</v>
      </c>
      <c r="E21" s="11">
        <v>0.04</v>
      </c>
      <c r="F21" s="10">
        <v>102683</v>
      </c>
      <c r="G21" s="11">
        <v>3.5999999999999997E-2</v>
      </c>
      <c r="H21" s="11">
        <v>0.13200000000000001</v>
      </c>
      <c r="I21" s="10">
        <v>107176780</v>
      </c>
      <c r="J21" s="12" t="s">
        <v>3249</v>
      </c>
      <c r="K21" s="10">
        <v>13508</v>
      </c>
      <c r="L21" s="12" t="s">
        <v>3250</v>
      </c>
      <c r="M21" s="10">
        <v>17317241394</v>
      </c>
      <c r="N21" s="10">
        <v>1806426</v>
      </c>
      <c r="O21" s="12">
        <v>6</v>
      </c>
    </row>
    <row r="22" spans="1:15" ht="27" x14ac:dyDescent="0.3">
      <c r="A22" s="9">
        <v>43518</v>
      </c>
      <c r="B22" s="12">
        <v>412</v>
      </c>
      <c r="C22" s="11">
        <v>6.3E-2</v>
      </c>
      <c r="D22" s="12">
        <v>771</v>
      </c>
      <c r="E22" s="11">
        <v>4.1000000000000002E-2</v>
      </c>
      <c r="F22" s="10">
        <v>104851</v>
      </c>
      <c r="G22" s="11">
        <v>3.5999999999999997E-2</v>
      </c>
      <c r="H22" s="11">
        <v>0.157</v>
      </c>
      <c r="I22" s="10">
        <v>141726778</v>
      </c>
      <c r="J22" s="12" t="s">
        <v>3251</v>
      </c>
      <c r="K22" s="10">
        <v>16460</v>
      </c>
      <c r="L22" s="12" t="s">
        <v>3252</v>
      </c>
      <c r="M22" s="10">
        <v>17458968172</v>
      </c>
      <c r="N22" s="10">
        <v>1822886</v>
      </c>
      <c r="O22" s="12">
        <v>5</v>
      </c>
    </row>
    <row r="23" spans="1:15" ht="27" x14ac:dyDescent="0.3">
      <c r="A23" s="9">
        <v>43519</v>
      </c>
      <c r="B23" s="12">
        <v>408</v>
      </c>
      <c r="C23" s="11">
        <v>0.06</v>
      </c>
      <c r="D23" s="12">
        <v>778</v>
      </c>
      <c r="E23" s="11">
        <v>0.04</v>
      </c>
      <c r="F23" s="10">
        <v>109451</v>
      </c>
      <c r="G23" s="11">
        <v>3.5999999999999997E-2</v>
      </c>
      <c r="H23" s="11">
        <v>0.30099999999999999</v>
      </c>
      <c r="I23" s="10">
        <v>308884175</v>
      </c>
      <c r="J23" s="12" t="s">
        <v>3253</v>
      </c>
      <c r="K23" s="10">
        <v>32998</v>
      </c>
      <c r="L23" s="12" t="s">
        <v>3254</v>
      </c>
      <c r="M23" s="10">
        <v>17767852347</v>
      </c>
      <c r="N23" s="10">
        <v>1855884</v>
      </c>
      <c r="O23" s="12">
        <v>5</v>
      </c>
    </row>
    <row r="24" spans="1:15" ht="27" x14ac:dyDescent="0.3">
      <c r="A24" s="9">
        <v>43520</v>
      </c>
      <c r="B24" s="12">
        <v>404</v>
      </c>
      <c r="C24" s="11">
        <v>5.8999999999999997E-2</v>
      </c>
      <c r="D24" s="12">
        <v>751</v>
      </c>
      <c r="E24" s="11">
        <v>3.9E-2</v>
      </c>
      <c r="F24" s="10">
        <v>104555</v>
      </c>
      <c r="G24" s="11">
        <v>3.5000000000000003E-2</v>
      </c>
      <c r="H24" s="11">
        <v>0.28199999999999997</v>
      </c>
      <c r="I24" s="10">
        <v>267423750</v>
      </c>
      <c r="J24" s="12" t="s">
        <v>3255</v>
      </c>
      <c r="K24" s="10">
        <v>29462</v>
      </c>
      <c r="L24" s="12" t="s">
        <v>3256</v>
      </c>
      <c r="M24" s="10">
        <v>18035276097</v>
      </c>
      <c r="N24" s="10">
        <v>1885346</v>
      </c>
      <c r="O24" s="12">
        <v>5</v>
      </c>
    </row>
    <row r="25" spans="1:15" ht="40.5" x14ac:dyDescent="0.3">
      <c r="A25" s="9">
        <v>43521</v>
      </c>
      <c r="B25" s="12">
        <v>382</v>
      </c>
      <c r="C25" s="11">
        <v>6.0999999999999999E-2</v>
      </c>
      <c r="D25" s="12">
        <v>759</v>
      </c>
      <c r="E25" s="11">
        <v>4.2000000000000003E-2</v>
      </c>
      <c r="F25" s="10">
        <v>105254</v>
      </c>
      <c r="G25" s="11">
        <v>3.6999999999999998E-2</v>
      </c>
      <c r="H25" s="11">
        <v>9.6000000000000002E-2</v>
      </c>
      <c r="I25" s="10">
        <v>80524790</v>
      </c>
      <c r="J25" s="12" t="s">
        <v>3257</v>
      </c>
      <c r="K25" s="10">
        <v>10083</v>
      </c>
      <c r="L25" s="12" t="s">
        <v>3258</v>
      </c>
      <c r="M25" s="10">
        <v>18115800887</v>
      </c>
      <c r="N25" s="10">
        <v>1895429</v>
      </c>
      <c r="O25" s="12">
        <v>5</v>
      </c>
    </row>
    <row r="26" spans="1:15" ht="27" x14ac:dyDescent="0.3">
      <c r="A26" s="9">
        <v>43522</v>
      </c>
      <c r="B26" s="12">
        <v>390</v>
      </c>
      <c r="C26" s="11">
        <v>6.0999999999999999E-2</v>
      </c>
      <c r="D26" s="12">
        <v>762</v>
      </c>
      <c r="E26" s="11">
        <v>4.2000000000000003E-2</v>
      </c>
      <c r="F26" s="10">
        <v>105848</v>
      </c>
      <c r="G26" s="11">
        <v>3.6999999999999998E-2</v>
      </c>
      <c r="H26" s="11">
        <v>0.112</v>
      </c>
      <c r="I26" s="10">
        <v>91091880</v>
      </c>
      <c r="J26" s="12" t="s">
        <v>3259</v>
      </c>
      <c r="K26" s="10">
        <v>11831</v>
      </c>
      <c r="L26" s="12" t="s">
        <v>3260</v>
      </c>
      <c r="M26" s="10">
        <v>18206892767</v>
      </c>
      <c r="N26" s="10">
        <v>1907260</v>
      </c>
      <c r="O26" s="12">
        <v>5</v>
      </c>
    </row>
    <row r="27" spans="1:15" ht="27" x14ac:dyDescent="0.3">
      <c r="A27" s="9">
        <v>43523</v>
      </c>
      <c r="B27" s="12">
        <v>169</v>
      </c>
      <c r="C27" s="11">
        <v>2.5000000000000001E-2</v>
      </c>
      <c r="D27" s="12">
        <v>261</v>
      </c>
      <c r="E27" s="11">
        <v>1.4E-2</v>
      </c>
      <c r="F27" s="10">
        <v>35950</v>
      </c>
      <c r="G27" s="11">
        <v>1.2E-2</v>
      </c>
      <c r="H27" s="11">
        <v>0.215</v>
      </c>
      <c r="I27" s="10">
        <v>47185190</v>
      </c>
      <c r="J27" s="12" t="s">
        <v>3261</v>
      </c>
      <c r="K27" s="10">
        <v>7721</v>
      </c>
      <c r="L27" s="12" t="s">
        <v>3262</v>
      </c>
      <c r="M27" s="10">
        <v>18254077957</v>
      </c>
      <c r="N27" s="10">
        <v>1914981</v>
      </c>
      <c r="O27" s="12">
        <v>10</v>
      </c>
    </row>
    <row r="28" spans="1:15" ht="27" x14ac:dyDescent="0.3">
      <c r="A28" s="9">
        <v>43524</v>
      </c>
      <c r="B28" s="12">
        <v>166</v>
      </c>
      <c r="C28" s="11">
        <v>2.5000000000000001E-2</v>
      </c>
      <c r="D28" s="12">
        <v>256</v>
      </c>
      <c r="E28" s="11">
        <v>1.2999999999999999E-2</v>
      </c>
      <c r="F28" s="10">
        <v>34446</v>
      </c>
      <c r="G28" s="11">
        <v>1.0999999999999999E-2</v>
      </c>
      <c r="H28" s="11">
        <v>0.19400000000000001</v>
      </c>
      <c r="I28" s="10">
        <v>51245470</v>
      </c>
      <c r="J28" s="12" t="s">
        <v>3263</v>
      </c>
      <c r="K28" s="10">
        <v>6676</v>
      </c>
      <c r="L28" s="12" t="s">
        <v>3264</v>
      </c>
      <c r="M28" s="10">
        <v>18305323427</v>
      </c>
      <c r="N28" s="10">
        <v>1921657</v>
      </c>
      <c r="O28" s="12">
        <v>11</v>
      </c>
    </row>
    <row r="29" spans="1:15" ht="27" x14ac:dyDescent="0.3">
      <c r="A29" s="9">
        <v>43525</v>
      </c>
      <c r="B29" s="12">
        <v>153</v>
      </c>
      <c r="C29" s="11">
        <v>2.1000000000000001E-2</v>
      </c>
      <c r="D29" s="12">
        <v>224</v>
      </c>
      <c r="E29" s="11">
        <v>1.0999999999999999E-2</v>
      </c>
      <c r="F29" s="10">
        <v>30333</v>
      </c>
      <c r="G29" s="11">
        <v>0.01</v>
      </c>
      <c r="H29" s="11">
        <v>0.316</v>
      </c>
      <c r="I29" s="10">
        <v>83313120</v>
      </c>
      <c r="J29" s="12" t="s">
        <v>3265</v>
      </c>
      <c r="K29" s="10">
        <v>9595</v>
      </c>
      <c r="L29" s="12" t="s">
        <v>3266</v>
      </c>
      <c r="M29" s="10">
        <v>18388636547</v>
      </c>
      <c r="N29" s="10">
        <v>1931252</v>
      </c>
      <c r="O29" s="12">
        <v>13</v>
      </c>
    </row>
    <row r="30" spans="1:15" ht="27" x14ac:dyDescent="0.3">
      <c r="A30" s="9">
        <v>43526</v>
      </c>
      <c r="B30" s="12">
        <v>153</v>
      </c>
      <c r="C30" s="11">
        <v>2.1000000000000001E-2</v>
      </c>
      <c r="D30" s="12">
        <v>238</v>
      </c>
      <c r="E30" s="11">
        <v>1.2E-2</v>
      </c>
      <c r="F30" s="10">
        <v>32516</v>
      </c>
      <c r="G30" s="11">
        <v>0.01</v>
      </c>
      <c r="H30" s="11">
        <v>0.27200000000000002</v>
      </c>
      <c r="I30" s="10">
        <v>78137330</v>
      </c>
      <c r="J30" s="12" t="s">
        <v>3267</v>
      </c>
      <c r="K30" s="10">
        <v>8847</v>
      </c>
      <c r="L30" s="12" t="s">
        <v>3268</v>
      </c>
      <c r="M30" s="10">
        <v>18466773877</v>
      </c>
      <c r="N30" s="10">
        <v>1940099</v>
      </c>
      <c r="O30" s="12">
        <v>11</v>
      </c>
    </row>
    <row r="31" spans="1:15" ht="27" x14ac:dyDescent="0.3">
      <c r="A31" s="9">
        <v>43527</v>
      </c>
      <c r="B31" s="12">
        <v>152</v>
      </c>
      <c r="C31" s="11">
        <v>2.1000000000000001E-2</v>
      </c>
      <c r="D31" s="12">
        <v>224</v>
      </c>
      <c r="E31" s="11">
        <v>1.0999999999999999E-2</v>
      </c>
      <c r="F31" s="10">
        <v>30870</v>
      </c>
      <c r="G31" s="11">
        <v>0.01</v>
      </c>
      <c r="H31" s="11">
        <v>0.19800000000000001</v>
      </c>
      <c r="I31" s="10">
        <v>54355330</v>
      </c>
      <c r="J31" s="12" t="s">
        <v>3269</v>
      </c>
      <c r="K31" s="10">
        <v>6107</v>
      </c>
      <c r="L31" s="12" t="s">
        <v>3270</v>
      </c>
      <c r="M31" s="10">
        <v>18521129207</v>
      </c>
      <c r="N31" s="10">
        <v>1946206</v>
      </c>
      <c r="O31" s="12">
        <v>12</v>
      </c>
    </row>
    <row r="32" spans="1:15" ht="27" x14ac:dyDescent="0.3">
      <c r="A32" s="9">
        <v>43528</v>
      </c>
      <c r="B32" s="12">
        <v>140</v>
      </c>
      <c r="C32" s="11">
        <v>2.3E-2</v>
      </c>
      <c r="D32" s="12">
        <v>226</v>
      </c>
      <c r="E32" s="11">
        <v>1.2999999999999999E-2</v>
      </c>
      <c r="F32" s="10">
        <v>32990</v>
      </c>
      <c r="G32" s="11">
        <v>1.2E-2</v>
      </c>
      <c r="H32" s="11">
        <v>5.2999999999999999E-2</v>
      </c>
      <c r="I32" s="10">
        <v>14313980</v>
      </c>
      <c r="J32" s="12" t="s">
        <v>3271</v>
      </c>
      <c r="K32" s="10">
        <v>1733</v>
      </c>
      <c r="L32" s="12" t="s">
        <v>3272</v>
      </c>
      <c r="M32" s="10">
        <v>18535443187</v>
      </c>
      <c r="N32" s="10">
        <v>1947939</v>
      </c>
      <c r="O32" s="12">
        <v>13</v>
      </c>
    </row>
    <row r="33" spans="1:15" ht="27" x14ac:dyDescent="0.3">
      <c r="A33" s="9">
        <v>43529</v>
      </c>
      <c r="B33" s="12">
        <v>144</v>
      </c>
      <c r="C33" s="11">
        <v>2.4E-2</v>
      </c>
      <c r="D33" s="12">
        <v>231</v>
      </c>
      <c r="E33" s="11">
        <v>1.4E-2</v>
      </c>
      <c r="F33" s="10">
        <v>33716</v>
      </c>
      <c r="G33" s="11">
        <v>1.2999999999999999E-2</v>
      </c>
      <c r="H33" s="11">
        <v>4.9000000000000002E-2</v>
      </c>
      <c r="I33" s="10">
        <v>13535300</v>
      </c>
      <c r="J33" s="12" t="s">
        <v>3273</v>
      </c>
      <c r="K33" s="10">
        <v>1655</v>
      </c>
      <c r="L33" s="12" t="s">
        <v>3274</v>
      </c>
      <c r="M33" s="10">
        <v>18548978487</v>
      </c>
      <c r="N33" s="10">
        <v>1949594</v>
      </c>
      <c r="O33" s="12">
        <v>12</v>
      </c>
    </row>
    <row r="34" spans="1:15" ht="27" x14ac:dyDescent="0.3">
      <c r="A34" s="9">
        <v>43530</v>
      </c>
      <c r="B34" s="12">
        <v>12</v>
      </c>
      <c r="C34" s="11">
        <v>2E-3</v>
      </c>
      <c r="D34" s="12">
        <v>24</v>
      </c>
      <c r="E34" s="11">
        <v>1E-3</v>
      </c>
      <c r="F34" s="10">
        <v>2976</v>
      </c>
      <c r="G34" s="11">
        <v>1E-3</v>
      </c>
      <c r="H34" s="11">
        <v>6.9000000000000006E-2</v>
      </c>
      <c r="I34" s="10">
        <v>1704550</v>
      </c>
      <c r="J34" s="12" t="s">
        <v>3275</v>
      </c>
      <c r="K34" s="12">
        <v>204</v>
      </c>
      <c r="L34" s="12" t="s">
        <v>3276</v>
      </c>
      <c r="M34" s="10">
        <v>18550683037</v>
      </c>
      <c r="N34" s="10">
        <v>1949798</v>
      </c>
      <c r="O34" s="12">
        <v>19</v>
      </c>
    </row>
    <row r="35" spans="1:15" ht="27" x14ac:dyDescent="0.3">
      <c r="A35" s="9">
        <v>43531</v>
      </c>
      <c r="B35" s="12">
        <v>12</v>
      </c>
      <c r="C35" s="11">
        <v>2E-3</v>
      </c>
      <c r="D35" s="12">
        <v>19</v>
      </c>
      <c r="E35" s="11">
        <v>1E-3</v>
      </c>
      <c r="F35" s="10">
        <v>2654</v>
      </c>
      <c r="G35" s="11">
        <v>1E-3</v>
      </c>
      <c r="H35" s="11">
        <v>7.5999999999999998E-2</v>
      </c>
      <c r="I35" s="10">
        <v>1743500</v>
      </c>
      <c r="J35" s="12" t="s">
        <v>3277</v>
      </c>
      <c r="K35" s="12">
        <v>201</v>
      </c>
      <c r="L35" s="12" t="s">
        <v>3278</v>
      </c>
      <c r="M35" s="10">
        <v>18552426537</v>
      </c>
      <c r="N35" s="10">
        <v>1949999</v>
      </c>
      <c r="O35" s="12">
        <v>28</v>
      </c>
    </row>
    <row r="36" spans="1:15" ht="27" x14ac:dyDescent="0.3">
      <c r="A36" s="9">
        <v>43532</v>
      </c>
      <c r="B36" s="12">
        <v>10</v>
      </c>
      <c r="C36" s="11">
        <v>2E-3</v>
      </c>
      <c r="D36" s="12">
        <v>19</v>
      </c>
      <c r="E36" s="11">
        <v>1E-3</v>
      </c>
      <c r="F36" s="10">
        <v>2610</v>
      </c>
      <c r="G36" s="11">
        <v>1E-3</v>
      </c>
      <c r="H36" s="11">
        <v>9.7000000000000003E-2</v>
      </c>
      <c r="I36" s="10">
        <v>2373430</v>
      </c>
      <c r="J36" s="12" t="s">
        <v>3279</v>
      </c>
      <c r="K36" s="12">
        <v>254</v>
      </c>
      <c r="L36" s="12" t="s">
        <v>3280</v>
      </c>
      <c r="M36" s="10">
        <v>18554799967</v>
      </c>
      <c r="N36" s="10">
        <v>1950253</v>
      </c>
      <c r="O36" s="12">
        <v>22</v>
      </c>
    </row>
    <row r="37" spans="1:15" ht="27" x14ac:dyDescent="0.3">
      <c r="A37" s="9">
        <v>43533</v>
      </c>
      <c r="B37" s="12">
        <v>12</v>
      </c>
      <c r="C37" s="11">
        <v>2E-3</v>
      </c>
      <c r="D37" s="12">
        <v>20</v>
      </c>
      <c r="E37" s="11">
        <v>1E-3</v>
      </c>
      <c r="F37" s="10">
        <v>2701</v>
      </c>
      <c r="G37" s="11">
        <v>1E-3</v>
      </c>
      <c r="H37" s="11">
        <v>0.17699999999999999</v>
      </c>
      <c r="I37" s="10">
        <v>4437050</v>
      </c>
      <c r="J37" s="12" t="s">
        <v>3281</v>
      </c>
      <c r="K37" s="12">
        <v>477</v>
      </c>
      <c r="L37" s="12" t="s">
        <v>3282</v>
      </c>
      <c r="M37" s="10">
        <v>18559237017</v>
      </c>
      <c r="N37" s="10">
        <v>1950730</v>
      </c>
      <c r="O37" s="12">
        <v>21</v>
      </c>
    </row>
    <row r="38" spans="1:15" ht="27" x14ac:dyDescent="0.3">
      <c r="A38" s="9">
        <v>43534</v>
      </c>
      <c r="B38" s="12">
        <v>10</v>
      </c>
      <c r="C38" s="11">
        <v>2E-3</v>
      </c>
      <c r="D38" s="12">
        <v>18</v>
      </c>
      <c r="E38" s="11">
        <v>1E-3</v>
      </c>
      <c r="F38" s="10">
        <v>2534</v>
      </c>
      <c r="G38" s="11">
        <v>1E-3</v>
      </c>
      <c r="H38" s="11">
        <v>0.16800000000000001</v>
      </c>
      <c r="I38" s="10">
        <v>3906100</v>
      </c>
      <c r="J38" s="12" t="s">
        <v>3283</v>
      </c>
      <c r="K38" s="12">
        <v>425</v>
      </c>
      <c r="L38" s="12" t="s">
        <v>3284</v>
      </c>
      <c r="M38" s="10">
        <v>18563143117</v>
      </c>
      <c r="N38" s="10">
        <v>1951155</v>
      </c>
      <c r="O38" s="12">
        <v>20</v>
      </c>
    </row>
    <row r="39" spans="1:15" ht="27" x14ac:dyDescent="0.3">
      <c r="A39" s="9">
        <v>43535</v>
      </c>
      <c r="B39" s="12">
        <v>12</v>
      </c>
      <c r="C39" s="11">
        <v>2E-3</v>
      </c>
      <c r="D39" s="12">
        <v>23</v>
      </c>
      <c r="E39" s="11">
        <v>1E-3</v>
      </c>
      <c r="F39" s="10">
        <v>3184</v>
      </c>
      <c r="G39" s="11">
        <v>1E-3</v>
      </c>
      <c r="H39" s="11">
        <v>5.8999999999999997E-2</v>
      </c>
      <c r="I39" s="10">
        <v>1564300</v>
      </c>
      <c r="J39" s="12" t="s">
        <v>3285</v>
      </c>
      <c r="K39" s="12">
        <v>187</v>
      </c>
      <c r="L39" s="12" t="s">
        <v>3286</v>
      </c>
      <c r="M39" s="10">
        <v>18564707417</v>
      </c>
      <c r="N39" s="10">
        <v>1951342</v>
      </c>
      <c r="O39" s="12">
        <v>21</v>
      </c>
    </row>
    <row r="40" spans="1:15" ht="27" x14ac:dyDescent="0.3">
      <c r="A40" s="9">
        <v>43536</v>
      </c>
      <c r="B40" s="12">
        <v>12</v>
      </c>
      <c r="C40" s="11">
        <v>2E-3</v>
      </c>
      <c r="D40" s="12">
        <v>22</v>
      </c>
      <c r="E40" s="11">
        <v>1E-3</v>
      </c>
      <c r="F40" s="10">
        <v>2807</v>
      </c>
      <c r="G40" s="11">
        <v>1E-3</v>
      </c>
      <c r="H40" s="11">
        <v>6.0999999999999999E-2</v>
      </c>
      <c r="I40" s="10">
        <v>1434250</v>
      </c>
      <c r="J40" s="12" t="s">
        <v>3287</v>
      </c>
      <c r="K40" s="12">
        <v>172</v>
      </c>
      <c r="L40" s="12" t="s">
        <v>3288</v>
      </c>
      <c r="M40" s="10">
        <v>18566141667</v>
      </c>
      <c r="N40" s="10">
        <v>1951514</v>
      </c>
      <c r="O40" s="12">
        <v>26</v>
      </c>
    </row>
    <row r="41" spans="1:15" ht="27" x14ac:dyDescent="0.3">
      <c r="A41" s="9">
        <v>43537</v>
      </c>
      <c r="B41" s="12">
        <v>12</v>
      </c>
      <c r="C41" s="11">
        <v>2E-3</v>
      </c>
      <c r="D41" s="12">
        <v>20</v>
      </c>
      <c r="E41" s="11">
        <v>1E-3</v>
      </c>
      <c r="F41" s="10">
        <v>2750</v>
      </c>
      <c r="G41" s="11">
        <v>1E-3</v>
      </c>
      <c r="H41" s="11">
        <v>8.4000000000000005E-2</v>
      </c>
      <c r="I41" s="10">
        <v>1934000</v>
      </c>
      <c r="J41" s="12" t="s">
        <v>3289</v>
      </c>
      <c r="K41" s="12">
        <v>231</v>
      </c>
      <c r="L41" s="12" t="s">
        <v>3290</v>
      </c>
      <c r="M41" s="10">
        <v>18568075667</v>
      </c>
      <c r="N41" s="10">
        <v>1951745</v>
      </c>
      <c r="O41" s="12">
        <v>20</v>
      </c>
    </row>
    <row r="42" spans="1:15" ht="27" x14ac:dyDescent="0.3">
      <c r="A42" s="9">
        <v>43545</v>
      </c>
      <c r="B42" s="12">
        <v>1</v>
      </c>
      <c r="C42" s="11">
        <v>0</v>
      </c>
      <c r="D42" s="12">
        <v>1</v>
      </c>
      <c r="E42" s="11">
        <v>0</v>
      </c>
      <c r="F42" s="12">
        <v>160</v>
      </c>
      <c r="G42" s="11">
        <v>0</v>
      </c>
      <c r="H42" s="11">
        <v>0.14399999999999999</v>
      </c>
      <c r="I42" s="10">
        <v>207000</v>
      </c>
      <c r="J42" s="12" t="s">
        <v>3291</v>
      </c>
      <c r="K42" s="12">
        <v>23</v>
      </c>
      <c r="L42" s="12" t="s">
        <v>3292</v>
      </c>
      <c r="M42" s="10">
        <v>18568282667</v>
      </c>
      <c r="N42" s="10">
        <v>1951768</v>
      </c>
      <c r="O42" s="12">
        <v>58</v>
      </c>
    </row>
    <row r="43" spans="1:15" ht="27" x14ac:dyDescent="0.3">
      <c r="A43" s="9">
        <v>43546</v>
      </c>
      <c r="B43" s="12">
        <v>1</v>
      </c>
      <c r="C43" s="11">
        <v>0</v>
      </c>
      <c r="D43" s="12">
        <v>1</v>
      </c>
      <c r="E43" s="11">
        <v>0</v>
      </c>
      <c r="F43" s="12">
        <v>46</v>
      </c>
      <c r="G43" s="11">
        <v>0</v>
      </c>
      <c r="H43" s="11">
        <v>1</v>
      </c>
      <c r="I43" s="10">
        <v>506000</v>
      </c>
      <c r="J43" s="12" t="s">
        <v>3293</v>
      </c>
      <c r="K43" s="12">
        <v>46</v>
      </c>
      <c r="L43" s="12" t="s">
        <v>3292</v>
      </c>
      <c r="M43" s="10">
        <v>18568788667</v>
      </c>
      <c r="N43" s="10">
        <v>1951814</v>
      </c>
      <c r="O43" s="12">
        <v>57</v>
      </c>
    </row>
    <row r="44" spans="1:15" ht="27" x14ac:dyDescent="0.3">
      <c r="A44" s="9">
        <v>43575</v>
      </c>
      <c r="B44" s="12">
        <v>1</v>
      </c>
      <c r="C44" s="11">
        <v>0</v>
      </c>
      <c r="D44" s="12">
        <v>1</v>
      </c>
      <c r="E44" s="11">
        <v>0</v>
      </c>
      <c r="F44" s="12">
        <v>75</v>
      </c>
      <c r="G44" s="11">
        <v>0</v>
      </c>
      <c r="H44" s="11">
        <v>1</v>
      </c>
      <c r="I44" s="10">
        <v>975000</v>
      </c>
      <c r="J44" s="12" t="s">
        <v>3294</v>
      </c>
      <c r="K44" s="12">
        <v>75</v>
      </c>
      <c r="L44" s="12" t="s">
        <v>2138</v>
      </c>
      <c r="M44" s="10">
        <v>18569763667</v>
      </c>
      <c r="N44" s="10">
        <v>1951889</v>
      </c>
      <c r="O44" s="12">
        <v>52</v>
      </c>
    </row>
    <row r="45" spans="1:15" ht="27" x14ac:dyDescent="0.3">
      <c r="A45" s="9">
        <v>43611</v>
      </c>
      <c r="B45" s="12">
        <v>1</v>
      </c>
      <c r="C45" s="11">
        <v>0</v>
      </c>
      <c r="D45" s="12">
        <v>1</v>
      </c>
      <c r="E45" s="11">
        <v>0</v>
      </c>
      <c r="F45" s="12">
        <v>75</v>
      </c>
      <c r="G45" s="11">
        <v>0</v>
      </c>
      <c r="H45" s="11">
        <v>1</v>
      </c>
      <c r="I45" s="10">
        <v>900000</v>
      </c>
      <c r="J45" s="12" t="s">
        <v>3295</v>
      </c>
      <c r="K45" s="12">
        <v>75</v>
      </c>
      <c r="L45" s="12" t="s">
        <v>2138</v>
      </c>
      <c r="M45" s="10">
        <v>18570663667</v>
      </c>
      <c r="N45" s="10">
        <v>1951964</v>
      </c>
      <c r="O45" s="12">
        <v>44</v>
      </c>
    </row>
    <row r="46" spans="1:15" ht="27" x14ac:dyDescent="0.3">
      <c r="A46" s="9">
        <v>43615</v>
      </c>
      <c r="B46" s="12">
        <v>1</v>
      </c>
      <c r="C46" s="11">
        <v>0</v>
      </c>
      <c r="D46" s="12">
        <v>1</v>
      </c>
      <c r="E46" s="11">
        <v>0</v>
      </c>
      <c r="F46" s="12">
        <v>99</v>
      </c>
      <c r="G46" s="11">
        <v>0</v>
      </c>
      <c r="H46" s="11">
        <v>1</v>
      </c>
      <c r="I46" s="10">
        <v>792000</v>
      </c>
      <c r="J46" s="12" t="s">
        <v>3296</v>
      </c>
      <c r="K46" s="12">
        <v>99</v>
      </c>
      <c r="L46" s="12" t="s">
        <v>3297</v>
      </c>
      <c r="M46" s="10">
        <v>18571455667</v>
      </c>
      <c r="N46" s="10">
        <v>1952063</v>
      </c>
      <c r="O46" s="12">
        <v>46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7D99-E9A5-4429-805B-1202DCF9A51B}">
  <dimension ref="A1:O65"/>
  <sheetViews>
    <sheetView workbookViewId="0">
      <selection activeCell="A5" sqref="A5:O19"/>
    </sheetView>
  </sheetViews>
  <sheetFormatPr defaultRowHeight="16.5" x14ac:dyDescent="0.3"/>
  <sheetData>
    <row r="1" spans="1:15" ht="19.5" x14ac:dyDescent="0.3">
      <c r="A1" s="197" t="s">
        <v>3298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43509</v>
      </c>
      <c r="B5" s="12">
        <v>884</v>
      </c>
      <c r="C5" s="11">
        <v>0.17</v>
      </c>
      <c r="D5" s="10">
        <v>3833</v>
      </c>
      <c r="E5" s="11">
        <v>0.20499999999999999</v>
      </c>
      <c r="F5" s="10">
        <v>614520</v>
      </c>
      <c r="G5" s="11">
        <v>0.21</v>
      </c>
      <c r="H5" s="11">
        <v>0.13300000000000001</v>
      </c>
      <c r="I5" s="10">
        <v>633381650</v>
      </c>
      <c r="J5" s="12" t="s">
        <v>3299</v>
      </c>
      <c r="K5" s="10">
        <v>81424</v>
      </c>
      <c r="L5" s="12" t="s">
        <v>3300</v>
      </c>
      <c r="M5" s="10">
        <v>964073910</v>
      </c>
      <c r="N5" s="10">
        <v>117449</v>
      </c>
      <c r="O5" s="12">
        <v>2</v>
      </c>
    </row>
    <row r="6" spans="1:15" ht="27" x14ac:dyDescent="0.3">
      <c r="A6" s="9">
        <v>43510</v>
      </c>
      <c r="B6" s="12">
        <v>806</v>
      </c>
      <c r="C6" s="11">
        <v>0.13200000000000001</v>
      </c>
      <c r="D6" s="10">
        <v>3339</v>
      </c>
      <c r="E6" s="11">
        <v>0.17399999999999999</v>
      </c>
      <c r="F6" s="10">
        <v>544844</v>
      </c>
      <c r="G6" s="11">
        <v>0.182</v>
      </c>
      <c r="H6" s="11">
        <v>0.158</v>
      </c>
      <c r="I6" s="10">
        <v>669567010</v>
      </c>
      <c r="J6" s="12" t="s">
        <v>3301</v>
      </c>
      <c r="K6" s="10">
        <v>85900</v>
      </c>
      <c r="L6" s="12" t="s">
        <v>3302</v>
      </c>
      <c r="M6" s="10">
        <v>1633640920</v>
      </c>
      <c r="N6" s="10">
        <v>203349</v>
      </c>
      <c r="O6" s="12">
        <v>2</v>
      </c>
    </row>
    <row r="7" spans="1:15" ht="27" x14ac:dyDescent="0.3">
      <c r="A7" s="9">
        <v>43511</v>
      </c>
      <c r="B7" s="12">
        <v>833</v>
      </c>
      <c r="C7" s="11">
        <v>0.13500000000000001</v>
      </c>
      <c r="D7" s="10">
        <v>3477</v>
      </c>
      <c r="E7" s="11">
        <v>0.17899999999999999</v>
      </c>
      <c r="F7" s="10">
        <v>564813</v>
      </c>
      <c r="G7" s="11">
        <v>0.186</v>
      </c>
      <c r="H7" s="11">
        <v>0.17499999999999999</v>
      </c>
      <c r="I7" s="10">
        <v>833499448</v>
      </c>
      <c r="J7" s="12" t="s">
        <v>3303</v>
      </c>
      <c r="K7" s="10">
        <v>98609</v>
      </c>
      <c r="L7" s="12" t="s">
        <v>3304</v>
      </c>
      <c r="M7" s="10">
        <v>2467140368</v>
      </c>
      <c r="N7" s="10">
        <v>301958</v>
      </c>
      <c r="O7" s="12">
        <v>2</v>
      </c>
    </row>
    <row r="8" spans="1:15" ht="27" x14ac:dyDescent="0.3">
      <c r="A8" s="9">
        <v>43512</v>
      </c>
      <c r="B8" s="12">
        <v>937</v>
      </c>
      <c r="C8" s="11">
        <v>0.14199999999999999</v>
      </c>
      <c r="D8" s="10">
        <v>3710</v>
      </c>
      <c r="E8" s="11">
        <v>0.184</v>
      </c>
      <c r="F8" s="10">
        <v>590524</v>
      </c>
      <c r="G8" s="11">
        <v>0.188</v>
      </c>
      <c r="H8" s="11">
        <v>0.35499999999999998</v>
      </c>
      <c r="I8" s="10">
        <v>1778792893</v>
      </c>
      <c r="J8" s="12" t="s">
        <v>3305</v>
      </c>
      <c r="K8" s="10">
        <v>209875</v>
      </c>
      <c r="L8" s="12" t="s">
        <v>3306</v>
      </c>
      <c r="M8" s="10">
        <v>4245933261</v>
      </c>
      <c r="N8" s="10">
        <v>511833</v>
      </c>
      <c r="O8" s="12">
        <v>2</v>
      </c>
    </row>
    <row r="9" spans="1:15" ht="27" x14ac:dyDescent="0.3">
      <c r="A9" s="9">
        <v>43513</v>
      </c>
      <c r="B9" s="12">
        <v>993</v>
      </c>
      <c r="C9" s="11">
        <v>0.14899999999999999</v>
      </c>
      <c r="D9" s="10">
        <v>3788</v>
      </c>
      <c r="E9" s="11">
        <v>0.192</v>
      </c>
      <c r="F9" s="10">
        <v>601949</v>
      </c>
      <c r="G9" s="11">
        <v>0.19600000000000001</v>
      </c>
      <c r="H9" s="11">
        <v>0.374</v>
      </c>
      <c r="I9" s="10">
        <v>1916911640</v>
      </c>
      <c r="J9" s="12" t="s">
        <v>3307</v>
      </c>
      <c r="K9" s="10">
        <v>225305</v>
      </c>
      <c r="L9" s="12" t="s">
        <v>3308</v>
      </c>
      <c r="M9" s="10">
        <v>6162844901</v>
      </c>
      <c r="N9" s="10">
        <v>737138</v>
      </c>
      <c r="O9" s="12">
        <v>2</v>
      </c>
    </row>
    <row r="10" spans="1:15" ht="54" x14ac:dyDescent="0.3">
      <c r="A10" s="9">
        <v>43514</v>
      </c>
      <c r="B10" s="12">
        <v>960</v>
      </c>
      <c r="C10" s="11">
        <v>0.158</v>
      </c>
      <c r="D10" s="10">
        <v>3822</v>
      </c>
      <c r="E10" s="11">
        <v>0.20599999999999999</v>
      </c>
      <c r="F10" s="10">
        <v>608438</v>
      </c>
      <c r="G10" s="11">
        <v>0.20899999999999999</v>
      </c>
      <c r="H10" s="11">
        <v>0.155</v>
      </c>
      <c r="I10" s="10">
        <v>740659570</v>
      </c>
      <c r="J10" s="12" t="s">
        <v>3309</v>
      </c>
      <c r="K10" s="10">
        <v>94251</v>
      </c>
      <c r="L10" s="12" t="s">
        <v>3310</v>
      </c>
      <c r="M10" s="10">
        <v>6903504471</v>
      </c>
      <c r="N10" s="10">
        <v>831389</v>
      </c>
      <c r="O10" s="12">
        <v>2</v>
      </c>
    </row>
    <row r="11" spans="1:15" ht="27" x14ac:dyDescent="0.3">
      <c r="A11" s="9">
        <v>43515</v>
      </c>
      <c r="B11" s="10">
        <v>1047</v>
      </c>
      <c r="C11" s="11">
        <v>0.16700000000000001</v>
      </c>
      <c r="D11" s="10">
        <v>3981</v>
      </c>
      <c r="E11" s="11">
        <v>0.214</v>
      </c>
      <c r="F11" s="10">
        <v>639282</v>
      </c>
      <c r="G11" s="11">
        <v>0.219</v>
      </c>
      <c r="H11" s="11">
        <v>0.182</v>
      </c>
      <c r="I11" s="10">
        <v>808166340</v>
      </c>
      <c r="J11" s="12" t="s">
        <v>3311</v>
      </c>
      <c r="K11" s="10">
        <v>116432</v>
      </c>
      <c r="L11" s="12" t="s">
        <v>3312</v>
      </c>
      <c r="M11" s="10">
        <v>7711670811</v>
      </c>
      <c r="N11" s="10">
        <v>947821</v>
      </c>
      <c r="O11" s="12">
        <v>1</v>
      </c>
    </row>
    <row r="12" spans="1:15" ht="40.5" x14ac:dyDescent="0.3">
      <c r="A12" s="9">
        <v>43516</v>
      </c>
      <c r="B12" s="12">
        <v>830</v>
      </c>
      <c r="C12" s="11">
        <v>0.13500000000000001</v>
      </c>
      <c r="D12" s="10">
        <v>3097</v>
      </c>
      <c r="E12" s="11">
        <v>0.16600000000000001</v>
      </c>
      <c r="F12" s="10">
        <v>454827</v>
      </c>
      <c r="G12" s="11">
        <v>0.157</v>
      </c>
      <c r="H12" s="11">
        <v>0.17799999999999999</v>
      </c>
      <c r="I12" s="10">
        <v>623382450</v>
      </c>
      <c r="J12" s="12" t="s">
        <v>3313</v>
      </c>
      <c r="K12" s="10">
        <v>80798</v>
      </c>
      <c r="L12" s="12" t="s">
        <v>3314</v>
      </c>
      <c r="M12" s="10">
        <v>8335053261</v>
      </c>
      <c r="N12" s="10">
        <v>1028619</v>
      </c>
      <c r="O12" s="12">
        <v>3</v>
      </c>
    </row>
    <row r="13" spans="1:15" ht="27" x14ac:dyDescent="0.3">
      <c r="A13" s="9">
        <v>43517</v>
      </c>
      <c r="B13" s="12">
        <v>838</v>
      </c>
      <c r="C13" s="11">
        <v>0.13100000000000001</v>
      </c>
      <c r="D13" s="10">
        <v>3142</v>
      </c>
      <c r="E13" s="11">
        <v>0.17</v>
      </c>
      <c r="F13" s="10">
        <v>467519</v>
      </c>
      <c r="G13" s="11">
        <v>0.16200000000000001</v>
      </c>
      <c r="H13" s="11">
        <v>0.16600000000000001</v>
      </c>
      <c r="I13" s="10">
        <v>599461310</v>
      </c>
      <c r="J13" s="12" t="s">
        <v>3315</v>
      </c>
      <c r="K13" s="10">
        <v>77606</v>
      </c>
      <c r="L13" s="12" t="s">
        <v>3316</v>
      </c>
      <c r="M13" s="10">
        <v>8934514571</v>
      </c>
      <c r="N13" s="10">
        <v>1106225</v>
      </c>
      <c r="O13" s="12">
        <v>3</v>
      </c>
    </row>
    <row r="14" spans="1:15" ht="27" x14ac:dyDescent="0.3">
      <c r="A14" s="9">
        <v>43518</v>
      </c>
      <c r="B14" s="12">
        <v>916</v>
      </c>
      <c r="C14" s="11">
        <v>0.14000000000000001</v>
      </c>
      <c r="D14" s="10">
        <v>3447</v>
      </c>
      <c r="E14" s="11">
        <v>0.183</v>
      </c>
      <c r="F14" s="10">
        <v>516548</v>
      </c>
      <c r="G14" s="11">
        <v>0.17599999999999999</v>
      </c>
      <c r="H14" s="11">
        <v>0.17499999999999999</v>
      </c>
      <c r="I14" s="10">
        <v>754247650</v>
      </c>
      <c r="J14" s="12" t="s">
        <v>3317</v>
      </c>
      <c r="K14" s="10">
        <v>90479</v>
      </c>
      <c r="L14" s="12" t="s">
        <v>3318</v>
      </c>
      <c r="M14" s="10">
        <v>9688762221</v>
      </c>
      <c r="N14" s="10">
        <v>1196704</v>
      </c>
      <c r="O14" s="12">
        <v>3</v>
      </c>
    </row>
    <row r="15" spans="1:15" ht="27" x14ac:dyDescent="0.3">
      <c r="A15" s="9">
        <v>43519</v>
      </c>
      <c r="B15" s="10">
        <v>1046</v>
      </c>
      <c r="C15" s="11">
        <v>0.153</v>
      </c>
      <c r="D15" s="10">
        <v>4008</v>
      </c>
      <c r="E15" s="11">
        <v>0.20499999999999999</v>
      </c>
      <c r="F15" s="10">
        <v>605660</v>
      </c>
      <c r="G15" s="11">
        <v>0.19900000000000001</v>
      </c>
      <c r="H15" s="11">
        <v>0.31</v>
      </c>
      <c r="I15" s="10">
        <v>1578803550</v>
      </c>
      <c r="J15" s="12" t="s">
        <v>3319</v>
      </c>
      <c r="K15" s="10">
        <v>187720</v>
      </c>
      <c r="L15" s="12" t="s">
        <v>3320</v>
      </c>
      <c r="M15" s="10">
        <v>11267565771</v>
      </c>
      <c r="N15" s="10">
        <v>1384424</v>
      </c>
      <c r="O15" s="12">
        <v>3</v>
      </c>
    </row>
    <row r="16" spans="1:15" ht="27" x14ac:dyDescent="0.3">
      <c r="A16" s="9">
        <v>43520</v>
      </c>
      <c r="B16" s="10">
        <v>1040</v>
      </c>
      <c r="C16" s="11">
        <v>0.152</v>
      </c>
      <c r="D16" s="10">
        <v>3907</v>
      </c>
      <c r="E16" s="11">
        <v>0.20399999999999999</v>
      </c>
      <c r="F16" s="10">
        <v>597475</v>
      </c>
      <c r="G16" s="11">
        <v>0.20100000000000001</v>
      </c>
      <c r="H16" s="11">
        <v>0.29399999999999998</v>
      </c>
      <c r="I16" s="10">
        <v>1483881540</v>
      </c>
      <c r="J16" s="12" t="s">
        <v>3321</v>
      </c>
      <c r="K16" s="10">
        <v>175832</v>
      </c>
      <c r="L16" s="12" t="s">
        <v>3322</v>
      </c>
      <c r="M16" s="10">
        <v>12751447311</v>
      </c>
      <c r="N16" s="10">
        <v>1560256</v>
      </c>
      <c r="O16" s="12">
        <v>3</v>
      </c>
    </row>
    <row r="17" spans="1:15" ht="40.5" x14ac:dyDescent="0.3">
      <c r="A17" s="9">
        <v>43521</v>
      </c>
      <c r="B17" s="12">
        <v>943</v>
      </c>
      <c r="C17" s="11">
        <v>0.151</v>
      </c>
      <c r="D17" s="10">
        <v>3741</v>
      </c>
      <c r="E17" s="11">
        <v>0.20599999999999999</v>
      </c>
      <c r="F17" s="10">
        <v>576863</v>
      </c>
      <c r="G17" s="11">
        <v>0.20300000000000001</v>
      </c>
      <c r="H17" s="11">
        <v>0.11700000000000001</v>
      </c>
      <c r="I17" s="10">
        <v>523073950</v>
      </c>
      <c r="J17" s="12" t="s">
        <v>3323</v>
      </c>
      <c r="K17" s="10">
        <v>67363</v>
      </c>
      <c r="L17" s="12" t="s">
        <v>3324</v>
      </c>
      <c r="M17" s="10">
        <v>13274521261</v>
      </c>
      <c r="N17" s="10">
        <v>1627619</v>
      </c>
      <c r="O17" s="12">
        <v>2</v>
      </c>
    </row>
    <row r="18" spans="1:15" ht="27" x14ac:dyDescent="0.3">
      <c r="A18" s="9">
        <v>43522</v>
      </c>
      <c r="B18" s="12">
        <v>953</v>
      </c>
      <c r="C18" s="11">
        <v>0.14899999999999999</v>
      </c>
      <c r="D18" s="10">
        <v>3739</v>
      </c>
      <c r="E18" s="11">
        <v>0.20499999999999999</v>
      </c>
      <c r="F18" s="10">
        <v>578023</v>
      </c>
      <c r="G18" s="11">
        <v>0.20300000000000001</v>
      </c>
      <c r="H18" s="11">
        <v>0.11799999999999999</v>
      </c>
      <c r="I18" s="10">
        <v>521417400</v>
      </c>
      <c r="J18" s="12" t="s">
        <v>3325</v>
      </c>
      <c r="K18" s="10">
        <v>67934</v>
      </c>
      <c r="L18" s="12" t="s">
        <v>3326</v>
      </c>
      <c r="M18" s="10">
        <v>13795938661</v>
      </c>
      <c r="N18" s="10">
        <v>1695553</v>
      </c>
      <c r="O18" s="12">
        <v>2</v>
      </c>
    </row>
    <row r="19" spans="1:15" ht="27" x14ac:dyDescent="0.3">
      <c r="A19" s="9">
        <v>43523</v>
      </c>
      <c r="B19" s="12">
        <v>815</v>
      </c>
      <c r="C19" s="11">
        <v>0.123</v>
      </c>
      <c r="D19" s="10">
        <v>2909</v>
      </c>
      <c r="E19" s="11">
        <v>0.152</v>
      </c>
      <c r="F19" s="10">
        <v>491994</v>
      </c>
      <c r="G19" s="11">
        <v>0.16500000000000001</v>
      </c>
      <c r="H19" s="11">
        <v>0.28199999999999997</v>
      </c>
      <c r="I19" s="10">
        <v>797764350</v>
      </c>
      <c r="J19" s="12" t="s">
        <v>3327</v>
      </c>
      <c r="K19" s="10">
        <v>138913</v>
      </c>
      <c r="L19" s="12" t="s">
        <v>3328</v>
      </c>
      <c r="M19" s="10">
        <v>14593703011</v>
      </c>
      <c r="N19" s="10">
        <v>1834466</v>
      </c>
      <c r="O19" s="12">
        <v>2</v>
      </c>
    </row>
    <row r="20" spans="1:15" ht="40.5" x14ac:dyDescent="0.3">
      <c r="A20" s="9">
        <v>43524</v>
      </c>
      <c r="B20" s="12">
        <v>850</v>
      </c>
      <c r="C20" s="11">
        <v>0.128</v>
      </c>
      <c r="D20" s="10">
        <v>3117</v>
      </c>
      <c r="E20" s="11">
        <v>0.16</v>
      </c>
      <c r="F20" s="10">
        <v>524384</v>
      </c>
      <c r="G20" s="11">
        <v>0.17299999999999999</v>
      </c>
      <c r="H20" s="11">
        <v>0.155</v>
      </c>
      <c r="I20" s="10">
        <v>621291850</v>
      </c>
      <c r="J20" s="12" t="s">
        <v>3329</v>
      </c>
      <c r="K20" s="10">
        <v>81279</v>
      </c>
      <c r="L20" s="12" t="s">
        <v>3330</v>
      </c>
      <c r="M20" s="10">
        <v>15214994861</v>
      </c>
      <c r="N20" s="10">
        <v>1915745</v>
      </c>
      <c r="O20" s="12">
        <v>3</v>
      </c>
    </row>
    <row r="21" spans="1:15" ht="27" x14ac:dyDescent="0.3">
      <c r="A21" s="9">
        <v>43525</v>
      </c>
      <c r="B21" s="12">
        <v>963</v>
      </c>
      <c r="C21" s="11">
        <v>0.13100000000000001</v>
      </c>
      <c r="D21" s="10">
        <v>3446</v>
      </c>
      <c r="E21" s="11">
        <v>0.16900000000000001</v>
      </c>
      <c r="F21" s="10">
        <v>567018</v>
      </c>
      <c r="G21" s="11">
        <v>0.17899999999999999</v>
      </c>
      <c r="H21" s="11">
        <v>0.26100000000000001</v>
      </c>
      <c r="I21" s="10">
        <v>1272099600</v>
      </c>
      <c r="J21" s="12" t="s">
        <v>3331</v>
      </c>
      <c r="K21" s="10">
        <v>148186</v>
      </c>
      <c r="L21" s="12" t="s">
        <v>3332</v>
      </c>
      <c r="M21" s="10">
        <v>16487094461</v>
      </c>
      <c r="N21" s="10">
        <v>2063931</v>
      </c>
      <c r="O21" s="12">
        <v>3</v>
      </c>
    </row>
    <row r="22" spans="1:15" ht="40.5" x14ac:dyDescent="0.3">
      <c r="A22" s="9">
        <v>43526</v>
      </c>
      <c r="B22" s="12">
        <v>974</v>
      </c>
      <c r="C22" s="11">
        <v>0.13100000000000001</v>
      </c>
      <c r="D22" s="10">
        <v>3449</v>
      </c>
      <c r="E22" s="11">
        <v>0.17</v>
      </c>
      <c r="F22" s="10">
        <v>574511</v>
      </c>
      <c r="G22" s="11">
        <v>0.182</v>
      </c>
      <c r="H22" s="11">
        <v>0.222</v>
      </c>
      <c r="I22" s="10">
        <v>1108468290</v>
      </c>
      <c r="J22" s="12" t="s">
        <v>3333</v>
      </c>
      <c r="K22" s="10">
        <v>127417</v>
      </c>
      <c r="L22" s="12" t="s">
        <v>3334</v>
      </c>
      <c r="M22" s="10">
        <v>17595562751</v>
      </c>
      <c r="N22" s="10">
        <v>2191348</v>
      </c>
      <c r="O22" s="12">
        <v>3</v>
      </c>
    </row>
    <row r="23" spans="1:15" ht="40.5" x14ac:dyDescent="0.3">
      <c r="A23" s="9">
        <v>43527</v>
      </c>
      <c r="B23" s="12">
        <v>957</v>
      </c>
      <c r="C23" s="11">
        <v>0.13200000000000001</v>
      </c>
      <c r="D23" s="10">
        <v>3355</v>
      </c>
      <c r="E23" s="11">
        <v>0.17100000000000001</v>
      </c>
      <c r="F23" s="10">
        <v>558901</v>
      </c>
      <c r="G23" s="11">
        <v>0.183</v>
      </c>
      <c r="H23" s="11">
        <v>0.17399999999999999</v>
      </c>
      <c r="I23" s="10">
        <v>844511080</v>
      </c>
      <c r="J23" s="12" t="s">
        <v>3335</v>
      </c>
      <c r="K23" s="10">
        <v>97042</v>
      </c>
      <c r="L23" s="12" t="s">
        <v>3336</v>
      </c>
      <c r="M23" s="10">
        <v>18440073831</v>
      </c>
      <c r="N23" s="10">
        <v>2288390</v>
      </c>
      <c r="O23" s="12">
        <v>3</v>
      </c>
    </row>
    <row r="24" spans="1:15" ht="40.5" x14ac:dyDescent="0.3">
      <c r="A24" s="9">
        <v>43528</v>
      </c>
      <c r="B24" s="12">
        <v>843</v>
      </c>
      <c r="C24" s="11">
        <v>0.14099999999999999</v>
      </c>
      <c r="D24" s="10">
        <v>3005</v>
      </c>
      <c r="E24" s="11">
        <v>0.17499999999999999</v>
      </c>
      <c r="F24" s="10">
        <v>500020</v>
      </c>
      <c r="G24" s="11">
        <v>0.183</v>
      </c>
      <c r="H24" s="11">
        <v>5.5E-2</v>
      </c>
      <c r="I24" s="10">
        <v>219982460</v>
      </c>
      <c r="J24" s="12" t="s">
        <v>3337</v>
      </c>
      <c r="K24" s="10">
        <v>27595</v>
      </c>
      <c r="L24" s="12" t="s">
        <v>3338</v>
      </c>
      <c r="M24" s="10">
        <v>18660056291</v>
      </c>
      <c r="N24" s="10">
        <v>2315985</v>
      </c>
      <c r="O24" s="12">
        <v>3</v>
      </c>
    </row>
    <row r="25" spans="1:15" ht="27" x14ac:dyDescent="0.3">
      <c r="A25" s="9">
        <v>43529</v>
      </c>
      <c r="B25" s="12">
        <v>826</v>
      </c>
      <c r="C25" s="11">
        <v>0.14000000000000001</v>
      </c>
      <c r="D25" s="10">
        <v>2945</v>
      </c>
      <c r="E25" s="11">
        <v>0.17399999999999999</v>
      </c>
      <c r="F25" s="10">
        <v>488713</v>
      </c>
      <c r="G25" s="11">
        <v>0.182</v>
      </c>
      <c r="H25" s="11">
        <v>0.05</v>
      </c>
      <c r="I25" s="10">
        <v>194195930</v>
      </c>
      <c r="J25" s="12" t="s">
        <v>3339</v>
      </c>
      <c r="K25" s="10">
        <v>24411</v>
      </c>
      <c r="L25" s="12" t="s">
        <v>3340</v>
      </c>
      <c r="M25" s="10">
        <v>18854252221</v>
      </c>
      <c r="N25" s="10">
        <v>2340396</v>
      </c>
      <c r="O25" s="12">
        <v>4</v>
      </c>
    </row>
    <row r="26" spans="1:15" ht="27" x14ac:dyDescent="0.3">
      <c r="A26" s="9">
        <v>43530</v>
      </c>
      <c r="B26" s="12">
        <v>560</v>
      </c>
      <c r="C26" s="11">
        <v>0.111</v>
      </c>
      <c r="D26" s="10">
        <v>1607</v>
      </c>
      <c r="E26" s="11">
        <v>8.8999999999999996E-2</v>
      </c>
      <c r="F26" s="10">
        <v>190754</v>
      </c>
      <c r="G26" s="11">
        <v>6.7000000000000004E-2</v>
      </c>
      <c r="H26" s="11">
        <v>7.9000000000000001E-2</v>
      </c>
      <c r="I26" s="10">
        <v>120170330</v>
      </c>
      <c r="J26" s="12" t="s">
        <v>3341</v>
      </c>
      <c r="K26" s="10">
        <v>15115</v>
      </c>
      <c r="L26" s="12" t="s">
        <v>3342</v>
      </c>
      <c r="M26" s="10">
        <v>18974422551</v>
      </c>
      <c r="N26" s="10">
        <v>2355511</v>
      </c>
      <c r="O26" s="12">
        <v>4</v>
      </c>
    </row>
    <row r="27" spans="1:15" ht="27" x14ac:dyDescent="0.3">
      <c r="A27" s="9">
        <v>43531</v>
      </c>
      <c r="B27" s="12">
        <v>556</v>
      </c>
      <c r="C27" s="11">
        <v>0.106</v>
      </c>
      <c r="D27" s="10">
        <v>1538</v>
      </c>
      <c r="E27" s="11">
        <v>8.5999999999999993E-2</v>
      </c>
      <c r="F27" s="10">
        <v>183019</v>
      </c>
      <c r="G27" s="11">
        <v>6.5000000000000002E-2</v>
      </c>
      <c r="H27" s="11">
        <v>7.6999999999999999E-2</v>
      </c>
      <c r="I27" s="10">
        <v>112647440</v>
      </c>
      <c r="J27" s="12" t="s">
        <v>3343</v>
      </c>
      <c r="K27" s="10">
        <v>14173</v>
      </c>
      <c r="L27" s="12" t="s">
        <v>3344</v>
      </c>
      <c r="M27" s="10">
        <v>19087069991</v>
      </c>
      <c r="N27" s="10">
        <v>2369684</v>
      </c>
      <c r="O27" s="12">
        <v>4</v>
      </c>
    </row>
    <row r="28" spans="1:15" ht="27" x14ac:dyDescent="0.3">
      <c r="A28" s="9">
        <v>43532</v>
      </c>
      <c r="B28" s="12">
        <v>564</v>
      </c>
      <c r="C28" s="11">
        <v>0.106</v>
      </c>
      <c r="D28" s="10">
        <v>1528</v>
      </c>
      <c r="E28" s="11">
        <v>8.3000000000000004E-2</v>
      </c>
      <c r="F28" s="10">
        <v>183790</v>
      </c>
      <c r="G28" s="11">
        <v>6.4000000000000001E-2</v>
      </c>
      <c r="H28" s="11">
        <v>8.6999999999999994E-2</v>
      </c>
      <c r="I28" s="10">
        <v>142223710</v>
      </c>
      <c r="J28" s="12" t="s">
        <v>3345</v>
      </c>
      <c r="K28" s="10">
        <v>16076</v>
      </c>
      <c r="L28" s="12" t="s">
        <v>3346</v>
      </c>
      <c r="M28" s="10">
        <v>19229293701</v>
      </c>
      <c r="N28" s="10">
        <v>2385760</v>
      </c>
      <c r="O28" s="12">
        <v>4</v>
      </c>
    </row>
    <row r="29" spans="1:15" ht="27" x14ac:dyDescent="0.3">
      <c r="A29" s="9">
        <v>43533</v>
      </c>
      <c r="B29" s="12">
        <v>555</v>
      </c>
      <c r="C29" s="11">
        <v>9.5000000000000001E-2</v>
      </c>
      <c r="D29" s="10">
        <v>1420</v>
      </c>
      <c r="E29" s="11">
        <v>7.2999999999999995E-2</v>
      </c>
      <c r="F29" s="10">
        <v>168324</v>
      </c>
      <c r="G29" s="11">
        <v>5.6000000000000001E-2</v>
      </c>
      <c r="H29" s="11">
        <v>0.21299999999999999</v>
      </c>
      <c r="I29" s="10">
        <v>316917960</v>
      </c>
      <c r="J29" s="12" t="s">
        <v>3347</v>
      </c>
      <c r="K29" s="10">
        <v>35898</v>
      </c>
      <c r="L29" s="12" t="s">
        <v>3348</v>
      </c>
      <c r="M29" s="10">
        <v>19546211661</v>
      </c>
      <c r="N29" s="10">
        <v>2421658</v>
      </c>
      <c r="O29" s="12">
        <v>4</v>
      </c>
    </row>
    <row r="30" spans="1:15" ht="27" x14ac:dyDescent="0.3">
      <c r="A30" s="9">
        <v>43534</v>
      </c>
      <c r="B30" s="12">
        <v>573</v>
      </c>
      <c r="C30" s="11">
        <v>0.1</v>
      </c>
      <c r="D30" s="10">
        <v>1412</v>
      </c>
      <c r="E30" s="11">
        <v>7.4999999999999997E-2</v>
      </c>
      <c r="F30" s="10">
        <v>168806</v>
      </c>
      <c r="G30" s="11">
        <v>5.7000000000000002E-2</v>
      </c>
      <c r="H30" s="11">
        <v>0.21099999999999999</v>
      </c>
      <c r="I30" s="10">
        <v>313047340</v>
      </c>
      <c r="J30" s="12" t="s">
        <v>3349</v>
      </c>
      <c r="K30" s="10">
        <v>35633</v>
      </c>
      <c r="L30" s="12" t="s">
        <v>3350</v>
      </c>
      <c r="M30" s="10">
        <v>19859259001</v>
      </c>
      <c r="N30" s="10">
        <v>2457291</v>
      </c>
      <c r="O30" s="12">
        <v>3</v>
      </c>
    </row>
    <row r="31" spans="1:15" ht="40.5" x14ac:dyDescent="0.3">
      <c r="A31" s="9">
        <v>43535</v>
      </c>
      <c r="B31" s="12">
        <v>528</v>
      </c>
      <c r="C31" s="11">
        <v>0.105</v>
      </c>
      <c r="D31" s="10">
        <v>1420</v>
      </c>
      <c r="E31" s="11">
        <v>8.3000000000000004E-2</v>
      </c>
      <c r="F31" s="10">
        <v>170858</v>
      </c>
      <c r="G31" s="11">
        <v>6.3E-2</v>
      </c>
      <c r="H31" s="11">
        <v>6.3E-2</v>
      </c>
      <c r="I31" s="10">
        <v>84851170</v>
      </c>
      <c r="J31" s="12" t="s">
        <v>3351</v>
      </c>
      <c r="K31" s="10">
        <v>10735</v>
      </c>
      <c r="L31" s="12" t="s">
        <v>3352</v>
      </c>
      <c r="M31" s="10">
        <v>19944110171</v>
      </c>
      <c r="N31" s="10">
        <v>2468026</v>
      </c>
      <c r="O31" s="12">
        <v>4</v>
      </c>
    </row>
    <row r="32" spans="1:15" ht="27" x14ac:dyDescent="0.3">
      <c r="A32" s="9">
        <v>43536</v>
      </c>
      <c r="B32" s="12">
        <v>536</v>
      </c>
      <c r="C32" s="11">
        <v>0.104</v>
      </c>
      <c r="D32" s="10">
        <v>1385</v>
      </c>
      <c r="E32" s="11">
        <v>8.2000000000000003E-2</v>
      </c>
      <c r="F32" s="10">
        <v>165471</v>
      </c>
      <c r="G32" s="11">
        <v>6.2E-2</v>
      </c>
      <c r="H32" s="11">
        <v>6.4000000000000001E-2</v>
      </c>
      <c r="I32" s="10">
        <v>82795810</v>
      </c>
      <c r="J32" s="12" t="s">
        <v>3353</v>
      </c>
      <c r="K32" s="10">
        <v>10600</v>
      </c>
      <c r="L32" s="12" t="s">
        <v>3354</v>
      </c>
      <c r="M32" s="10">
        <v>20026905981</v>
      </c>
      <c r="N32" s="10">
        <v>2478626</v>
      </c>
      <c r="O32" s="12">
        <v>4</v>
      </c>
    </row>
    <row r="33" spans="1:15" ht="27" x14ac:dyDescent="0.3">
      <c r="A33" s="9">
        <v>43537</v>
      </c>
      <c r="B33" s="12">
        <v>527</v>
      </c>
      <c r="C33" s="11">
        <v>9.5000000000000001E-2</v>
      </c>
      <c r="D33" s="10">
        <v>1184</v>
      </c>
      <c r="E33" s="11">
        <v>6.9000000000000006E-2</v>
      </c>
      <c r="F33" s="10">
        <v>142950</v>
      </c>
      <c r="G33" s="11">
        <v>5.2999999999999999E-2</v>
      </c>
      <c r="H33" s="11">
        <v>6.0999999999999999E-2</v>
      </c>
      <c r="I33" s="10">
        <v>68515820</v>
      </c>
      <c r="J33" s="12" t="s">
        <v>3355</v>
      </c>
      <c r="K33" s="10">
        <v>8705</v>
      </c>
      <c r="L33" s="12" t="s">
        <v>3356</v>
      </c>
      <c r="M33" s="10">
        <v>20095421801</v>
      </c>
      <c r="N33" s="10">
        <v>2487331</v>
      </c>
      <c r="O33" s="12">
        <v>5</v>
      </c>
    </row>
    <row r="34" spans="1:15" ht="27" x14ac:dyDescent="0.3">
      <c r="A34" s="9">
        <v>43538</v>
      </c>
      <c r="B34" s="12">
        <v>371</v>
      </c>
      <c r="C34" s="11">
        <v>6.6000000000000003E-2</v>
      </c>
      <c r="D34" s="12">
        <v>656</v>
      </c>
      <c r="E34" s="11">
        <v>3.6999999999999998E-2</v>
      </c>
      <c r="F34" s="10">
        <v>78500</v>
      </c>
      <c r="G34" s="11">
        <v>2.8000000000000001E-2</v>
      </c>
      <c r="H34" s="11">
        <v>6.7000000000000004E-2</v>
      </c>
      <c r="I34" s="10">
        <v>40310990</v>
      </c>
      <c r="J34" s="12" t="s">
        <v>3357</v>
      </c>
      <c r="K34" s="10">
        <v>5294</v>
      </c>
      <c r="L34" s="12" t="s">
        <v>3358</v>
      </c>
      <c r="M34" s="10">
        <v>20135732791</v>
      </c>
      <c r="N34" s="10">
        <v>2492625</v>
      </c>
      <c r="O34" s="12">
        <v>7</v>
      </c>
    </row>
    <row r="35" spans="1:15" ht="27" x14ac:dyDescent="0.3">
      <c r="A35" s="9">
        <v>43539</v>
      </c>
      <c r="B35" s="12">
        <v>368</v>
      </c>
      <c r="C35" s="11">
        <v>6.5000000000000002E-2</v>
      </c>
      <c r="D35" s="12">
        <v>683</v>
      </c>
      <c r="E35" s="11">
        <v>3.6999999999999998E-2</v>
      </c>
      <c r="F35" s="10">
        <v>81426</v>
      </c>
      <c r="G35" s="11">
        <v>2.8000000000000001E-2</v>
      </c>
      <c r="H35" s="11">
        <v>7.2999999999999995E-2</v>
      </c>
      <c r="I35" s="10">
        <v>51260690</v>
      </c>
      <c r="J35" s="12" t="s">
        <v>3359</v>
      </c>
      <c r="K35" s="10">
        <v>5926</v>
      </c>
      <c r="L35" s="12" t="s">
        <v>3360</v>
      </c>
      <c r="M35" s="10">
        <v>20186993481</v>
      </c>
      <c r="N35" s="10">
        <v>2498551</v>
      </c>
      <c r="O35" s="12">
        <v>5</v>
      </c>
    </row>
    <row r="36" spans="1:15" ht="27" x14ac:dyDescent="0.3">
      <c r="A36" s="9">
        <v>43540</v>
      </c>
      <c r="B36" s="12">
        <v>379</v>
      </c>
      <c r="C36" s="11">
        <v>5.7000000000000002E-2</v>
      </c>
      <c r="D36" s="12">
        <v>643</v>
      </c>
      <c r="E36" s="11">
        <v>3.3000000000000002E-2</v>
      </c>
      <c r="F36" s="10">
        <v>76779</v>
      </c>
      <c r="G36" s="11">
        <v>2.5000000000000001E-2</v>
      </c>
      <c r="H36" s="11">
        <v>0.14599999999999999</v>
      </c>
      <c r="I36" s="10">
        <v>97622220</v>
      </c>
      <c r="J36" s="12" t="s">
        <v>3361</v>
      </c>
      <c r="K36" s="10">
        <v>11229</v>
      </c>
      <c r="L36" s="12" t="s">
        <v>3362</v>
      </c>
      <c r="M36" s="10">
        <v>20284615701</v>
      </c>
      <c r="N36" s="10">
        <v>2509780</v>
      </c>
      <c r="O36" s="12">
        <v>7</v>
      </c>
    </row>
    <row r="37" spans="1:15" ht="27" x14ac:dyDescent="0.3">
      <c r="A37" s="9">
        <v>43541</v>
      </c>
      <c r="B37" s="12">
        <v>369</v>
      </c>
      <c r="C37" s="11">
        <v>5.6000000000000001E-2</v>
      </c>
      <c r="D37" s="12">
        <v>620</v>
      </c>
      <c r="E37" s="11">
        <v>3.3000000000000002E-2</v>
      </c>
      <c r="F37" s="10">
        <v>74354</v>
      </c>
      <c r="G37" s="11">
        <v>2.5000000000000001E-2</v>
      </c>
      <c r="H37" s="11">
        <v>0.126</v>
      </c>
      <c r="I37" s="10">
        <v>81054020</v>
      </c>
      <c r="J37" s="12" t="s">
        <v>3363</v>
      </c>
      <c r="K37" s="10">
        <v>9370</v>
      </c>
      <c r="L37" s="12" t="s">
        <v>3364</v>
      </c>
      <c r="M37" s="10">
        <v>20365669721</v>
      </c>
      <c r="N37" s="10">
        <v>2519150</v>
      </c>
      <c r="O37" s="12">
        <v>7</v>
      </c>
    </row>
    <row r="38" spans="1:15" ht="27" x14ac:dyDescent="0.3">
      <c r="A38" s="9">
        <v>43542</v>
      </c>
      <c r="B38" s="12">
        <v>373</v>
      </c>
      <c r="C38" s="11">
        <v>6.9000000000000006E-2</v>
      </c>
      <c r="D38" s="12">
        <v>657</v>
      </c>
      <c r="E38" s="11">
        <v>3.9E-2</v>
      </c>
      <c r="F38" s="10">
        <v>78086</v>
      </c>
      <c r="G38" s="11">
        <v>2.9000000000000001E-2</v>
      </c>
      <c r="H38" s="11">
        <v>5.0999999999999997E-2</v>
      </c>
      <c r="I38" s="10">
        <v>30810100</v>
      </c>
      <c r="J38" s="12" t="s">
        <v>3365</v>
      </c>
      <c r="K38" s="10">
        <v>3996</v>
      </c>
      <c r="L38" s="12" t="s">
        <v>3366</v>
      </c>
      <c r="M38" s="10">
        <v>20396479821</v>
      </c>
      <c r="N38" s="10">
        <v>2523146</v>
      </c>
      <c r="O38" s="12">
        <v>7</v>
      </c>
    </row>
    <row r="39" spans="1:15" ht="27" x14ac:dyDescent="0.3">
      <c r="A39" s="9">
        <v>43543</v>
      </c>
      <c r="B39" s="12">
        <v>367</v>
      </c>
      <c r="C39" s="11">
        <v>6.7000000000000004E-2</v>
      </c>
      <c r="D39" s="12">
        <v>650</v>
      </c>
      <c r="E39" s="11">
        <v>3.9E-2</v>
      </c>
      <c r="F39" s="10">
        <v>76235</v>
      </c>
      <c r="G39" s="11">
        <v>2.9000000000000001E-2</v>
      </c>
      <c r="H39" s="11">
        <v>5.3999999999999999E-2</v>
      </c>
      <c r="I39" s="10">
        <v>30369050</v>
      </c>
      <c r="J39" s="12" t="s">
        <v>3367</v>
      </c>
      <c r="K39" s="10">
        <v>4121</v>
      </c>
      <c r="L39" s="12" t="s">
        <v>3368</v>
      </c>
      <c r="M39" s="10">
        <v>20426848871</v>
      </c>
      <c r="N39" s="10">
        <v>2527267</v>
      </c>
      <c r="O39" s="12">
        <v>7</v>
      </c>
    </row>
    <row r="40" spans="1:15" ht="27" x14ac:dyDescent="0.3">
      <c r="A40" s="9">
        <v>43544</v>
      </c>
      <c r="B40" s="12">
        <v>68</v>
      </c>
      <c r="C40" s="11">
        <v>1.2999999999999999E-2</v>
      </c>
      <c r="D40" s="12">
        <v>80</v>
      </c>
      <c r="E40" s="11">
        <v>5.0000000000000001E-3</v>
      </c>
      <c r="F40" s="10">
        <v>9839</v>
      </c>
      <c r="G40" s="11">
        <v>4.0000000000000001E-3</v>
      </c>
      <c r="H40" s="11">
        <v>8.2000000000000003E-2</v>
      </c>
      <c r="I40" s="10">
        <v>6799300</v>
      </c>
      <c r="J40" s="12" t="s">
        <v>3369</v>
      </c>
      <c r="K40" s="12">
        <v>810</v>
      </c>
      <c r="L40" s="12" t="s">
        <v>3370</v>
      </c>
      <c r="M40" s="10">
        <v>20433648171</v>
      </c>
      <c r="N40" s="10">
        <v>2528077</v>
      </c>
      <c r="O40" s="12">
        <v>14</v>
      </c>
    </row>
    <row r="41" spans="1:15" ht="27" x14ac:dyDescent="0.3">
      <c r="A41" s="9">
        <v>43545</v>
      </c>
      <c r="B41" s="12">
        <v>63</v>
      </c>
      <c r="C41" s="11">
        <v>1.2E-2</v>
      </c>
      <c r="D41" s="12">
        <v>79</v>
      </c>
      <c r="E41" s="11">
        <v>5.0000000000000001E-3</v>
      </c>
      <c r="F41" s="10">
        <v>9692</v>
      </c>
      <c r="G41" s="11">
        <v>4.0000000000000001E-3</v>
      </c>
      <c r="H41" s="11">
        <v>7.3999999999999996E-2</v>
      </c>
      <c r="I41" s="10">
        <v>4711500</v>
      </c>
      <c r="J41" s="12" t="s">
        <v>3371</v>
      </c>
      <c r="K41" s="12">
        <v>722</v>
      </c>
      <c r="L41" s="12" t="s">
        <v>3372</v>
      </c>
      <c r="M41" s="10">
        <v>20438359671</v>
      </c>
      <c r="N41" s="10">
        <v>2528799</v>
      </c>
      <c r="O41" s="12">
        <v>17</v>
      </c>
    </row>
    <row r="42" spans="1:15" ht="27" x14ac:dyDescent="0.3">
      <c r="A42" s="9">
        <v>43546</v>
      </c>
      <c r="B42" s="12">
        <v>62</v>
      </c>
      <c r="C42" s="11">
        <v>1.2E-2</v>
      </c>
      <c r="D42" s="12">
        <v>73</v>
      </c>
      <c r="E42" s="11">
        <v>4.0000000000000001E-3</v>
      </c>
      <c r="F42" s="10">
        <v>9041</v>
      </c>
      <c r="G42" s="11">
        <v>3.0000000000000001E-3</v>
      </c>
      <c r="H42" s="11">
        <v>7.9000000000000001E-2</v>
      </c>
      <c r="I42" s="10">
        <v>5133450</v>
      </c>
      <c r="J42" s="12" t="s">
        <v>3373</v>
      </c>
      <c r="K42" s="12">
        <v>717</v>
      </c>
      <c r="L42" s="12" t="s">
        <v>3374</v>
      </c>
      <c r="M42" s="10">
        <v>20443493121</v>
      </c>
      <c r="N42" s="10">
        <v>2529516</v>
      </c>
      <c r="O42" s="12">
        <v>15</v>
      </c>
    </row>
    <row r="43" spans="1:15" ht="27" x14ac:dyDescent="0.3">
      <c r="A43" s="9">
        <v>43547</v>
      </c>
      <c r="B43" s="12">
        <v>62</v>
      </c>
      <c r="C43" s="11">
        <v>1.0999999999999999E-2</v>
      </c>
      <c r="D43" s="12">
        <v>69</v>
      </c>
      <c r="E43" s="11">
        <v>4.0000000000000001E-3</v>
      </c>
      <c r="F43" s="10">
        <v>7792</v>
      </c>
      <c r="G43" s="11">
        <v>3.0000000000000001E-3</v>
      </c>
      <c r="H43" s="11">
        <v>0.1</v>
      </c>
      <c r="I43" s="10">
        <v>6212380</v>
      </c>
      <c r="J43" s="12" t="s">
        <v>3375</v>
      </c>
      <c r="K43" s="12">
        <v>779</v>
      </c>
      <c r="L43" s="12" t="s">
        <v>3376</v>
      </c>
      <c r="M43" s="10">
        <v>20449705501</v>
      </c>
      <c r="N43" s="10">
        <v>2530295</v>
      </c>
      <c r="O43" s="12">
        <v>18</v>
      </c>
    </row>
    <row r="44" spans="1:15" ht="27" x14ac:dyDescent="0.3">
      <c r="A44" s="9">
        <v>43548</v>
      </c>
      <c r="B44" s="12">
        <v>60</v>
      </c>
      <c r="C44" s="11">
        <v>0.01</v>
      </c>
      <c r="D44" s="12">
        <v>65</v>
      </c>
      <c r="E44" s="11">
        <v>3.0000000000000001E-3</v>
      </c>
      <c r="F44" s="10">
        <v>7724</v>
      </c>
      <c r="G44" s="11">
        <v>3.0000000000000001E-3</v>
      </c>
      <c r="H44" s="11">
        <v>9.8000000000000004E-2</v>
      </c>
      <c r="I44" s="10">
        <v>6623030</v>
      </c>
      <c r="J44" s="12" t="s">
        <v>3377</v>
      </c>
      <c r="K44" s="12">
        <v>760</v>
      </c>
      <c r="L44" s="12" t="s">
        <v>3378</v>
      </c>
      <c r="M44" s="10">
        <v>20456328531</v>
      </c>
      <c r="N44" s="10">
        <v>2531055</v>
      </c>
      <c r="O44" s="12">
        <v>17</v>
      </c>
    </row>
    <row r="45" spans="1:15" ht="27" x14ac:dyDescent="0.3">
      <c r="A45" s="9">
        <v>43549</v>
      </c>
      <c r="B45" s="12">
        <v>51</v>
      </c>
      <c r="C45" s="11">
        <v>0.01</v>
      </c>
      <c r="D45" s="12">
        <v>66</v>
      </c>
      <c r="E45" s="11">
        <v>4.0000000000000001E-3</v>
      </c>
      <c r="F45" s="10">
        <v>7810</v>
      </c>
      <c r="G45" s="11">
        <v>3.0000000000000001E-3</v>
      </c>
      <c r="H45" s="11">
        <v>5.2999999999999999E-2</v>
      </c>
      <c r="I45" s="10">
        <v>2750100</v>
      </c>
      <c r="J45" s="12" t="s">
        <v>3379</v>
      </c>
      <c r="K45" s="12">
        <v>417</v>
      </c>
      <c r="L45" s="12" t="s">
        <v>3380</v>
      </c>
      <c r="M45" s="10">
        <v>20459078631</v>
      </c>
      <c r="N45" s="10">
        <v>2531472</v>
      </c>
      <c r="O45" s="12">
        <v>20</v>
      </c>
    </row>
    <row r="46" spans="1:15" ht="27" x14ac:dyDescent="0.3">
      <c r="A46" s="9">
        <v>43550</v>
      </c>
      <c r="B46" s="12">
        <v>56</v>
      </c>
      <c r="C46" s="11">
        <v>1.0999999999999999E-2</v>
      </c>
      <c r="D46" s="12">
        <v>66</v>
      </c>
      <c r="E46" s="11">
        <v>4.0000000000000001E-3</v>
      </c>
      <c r="F46" s="10">
        <v>7950</v>
      </c>
      <c r="G46" s="11">
        <v>3.0000000000000001E-3</v>
      </c>
      <c r="H46" s="11">
        <v>0.06</v>
      </c>
      <c r="I46" s="10">
        <v>3359800</v>
      </c>
      <c r="J46" s="12" t="s">
        <v>3381</v>
      </c>
      <c r="K46" s="12">
        <v>475</v>
      </c>
      <c r="L46" s="12" t="s">
        <v>3382</v>
      </c>
      <c r="M46" s="10">
        <v>20462438431</v>
      </c>
      <c r="N46" s="10">
        <v>2531947</v>
      </c>
      <c r="O46" s="12">
        <v>21</v>
      </c>
    </row>
    <row r="47" spans="1:15" ht="27" x14ac:dyDescent="0.3">
      <c r="A47" s="9">
        <v>43551</v>
      </c>
      <c r="B47" s="12">
        <v>6</v>
      </c>
      <c r="C47" s="11">
        <v>1E-3</v>
      </c>
      <c r="D47" s="12">
        <v>6</v>
      </c>
      <c r="E47" s="11">
        <v>0</v>
      </c>
      <c r="F47" s="12">
        <v>871</v>
      </c>
      <c r="G47" s="11">
        <v>0</v>
      </c>
      <c r="H47" s="11">
        <v>0.113</v>
      </c>
      <c r="I47" s="10">
        <v>758000</v>
      </c>
      <c r="J47" s="12" t="s">
        <v>3383</v>
      </c>
      <c r="K47" s="12">
        <v>98</v>
      </c>
      <c r="L47" s="12" t="s">
        <v>3384</v>
      </c>
      <c r="M47" s="10">
        <v>20463196431</v>
      </c>
      <c r="N47" s="10">
        <v>2532045</v>
      </c>
      <c r="O47" s="12">
        <v>62</v>
      </c>
    </row>
    <row r="48" spans="1:15" ht="27" x14ac:dyDescent="0.3">
      <c r="A48" s="9">
        <v>43552</v>
      </c>
      <c r="B48" s="12">
        <v>6</v>
      </c>
      <c r="C48" s="11">
        <v>1E-3</v>
      </c>
      <c r="D48" s="12">
        <v>6</v>
      </c>
      <c r="E48" s="11">
        <v>0</v>
      </c>
      <c r="F48" s="12">
        <v>886</v>
      </c>
      <c r="G48" s="11">
        <v>0</v>
      </c>
      <c r="H48" s="11">
        <v>0.38100000000000001</v>
      </c>
      <c r="I48" s="10">
        <v>2657200</v>
      </c>
      <c r="J48" s="12" t="s">
        <v>3385</v>
      </c>
      <c r="K48" s="12">
        <v>338</v>
      </c>
      <c r="L48" s="12" t="s">
        <v>3386</v>
      </c>
      <c r="M48" s="10">
        <v>20465853631</v>
      </c>
      <c r="N48" s="10">
        <v>2532383</v>
      </c>
      <c r="O48" s="12">
        <v>32</v>
      </c>
    </row>
    <row r="49" spans="1:15" ht="27" x14ac:dyDescent="0.3">
      <c r="A49" s="9">
        <v>43553</v>
      </c>
      <c r="B49" s="12">
        <v>5</v>
      </c>
      <c r="C49" s="11">
        <v>1E-3</v>
      </c>
      <c r="D49" s="12">
        <v>5</v>
      </c>
      <c r="E49" s="11">
        <v>0</v>
      </c>
      <c r="F49" s="12">
        <v>683</v>
      </c>
      <c r="G49" s="11">
        <v>0</v>
      </c>
      <c r="H49" s="11">
        <v>0.23300000000000001</v>
      </c>
      <c r="I49" s="10">
        <v>1214500</v>
      </c>
      <c r="J49" s="12" t="s">
        <v>3387</v>
      </c>
      <c r="K49" s="12">
        <v>159</v>
      </c>
      <c r="L49" s="12" t="s">
        <v>3388</v>
      </c>
      <c r="M49" s="10">
        <v>20467068131</v>
      </c>
      <c r="N49" s="10">
        <v>2532542</v>
      </c>
      <c r="O49" s="12">
        <v>42</v>
      </c>
    </row>
    <row r="50" spans="1:15" ht="27" x14ac:dyDescent="0.3">
      <c r="A50" s="9">
        <v>43554</v>
      </c>
      <c r="B50" s="12">
        <v>4</v>
      </c>
      <c r="C50" s="11">
        <v>1E-3</v>
      </c>
      <c r="D50" s="12">
        <v>4</v>
      </c>
      <c r="E50" s="11">
        <v>0</v>
      </c>
      <c r="F50" s="12">
        <v>545</v>
      </c>
      <c r="G50" s="11">
        <v>0</v>
      </c>
      <c r="H50" s="11">
        <v>0.215</v>
      </c>
      <c r="I50" s="10">
        <v>1051800</v>
      </c>
      <c r="J50" s="12" t="s">
        <v>3389</v>
      </c>
      <c r="K50" s="12">
        <v>117</v>
      </c>
      <c r="L50" s="12" t="s">
        <v>3390</v>
      </c>
      <c r="M50" s="10">
        <v>20468119931</v>
      </c>
      <c r="N50" s="10">
        <v>2532659</v>
      </c>
      <c r="O50" s="12">
        <v>49</v>
      </c>
    </row>
    <row r="51" spans="1:15" ht="27" x14ac:dyDescent="0.3">
      <c r="A51" s="9">
        <v>43555</v>
      </c>
      <c r="B51" s="12">
        <v>5</v>
      </c>
      <c r="C51" s="11">
        <v>1E-3</v>
      </c>
      <c r="D51" s="12">
        <v>5</v>
      </c>
      <c r="E51" s="11">
        <v>0</v>
      </c>
      <c r="F51" s="12">
        <v>719</v>
      </c>
      <c r="G51" s="11">
        <v>0</v>
      </c>
      <c r="H51" s="11">
        <v>0.29899999999999999</v>
      </c>
      <c r="I51" s="10">
        <v>1879100</v>
      </c>
      <c r="J51" s="12" t="s">
        <v>3391</v>
      </c>
      <c r="K51" s="12">
        <v>215</v>
      </c>
      <c r="L51" s="12" t="s">
        <v>3392</v>
      </c>
      <c r="M51" s="10">
        <v>20469999031</v>
      </c>
      <c r="N51" s="10">
        <v>2532874</v>
      </c>
      <c r="O51" s="12">
        <v>33</v>
      </c>
    </row>
    <row r="52" spans="1:15" ht="27" x14ac:dyDescent="0.3">
      <c r="A52" s="9">
        <v>43556</v>
      </c>
      <c r="B52" s="12">
        <v>5</v>
      </c>
      <c r="C52" s="11">
        <v>1E-3</v>
      </c>
      <c r="D52" s="12">
        <v>5</v>
      </c>
      <c r="E52" s="11">
        <v>0</v>
      </c>
      <c r="F52" s="12">
        <v>695</v>
      </c>
      <c r="G52" s="11">
        <v>0</v>
      </c>
      <c r="H52" s="11">
        <v>0.112</v>
      </c>
      <c r="I52" s="10">
        <v>655000</v>
      </c>
      <c r="J52" s="12" t="s">
        <v>3393</v>
      </c>
      <c r="K52" s="12">
        <v>78</v>
      </c>
      <c r="L52" s="12" t="s">
        <v>3394</v>
      </c>
      <c r="M52" s="10">
        <v>20470654031</v>
      </c>
      <c r="N52" s="10">
        <v>2532952</v>
      </c>
      <c r="O52" s="12">
        <v>44</v>
      </c>
    </row>
    <row r="53" spans="1:15" ht="27" x14ac:dyDescent="0.3">
      <c r="A53" s="9">
        <v>43557</v>
      </c>
      <c r="B53" s="12">
        <v>2</v>
      </c>
      <c r="C53" s="11">
        <v>0</v>
      </c>
      <c r="D53" s="12">
        <v>2</v>
      </c>
      <c r="E53" s="11">
        <v>0</v>
      </c>
      <c r="F53" s="12">
        <v>286</v>
      </c>
      <c r="G53" s="11">
        <v>0</v>
      </c>
      <c r="H53" s="11">
        <v>3.1E-2</v>
      </c>
      <c r="I53" s="10">
        <v>73000</v>
      </c>
      <c r="J53" s="12" t="s">
        <v>3395</v>
      </c>
      <c r="K53" s="12">
        <v>9</v>
      </c>
      <c r="L53" s="12" t="s">
        <v>3396</v>
      </c>
      <c r="M53" s="10">
        <v>20470727031</v>
      </c>
      <c r="N53" s="10">
        <v>2532961</v>
      </c>
      <c r="O53" s="12">
        <v>81</v>
      </c>
    </row>
    <row r="54" spans="1:15" ht="27" x14ac:dyDescent="0.3">
      <c r="A54" s="9">
        <v>43559</v>
      </c>
      <c r="B54" s="12">
        <v>1</v>
      </c>
      <c r="C54" s="11">
        <v>0</v>
      </c>
      <c r="D54" s="12">
        <v>1</v>
      </c>
      <c r="E54" s="11">
        <v>0</v>
      </c>
      <c r="F54" s="12">
        <v>153</v>
      </c>
      <c r="G54" s="11">
        <v>0</v>
      </c>
      <c r="H54" s="11">
        <v>7.0000000000000001E-3</v>
      </c>
      <c r="I54" s="10">
        <v>6000</v>
      </c>
      <c r="J54" s="12" t="s">
        <v>1555</v>
      </c>
      <c r="K54" s="12">
        <v>1</v>
      </c>
      <c r="L54" s="12" t="s">
        <v>312</v>
      </c>
      <c r="M54" s="10">
        <v>20470733031</v>
      </c>
      <c r="N54" s="10">
        <v>2532962</v>
      </c>
      <c r="O54" s="12">
        <v>95</v>
      </c>
    </row>
    <row r="55" spans="1:15" ht="27" x14ac:dyDescent="0.3">
      <c r="A55" s="9">
        <v>43566</v>
      </c>
      <c r="B55" s="12">
        <v>2</v>
      </c>
      <c r="C55" s="11">
        <v>0</v>
      </c>
      <c r="D55" s="12">
        <v>2</v>
      </c>
      <c r="E55" s="11">
        <v>0</v>
      </c>
      <c r="F55" s="12">
        <v>560</v>
      </c>
      <c r="G55" s="11">
        <v>0</v>
      </c>
      <c r="H55" s="11">
        <v>0.66400000000000003</v>
      </c>
      <c r="I55" s="10">
        <v>1860000</v>
      </c>
      <c r="J55" s="12" t="s">
        <v>3397</v>
      </c>
      <c r="K55" s="12">
        <v>372</v>
      </c>
      <c r="L55" s="12" t="s">
        <v>3398</v>
      </c>
      <c r="M55" s="10">
        <v>20472593031</v>
      </c>
      <c r="N55" s="10">
        <v>2533334</v>
      </c>
      <c r="O55" s="12">
        <v>27</v>
      </c>
    </row>
    <row r="56" spans="1:15" ht="27" x14ac:dyDescent="0.3">
      <c r="A56" s="9">
        <v>43571</v>
      </c>
      <c r="B56" s="12">
        <v>1</v>
      </c>
      <c r="C56" s="11">
        <v>0</v>
      </c>
      <c r="D56" s="12">
        <v>1</v>
      </c>
      <c r="E56" s="11">
        <v>0</v>
      </c>
      <c r="F56" s="12">
        <v>105</v>
      </c>
      <c r="G56" s="11">
        <v>0</v>
      </c>
      <c r="H56" s="11">
        <v>0.86699999999999999</v>
      </c>
      <c r="I56" s="10">
        <v>546000</v>
      </c>
      <c r="J56" s="12" t="s">
        <v>3399</v>
      </c>
      <c r="K56" s="12">
        <v>91</v>
      </c>
      <c r="L56" s="12" t="s">
        <v>3400</v>
      </c>
      <c r="M56" s="10">
        <v>20473139031</v>
      </c>
      <c r="N56" s="10">
        <v>2533425</v>
      </c>
      <c r="O56" s="12">
        <v>44</v>
      </c>
    </row>
    <row r="57" spans="1:15" ht="27" x14ac:dyDescent="0.3">
      <c r="A57" s="9">
        <v>43573</v>
      </c>
      <c r="B57" s="12">
        <v>1</v>
      </c>
      <c r="C57" s="11">
        <v>0</v>
      </c>
      <c r="D57" s="12">
        <v>1</v>
      </c>
      <c r="E57" s="11">
        <v>0</v>
      </c>
      <c r="F57" s="12">
        <v>153</v>
      </c>
      <c r="G57" s="11">
        <v>0</v>
      </c>
      <c r="H57" s="11">
        <v>0.65400000000000003</v>
      </c>
      <c r="I57" s="10">
        <v>600000</v>
      </c>
      <c r="J57" s="12" t="s">
        <v>3401</v>
      </c>
      <c r="K57" s="12">
        <v>100</v>
      </c>
      <c r="L57" s="12" t="s">
        <v>471</v>
      </c>
      <c r="M57" s="10">
        <v>20473739031</v>
      </c>
      <c r="N57" s="10">
        <v>2533525</v>
      </c>
      <c r="O57" s="12">
        <v>56</v>
      </c>
    </row>
    <row r="58" spans="1:15" ht="27" x14ac:dyDescent="0.3">
      <c r="A58" s="9">
        <v>43585</v>
      </c>
      <c r="B58" s="12">
        <v>1</v>
      </c>
      <c r="C58" s="11">
        <v>0</v>
      </c>
      <c r="D58" s="12">
        <v>1</v>
      </c>
      <c r="E58" s="11">
        <v>0</v>
      </c>
      <c r="F58" s="12">
        <v>32</v>
      </c>
      <c r="G58" s="11">
        <v>0</v>
      </c>
      <c r="H58" s="11">
        <v>1</v>
      </c>
      <c r="I58" s="10">
        <v>192000</v>
      </c>
      <c r="J58" s="12" t="s">
        <v>3402</v>
      </c>
      <c r="K58" s="12">
        <v>32</v>
      </c>
      <c r="L58" s="12" t="s">
        <v>1383</v>
      </c>
      <c r="M58" s="10">
        <v>20473931031</v>
      </c>
      <c r="N58" s="10">
        <v>2533557</v>
      </c>
      <c r="O58" s="12">
        <v>78</v>
      </c>
    </row>
    <row r="59" spans="1:15" ht="27" x14ac:dyDescent="0.3">
      <c r="A59" s="9">
        <v>43593</v>
      </c>
      <c r="B59" s="12">
        <v>22</v>
      </c>
      <c r="C59" s="11">
        <v>5.0000000000000001E-3</v>
      </c>
      <c r="D59" s="12">
        <v>23</v>
      </c>
      <c r="E59" s="11">
        <v>2E-3</v>
      </c>
      <c r="F59" s="10">
        <v>3080</v>
      </c>
      <c r="G59" s="11">
        <v>1E-3</v>
      </c>
      <c r="H59" s="11">
        <v>2.3E-2</v>
      </c>
      <c r="I59" s="10">
        <v>454300</v>
      </c>
      <c r="J59" s="12" t="s">
        <v>3403</v>
      </c>
      <c r="K59" s="12">
        <v>71</v>
      </c>
      <c r="L59" s="12" t="s">
        <v>3404</v>
      </c>
      <c r="M59" s="10">
        <v>20474385331</v>
      </c>
      <c r="N59" s="10">
        <v>2533628</v>
      </c>
      <c r="O59" s="12">
        <v>52</v>
      </c>
    </row>
    <row r="60" spans="1:15" ht="27" x14ac:dyDescent="0.3">
      <c r="A60" s="9">
        <v>43594</v>
      </c>
      <c r="B60" s="12">
        <v>26</v>
      </c>
      <c r="C60" s="11">
        <v>5.0000000000000001E-3</v>
      </c>
      <c r="D60" s="12">
        <v>27</v>
      </c>
      <c r="E60" s="11">
        <v>2E-3</v>
      </c>
      <c r="F60" s="10">
        <v>3727</v>
      </c>
      <c r="G60" s="11">
        <v>1E-3</v>
      </c>
      <c r="H60" s="11">
        <v>1.9E-2</v>
      </c>
      <c r="I60" s="10">
        <v>433800</v>
      </c>
      <c r="J60" s="12" t="s">
        <v>3405</v>
      </c>
      <c r="K60" s="12">
        <v>71</v>
      </c>
      <c r="L60" s="12" t="s">
        <v>292</v>
      </c>
      <c r="M60" s="10">
        <v>20474819131</v>
      </c>
      <c r="N60" s="10">
        <v>2533699</v>
      </c>
      <c r="O60" s="12">
        <v>47</v>
      </c>
    </row>
    <row r="61" spans="1:15" ht="27" x14ac:dyDescent="0.3">
      <c r="A61" s="9">
        <v>43595</v>
      </c>
      <c r="B61" s="12">
        <v>24</v>
      </c>
      <c r="C61" s="11">
        <v>5.0000000000000001E-3</v>
      </c>
      <c r="D61" s="12">
        <v>24</v>
      </c>
      <c r="E61" s="11">
        <v>1E-3</v>
      </c>
      <c r="F61" s="10">
        <v>3269</v>
      </c>
      <c r="G61" s="11">
        <v>1E-3</v>
      </c>
      <c r="H61" s="11">
        <v>2.3E-2</v>
      </c>
      <c r="I61" s="10">
        <v>484300</v>
      </c>
      <c r="J61" s="12" t="s">
        <v>3406</v>
      </c>
      <c r="K61" s="12">
        <v>74</v>
      </c>
      <c r="L61" s="12" t="s">
        <v>3407</v>
      </c>
      <c r="M61" s="10">
        <v>20475303431</v>
      </c>
      <c r="N61" s="10">
        <v>2533773</v>
      </c>
      <c r="O61" s="12">
        <v>45</v>
      </c>
    </row>
    <row r="62" spans="1:15" ht="27" x14ac:dyDescent="0.3">
      <c r="A62" s="9">
        <v>43596</v>
      </c>
      <c r="B62" s="12">
        <v>19</v>
      </c>
      <c r="C62" s="11">
        <v>3.0000000000000001E-3</v>
      </c>
      <c r="D62" s="12">
        <v>19</v>
      </c>
      <c r="E62" s="11">
        <v>1E-3</v>
      </c>
      <c r="F62" s="10">
        <v>2229</v>
      </c>
      <c r="G62" s="11">
        <v>1E-3</v>
      </c>
      <c r="H62" s="11">
        <v>2.1999999999999999E-2</v>
      </c>
      <c r="I62" s="10">
        <v>331900</v>
      </c>
      <c r="J62" s="12" t="s">
        <v>3408</v>
      </c>
      <c r="K62" s="12">
        <v>50</v>
      </c>
      <c r="L62" s="12" t="s">
        <v>3409</v>
      </c>
      <c r="M62" s="10">
        <v>20475635331</v>
      </c>
      <c r="N62" s="10">
        <v>2533823</v>
      </c>
      <c r="O62" s="12">
        <v>56</v>
      </c>
    </row>
    <row r="63" spans="1:15" ht="27" x14ac:dyDescent="0.3">
      <c r="A63" s="9">
        <v>43597</v>
      </c>
      <c r="B63" s="12">
        <v>22</v>
      </c>
      <c r="C63" s="11">
        <v>4.0000000000000001E-3</v>
      </c>
      <c r="D63" s="12">
        <v>22</v>
      </c>
      <c r="E63" s="11">
        <v>1E-3</v>
      </c>
      <c r="F63" s="10">
        <v>2587</v>
      </c>
      <c r="G63" s="11">
        <v>1E-3</v>
      </c>
      <c r="H63" s="11">
        <v>5.0999999999999997E-2</v>
      </c>
      <c r="I63" s="10">
        <v>854900</v>
      </c>
      <c r="J63" s="12" t="s">
        <v>3410</v>
      </c>
      <c r="K63" s="12">
        <v>132</v>
      </c>
      <c r="L63" s="12" t="s">
        <v>3411</v>
      </c>
      <c r="M63" s="10">
        <v>20476490231</v>
      </c>
      <c r="N63" s="10">
        <v>2533955</v>
      </c>
      <c r="O63" s="12">
        <v>32</v>
      </c>
    </row>
    <row r="64" spans="1:15" ht="27" x14ac:dyDescent="0.3">
      <c r="A64" s="9">
        <v>43598</v>
      </c>
      <c r="B64" s="12">
        <v>23</v>
      </c>
      <c r="C64" s="11">
        <v>5.0000000000000001E-3</v>
      </c>
      <c r="D64" s="12">
        <v>23</v>
      </c>
      <c r="E64" s="11">
        <v>1E-3</v>
      </c>
      <c r="F64" s="10">
        <v>2973</v>
      </c>
      <c r="G64" s="11">
        <v>1E-3</v>
      </c>
      <c r="H64" s="11">
        <v>2.4E-2</v>
      </c>
      <c r="I64" s="10">
        <v>462800</v>
      </c>
      <c r="J64" s="12" t="s">
        <v>3412</v>
      </c>
      <c r="K64" s="12">
        <v>72</v>
      </c>
      <c r="L64" s="12" t="s">
        <v>3413</v>
      </c>
      <c r="M64" s="10">
        <v>20476953031</v>
      </c>
      <c r="N64" s="10">
        <v>2534027</v>
      </c>
      <c r="O64" s="12">
        <v>42</v>
      </c>
    </row>
    <row r="65" spans="1:15" ht="27" x14ac:dyDescent="0.3">
      <c r="A65" s="9">
        <v>43599</v>
      </c>
      <c r="B65" s="12">
        <v>18</v>
      </c>
      <c r="C65" s="11">
        <v>4.0000000000000001E-3</v>
      </c>
      <c r="D65" s="12">
        <v>18</v>
      </c>
      <c r="E65" s="11">
        <v>1E-3</v>
      </c>
      <c r="F65" s="10">
        <v>2193</v>
      </c>
      <c r="G65" s="11">
        <v>1E-3</v>
      </c>
      <c r="H65" s="11">
        <v>2.1999999999999999E-2</v>
      </c>
      <c r="I65" s="10">
        <v>309300</v>
      </c>
      <c r="J65" s="12" t="s">
        <v>3414</v>
      </c>
      <c r="K65" s="12">
        <v>48</v>
      </c>
      <c r="L65" s="12" t="s">
        <v>3415</v>
      </c>
      <c r="M65" s="10">
        <v>20477262331</v>
      </c>
      <c r="N65" s="10">
        <v>2534075</v>
      </c>
      <c r="O65" s="12">
        <v>52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037CA-9AA4-423E-BE65-55BEAF917966}">
  <dimension ref="A1:O54"/>
  <sheetViews>
    <sheetView workbookViewId="0">
      <selection activeCell="A6" sqref="A6"/>
    </sheetView>
  </sheetViews>
  <sheetFormatPr defaultRowHeight="16.5" x14ac:dyDescent="0.3"/>
  <sheetData>
    <row r="1" spans="1:15" ht="19.5" x14ac:dyDescent="0.3">
      <c r="A1" s="197" t="s">
        <v>3416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43516</v>
      </c>
      <c r="B5" s="10">
        <v>1162</v>
      </c>
      <c r="C5" s="11">
        <v>0.188</v>
      </c>
      <c r="D5" s="10">
        <v>5881</v>
      </c>
      <c r="E5" s="11">
        <v>0.315</v>
      </c>
      <c r="F5" s="10">
        <v>1102873</v>
      </c>
      <c r="G5" s="11">
        <v>0.38</v>
      </c>
      <c r="H5" s="11">
        <v>0.16700000000000001</v>
      </c>
      <c r="I5" s="10">
        <v>1438049010</v>
      </c>
      <c r="J5" s="12" t="s">
        <v>3417</v>
      </c>
      <c r="K5" s="10">
        <v>184517</v>
      </c>
      <c r="L5" s="12" t="s">
        <v>3418</v>
      </c>
      <c r="M5" s="10">
        <v>1507351110</v>
      </c>
      <c r="N5" s="10">
        <v>191690</v>
      </c>
      <c r="O5" s="12">
        <v>1</v>
      </c>
    </row>
    <row r="6" spans="1:15" ht="40.5" x14ac:dyDescent="0.3">
      <c r="A6" s="9">
        <v>43517</v>
      </c>
      <c r="B6" s="10">
        <v>1149</v>
      </c>
      <c r="C6" s="11">
        <v>0.18</v>
      </c>
      <c r="D6" s="10">
        <v>5725</v>
      </c>
      <c r="E6" s="11">
        <v>0.309</v>
      </c>
      <c r="F6" s="10">
        <v>1074884</v>
      </c>
      <c r="G6" s="11">
        <v>0.373</v>
      </c>
      <c r="H6" s="11">
        <v>0.13500000000000001</v>
      </c>
      <c r="I6" s="10">
        <v>1165412830</v>
      </c>
      <c r="J6" s="12" t="s">
        <v>3419</v>
      </c>
      <c r="K6" s="10">
        <v>144986</v>
      </c>
      <c r="L6" s="12" t="s">
        <v>3420</v>
      </c>
      <c r="M6" s="10">
        <v>2672763940</v>
      </c>
      <c r="N6" s="10">
        <v>336676</v>
      </c>
      <c r="O6" s="12">
        <v>1</v>
      </c>
    </row>
    <row r="7" spans="1:15" ht="27" x14ac:dyDescent="0.3">
      <c r="A7" s="9">
        <v>43518</v>
      </c>
      <c r="B7" s="10">
        <v>1174</v>
      </c>
      <c r="C7" s="11">
        <v>0.17899999999999999</v>
      </c>
      <c r="D7" s="10">
        <v>5771</v>
      </c>
      <c r="E7" s="11">
        <v>0.307</v>
      </c>
      <c r="F7" s="10">
        <v>1085171</v>
      </c>
      <c r="G7" s="11">
        <v>0.37</v>
      </c>
      <c r="H7" s="11">
        <v>0.16300000000000001</v>
      </c>
      <c r="I7" s="10">
        <v>1540198127</v>
      </c>
      <c r="J7" s="12" t="s">
        <v>3421</v>
      </c>
      <c r="K7" s="10">
        <v>177329</v>
      </c>
      <c r="L7" s="12" t="s">
        <v>3422</v>
      </c>
      <c r="M7" s="10">
        <v>4212962067</v>
      </c>
      <c r="N7" s="10">
        <v>514005</v>
      </c>
      <c r="O7" s="12">
        <v>1</v>
      </c>
    </row>
    <row r="8" spans="1:15" ht="27" x14ac:dyDescent="0.3">
      <c r="A8" s="9">
        <v>43519</v>
      </c>
      <c r="B8" s="10">
        <v>1142</v>
      </c>
      <c r="C8" s="11">
        <v>0.16700000000000001</v>
      </c>
      <c r="D8" s="10">
        <v>5685</v>
      </c>
      <c r="E8" s="11">
        <v>0.28999999999999998</v>
      </c>
      <c r="F8" s="10">
        <v>1075214</v>
      </c>
      <c r="G8" s="11">
        <v>0.35399999999999998</v>
      </c>
      <c r="H8" s="11">
        <v>0.32400000000000001</v>
      </c>
      <c r="I8" s="10">
        <v>3045293226</v>
      </c>
      <c r="J8" s="12" t="s">
        <v>3423</v>
      </c>
      <c r="K8" s="10">
        <v>348834</v>
      </c>
      <c r="L8" s="12" t="s">
        <v>3424</v>
      </c>
      <c r="M8" s="10">
        <v>7258255293</v>
      </c>
      <c r="N8" s="10">
        <v>862839</v>
      </c>
      <c r="O8" s="12">
        <v>1</v>
      </c>
    </row>
    <row r="9" spans="1:15" ht="40.5" x14ac:dyDescent="0.3">
      <c r="A9" s="9">
        <v>43520</v>
      </c>
      <c r="B9" s="10">
        <v>1155</v>
      </c>
      <c r="C9" s="11">
        <v>0.16800000000000001</v>
      </c>
      <c r="D9" s="10">
        <v>5576</v>
      </c>
      <c r="E9" s="11">
        <v>0.29099999999999998</v>
      </c>
      <c r="F9" s="10">
        <v>1049943</v>
      </c>
      <c r="G9" s="11">
        <v>0.35299999999999998</v>
      </c>
      <c r="H9" s="11">
        <v>0.29799999999999999</v>
      </c>
      <c r="I9" s="10">
        <v>2737714320</v>
      </c>
      <c r="J9" s="12" t="s">
        <v>3425</v>
      </c>
      <c r="K9" s="10">
        <v>313336</v>
      </c>
      <c r="L9" s="12" t="s">
        <v>3426</v>
      </c>
      <c r="M9" s="10">
        <v>9995969613</v>
      </c>
      <c r="N9" s="10">
        <v>1176175</v>
      </c>
      <c r="O9" s="12">
        <v>1</v>
      </c>
    </row>
    <row r="10" spans="1:15" ht="54" x14ac:dyDescent="0.3">
      <c r="A10" s="9">
        <v>43521</v>
      </c>
      <c r="B10" s="10">
        <v>1080</v>
      </c>
      <c r="C10" s="11">
        <v>0.17199999999999999</v>
      </c>
      <c r="D10" s="10">
        <v>5320</v>
      </c>
      <c r="E10" s="11">
        <v>0.29299999999999998</v>
      </c>
      <c r="F10" s="10">
        <v>996249</v>
      </c>
      <c r="G10" s="11">
        <v>0.35099999999999998</v>
      </c>
      <c r="H10" s="11">
        <v>0.12</v>
      </c>
      <c r="I10" s="10">
        <v>965961820</v>
      </c>
      <c r="J10" s="12" t="s">
        <v>3427</v>
      </c>
      <c r="K10" s="10">
        <v>119778</v>
      </c>
      <c r="L10" s="12" t="s">
        <v>3428</v>
      </c>
      <c r="M10" s="10">
        <v>10961931433</v>
      </c>
      <c r="N10" s="10">
        <v>1295953</v>
      </c>
      <c r="O10" s="12">
        <v>1</v>
      </c>
    </row>
    <row r="11" spans="1:15" ht="40.5" x14ac:dyDescent="0.3">
      <c r="A11" s="9">
        <v>43522</v>
      </c>
      <c r="B11" s="10">
        <v>1103</v>
      </c>
      <c r="C11" s="11">
        <v>0.17199999999999999</v>
      </c>
      <c r="D11" s="10">
        <v>5281</v>
      </c>
      <c r="E11" s="11">
        <v>0.28999999999999998</v>
      </c>
      <c r="F11" s="10">
        <v>987829</v>
      </c>
      <c r="G11" s="11">
        <v>0.34799999999999998</v>
      </c>
      <c r="H11" s="11">
        <v>0.108</v>
      </c>
      <c r="I11" s="10">
        <v>854748280</v>
      </c>
      <c r="J11" s="12" t="s">
        <v>3429</v>
      </c>
      <c r="K11" s="10">
        <v>106800</v>
      </c>
      <c r="L11" s="12" t="s">
        <v>3430</v>
      </c>
      <c r="M11" s="10">
        <v>11816679713</v>
      </c>
      <c r="N11" s="10">
        <v>1402753</v>
      </c>
      <c r="O11" s="12">
        <v>1</v>
      </c>
    </row>
    <row r="12" spans="1:15" ht="27" x14ac:dyDescent="0.3">
      <c r="A12" s="9">
        <v>43523</v>
      </c>
      <c r="B12" s="12">
        <v>906</v>
      </c>
      <c r="C12" s="11">
        <v>0.13600000000000001</v>
      </c>
      <c r="D12" s="10">
        <v>3693</v>
      </c>
      <c r="E12" s="11">
        <v>0.193</v>
      </c>
      <c r="F12" s="10">
        <v>722156</v>
      </c>
      <c r="G12" s="11">
        <v>0.24299999999999999</v>
      </c>
      <c r="H12" s="11">
        <v>0.23200000000000001</v>
      </c>
      <c r="I12" s="10">
        <v>994175600</v>
      </c>
      <c r="J12" s="12" t="s">
        <v>3431</v>
      </c>
      <c r="K12" s="10">
        <v>167791</v>
      </c>
      <c r="L12" s="12" t="s">
        <v>3432</v>
      </c>
      <c r="M12" s="10">
        <v>12810855313</v>
      </c>
      <c r="N12" s="10">
        <v>1570544</v>
      </c>
      <c r="O12" s="12">
        <v>1</v>
      </c>
    </row>
    <row r="13" spans="1:15" ht="40.5" x14ac:dyDescent="0.3">
      <c r="A13" s="9">
        <v>43524</v>
      </c>
      <c r="B13" s="12">
        <v>909</v>
      </c>
      <c r="C13" s="11">
        <v>0.13700000000000001</v>
      </c>
      <c r="D13" s="10">
        <v>3798</v>
      </c>
      <c r="E13" s="11">
        <v>0.19500000000000001</v>
      </c>
      <c r="F13" s="10">
        <v>742813</v>
      </c>
      <c r="G13" s="11">
        <v>0.245</v>
      </c>
      <c r="H13" s="11">
        <v>0.14399999999999999</v>
      </c>
      <c r="I13" s="10">
        <v>848706180</v>
      </c>
      <c r="J13" s="12" t="s">
        <v>3433</v>
      </c>
      <c r="K13" s="10">
        <v>106839</v>
      </c>
      <c r="L13" s="12" t="s">
        <v>3434</v>
      </c>
      <c r="M13" s="10">
        <v>13659561493</v>
      </c>
      <c r="N13" s="10">
        <v>1677383</v>
      </c>
      <c r="O13" s="12">
        <v>1</v>
      </c>
    </row>
    <row r="14" spans="1:15" ht="27" x14ac:dyDescent="0.3">
      <c r="A14" s="9">
        <v>43525</v>
      </c>
      <c r="B14" s="12">
        <v>949</v>
      </c>
      <c r="C14" s="11">
        <v>0.13</v>
      </c>
      <c r="D14" s="10">
        <v>3907</v>
      </c>
      <c r="E14" s="11">
        <v>0.191</v>
      </c>
      <c r="F14" s="10">
        <v>746995</v>
      </c>
      <c r="G14" s="11">
        <v>0.23499999999999999</v>
      </c>
      <c r="H14" s="11">
        <v>0.25</v>
      </c>
      <c r="I14" s="10">
        <v>1654706831</v>
      </c>
      <c r="J14" s="12" t="s">
        <v>3435</v>
      </c>
      <c r="K14" s="10">
        <v>186751</v>
      </c>
      <c r="L14" s="12" t="s">
        <v>3436</v>
      </c>
      <c r="M14" s="10">
        <v>15314268324</v>
      </c>
      <c r="N14" s="10">
        <v>1864134</v>
      </c>
      <c r="O14" s="12">
        <v>2</v>
      </c>
    </row>
    <row r="15" spans="1:15" ht="40.5" x14ac:dyDescent="0.3">
      <c r="A15" s="9">
        <v>43526</v>
      </c>
      <c r="B15" s="12">
        <v>955</v>
      </c>
      <c r="C15" s="11">
        <v>0.129</v>
      </c>
      <c r="D15" s="10">
        <v>3780</v>
      </c>
      <c r="E15" s="11">
        <v>0.187</v>
      </c>
      <c r="F15" s="10">
        <v>708756</v>
      </c>
      <c r="G15" s="11">
        <v>0.22500000000000001</v>
      </c>
      <c r="H15" s="11">
        <v>0.22900000000000001</v>
      </c>
      <c r="I15" s="10">
        <v>1448025360</v>
      </c>
      <c r="J15" s="12" t="s">
        <v>3437</v>
      </c>
      <c r="K15" s="10">
        <v>162038</v>
      </c>
      <c r="L15" s="12" t="s">
        <v>3438</v>
      </c>
      <c r="M15" s="10">
        <v>16762293684</v>
      </c>
      <c r="N15" s="10">
        <v>2026172</v>
      </c>
      <c r="O15" s="12">
        <v>2</v>
      </c>
    </row>
    <row r="16" spans="1:15" ht="40.5" x14ac:dyDescent="0.3">
      <c r="A16" s="9">
        <v>43527</v>
      </c>
      <c r="B16" s="12">
        <v>912</v>
      </c>
      <c r="C16" s="11">
        <v>0.126</v>
      </c>
      <c r="D16" s="10">
        <v>3626</v>
      </c>
      <c r="E16" s="11">
        <v>0.185</v>
      </c>
      <c r="F16" s="10">
        <v>678802</v>
      </c>
      <c r="G16" s="11">
        <v>0.222</v>
      </c>
      <c r="H16" s="11">
        <v>0.18</v>
      </c>
      <c r="I16" s="10">
        <v>1093715450</v>
      </c>
      <c r="J16" s="12" t="s">
        <v>3439</v>
      </c>
      <c r="K16" s="10">
        <v>122329</v>
      </c>
      <c r="L16" s="12" t="s">
        <v>3440</v>
      </c>
      <c r="M16" s="10">
        <v>17856009134</v>
      </c>
      <c r="N16" s="10">
        <v>2148501</v>
      </c>
      <c r="O16" s="12">
        <v>2</v>
      </c>
    </row>
    <row r="17" spans="1:15" ht="40.5" x14ac:dyDescent="0.3">
      <c r="A17" s="9">
        <v>43528</v>
      </c>
      <c r="B17" s="12">
        <v>832</v>
      </c>
      <c r="C17" s="11">
        <v>0.14000000000000001</v>
      </c>
      <c r="D17" s="10">
        <v>3339</v>
      </c>
      <c r="E17" s="11">
        <v>0.19400000000000001</v>
      </c>
      <c r="F17" s="10">
        <v>607875</v>
      </c>
      <c r="G17" s="11">
        <v>0.222</v>
      </c>
      <c r="H17" s="11">
        <v>6.0999999999999999E-2</v>
      </c>
      <c r="I17" s="10">
        <v>306001570</v>
      </c>
      <c r="J17" s="12" t="s">
        <v>3441</v>
      </c>
      <c r="K17" s="10">
        <v>37179</v>
      </c>
      <c r="L17" s="12" t="s">
        <v>3442</v>
      </c>
      <c r="M17" s="10">
        <v>18162010704</v>
      </c>
      <c r="N17" s="10">
        <v>2185680</v>
      </c>
      <c r="O17" s="12">
        <v>2</v>
      </c>
    </row>
    <row r="18" spans="1:15" ht="27" x14ac:dyDescent="0.3">
      <c r="A18" s="9">
        <v>43529</v>
      </c>
      <c r="B18" s="12">
        <v>833</v>
      </c>
      <c r="C18" s="11">
        <v>0.14099999999999999</v>
      </c>
      <c r="D18" s="10">
        <v>3315</v>
      </c>
      <c r="E18" s="11">
        <v>0.19600000000000001</v>
      </c>
      <c r="F18" s="10">
        <v>605536</v>
      </c>
      <c r="G18" s="11">
        <v>0.22500000000000001</v>
      </c>
      <c r="H18" s="11">
        <v>5.6000000000000001E-2</v>
      </c>
      <c r="I18" s="10">
        <v>275004010</v>
      </c>
      <c r="J18" s="12" t="s">
        <v>3443</v>
      </c>
      <c r="K18" s="10">
        <v>33650</v>
      </c>
      <c r="L18" s="12" t="s">
        <v>3444</v>
      </c>
      <c r="M18" s="10">
        <v>18437014714</v>
      </c>
      <c r="N18" s="10">
        <v>2219330</v>
      </c>
      <c r="O18" s="12">
        <v>2</v>
      </c>
    </row>
    <row r="19" spans="1:15" ht="40.5" x14ac:dyDescent="0.3">
      <c r="A19" s="9">
        <v>43530</v>
      </c>
      <c r="B19" s="12">
        <v>524</v>
      </c>
      <c r="C19" s="11">
        <v>0.104</v>
      </c>
      <c r="D19" s="10">
        <v>1444</v>
      </c>
      <c r="E19" s="11">
        <v>0.08</v>
      </c>
      <c r="F19" s="10">
        <v>182953</v>
      </c>
      <c r="G19" s="11">
        <v>6.4000000000000001E-2</v>
      </c>
      <c r="H19" s="11">
        <v>8.6999999999999994E-2</v>
      </c>
      <c r="I19" s="10">
        <v>132256680</v>
      </c>
      <c r="J19" s="12" t="s">
        <v>3445</v>
      </c>
      <c r="K19" s="10">
        <v>15911</v>
      </c>
      <c r="L19" s="12" t="s">
        <v>3446</v>
      </c>
      <c r="M19" s="10">
        <v>18569271394</v>
      </c>
      <c r="N19" s="10">
        <v>2235241</v>
      </c>
      <c r="O19" s="12">
        <v>3</v>
      </c>
    </row>
    <row r="20" spans="1:15" ht="27" x14ac:dyDescent="0.3">
      <c r="A20" s="9">
        <v>43531</v>
      </c>
      <c r="B20" s="12">
        <v>518</v>
      </c>
      <c r="C20" s="11">
        <v>9.9000000000000005E-2</v>
      </c>
      <c r="D20" s="10">
        <v>1360</v>
      </c>
      <c r="E20" s="11">
        <v>7.5999999999999998E-2</v>
      </c>
      <c r="F20" s="10">
        <v>172354</v>
      </c>
      <c r="G20" s="11">
        <v>6.0999999999999999E-2</v>
      </c>
      <c r="H20" s="11">
        <v>8.4000000000000005E-2</v>
      </c>
      <c r="I20" s="10">
        <v>120676810</v>
      </c>
      <c r="J20" s="12" t="s">
        <v>3447</v>
      </c>
      <c r="K20" s="10">
        <v>14538</v>
      </c>
      <c r="L20" s="12" t="s">
        <v>3448</v>
      </c>
      <c r="M20" s="10">
        <v>18689948204</v>
      </c>
      <c r="N20" s="10">
        <v>2249779</v>
      </c>
      <c r="O20" s="12">
        <v>3</v>
      </c>
    </row>
    <row r="21" spans="1:15" ht="27" x14ac:dyDescent="0.3">
      <c r="A21" s="9">
        <v>43532</v>
      </c>
      <c r="B21" s="12">
        <v>553</v>
      </c>
      <c r="C21" s="11">
        <v>0.104</v>
      </c>
      <c r="D21" s="10">
        <v>1401</v>
      </c>
      <c r="E21" s="11">
        <v>7.5999999999999998E-2</v>
      </c>
      <c r="F21" s="10">
        <v>177663</v>
      </c>
      <c r="G21" s="11">
        <v>6.2E-2</v>
      </c>
      <c r="H21" s="11">
        <v>0.106</v>
      </c>
      <c r="I21" s="10">
        <v>173703940</v>
      </c>
      <c r="J21" s="12" t="s">
        <v>3449</v>
      </c>
      <c r="K21" s="10">
        <v>18892</v>
      </c>
      <c r="L21" s="12" t="s">
        <v>3450</v>
      </c>
      <c r="M21" s="10">
        <v>18863652144</v>
      </c>
      <c r="N21" s="10">
        <v>2268671</v>
      </c>
      <c r="O21" s="12">
        <v>3</v>
      </c>
    </row>
    <row r="22" spans="1:15" ht="27" x14ac:dyDescent="0.3">
      <c r="A22" s="9">
        <v>43533</v>
      </c>
      <c r="B22" s="12">
        <v>560</v>
      </c>
      <c r="C22" s="11">
        <v>9.6000000000000002E-2</v>
      </c>
      <c r="D22" s="10">
        <v>1315</v>
      </c>
      <c r="E22" s="11">
        <v>6.8000000000000005E-2</v>
      </c>
      <c r="F22" s="10">
        <v>164018</v>
      </c>
      <c r="G22" s="11">
        <v>5.5E-2</v>
      </c>
      <c r="H22" s="11">
        <v>0.23400000000000001</v>
      </c>
      <c r="I22" s="10">
        <v>351574340</v>
      </c>
      <c r="J22" s="12" t="s">
        <v>3451</v>
      </c>
      <c r="K22" s="10">
        <v>38446</v>
      </c>
      <c r="L22" s="12" t="s">
        <v>3452</v>
      </c>
      <c r="M22" s="10">
        <v>19215226484</v>
      </c>
      <c r="N22" s="10">
        <v>2307117</v>
      </c>
      <c r="O22" s="12">
        <v>3</v>
      </c>
    </row>
    <row r="23" spans="1:15" ht="27" x14ac:dyDescent="0.3">
      <c r="A23" s="9">
        <v>43534</v>
      </c>
      <c r="B23" s="12">
        <v>546</v>
      </c>
      <c r="C23" s="11">
        <v>9.5000000000000001E-2</v>
      </c>
      <c r="D23" s="10">
        <v>1285</v>
      </c>
      <c r="E23" s="11">
        <v>6.8000000000000005E-2</v>
      </c>
      <c r="F23" s="10">
        <v>159443</v>
      </c>
      <c r="G23" s="11">
        <v>5.3999999999999999E-2</v>
      </c>
      <c r="H23" s="11">
        <v>0.21</v>
      </c>
      <c r="I23" s="10">
        <v>305089580</v>
      </c>
      <c r="J23" s="12" t="s">
        <v>3453</v>
      </c>
      <c r="K23" s="10">
        <v>33408</v>
      </c>
      <c r="L23" s="12" t="s">
        <v>3454</v>
      </c>
      <c r="M23" s="10">
        <v>19520316064</v>
      </c>
      <c r="N23" s="10">
        <v>2340525</v>
      </c>
      <c r="O23" s="12">
        <v>4</v>
      </c>
    </row>
    <row r="24" spans="1:15" ht="40.5" x14ac:dyDescent="0.3">
      <c r="A24" s="9">
        <v>43535</v>
      </c>
      <c r="B24" s="12">
        <v>527</v>
      </c>
      <c r="C24" s="11">
        <v>0.105</v>
      </c>
      <c r="D24" s="10">
        <v>1295</v>
      </c>
      <c r="E24" s="11">
        <v>7.5999999999999998E-2</v>
      </c>
      <c r="F24" s="10">
        <v>162542</v>
      </c>
      <c r="G24" s="11">
        <v>0.06</v>
      </c>
      <c r="H24" s="11">
        <v>6.6000000000000003E-2</v>
      </c>
      <c r="I24" s="10">
        <v>89664810</v>
      </c>
      <c r="J24" s="12" t="s">
        <v>3455</v>
      </c>
      <c r="K24" s="10">
        <v>10706</v>
      </c>
      <c r="L24" s="12" t="s">
        <v>3456</v>
      </c>
      <c r="M24" s="10">
        <v>19609980874</v>
      </c>
      <c r="N24" s="10">
        <v>2351231</v>
      </c>
      <c r="O24" s="12">
        <v>5</v>
      </c>
    </row>
    <row r="25" spans="1:15" ht="27" x14ac:dyDescent="0.3">
      <c r="A25" s="9">
        <v>43536</v>
      </c>
      <c r="B25" s="12">
        <v>544</v>
      </c>
      <c r="C25" s="11">
        <v>0.105</v>
      </c>
      <c r="D25" s="10">
        <v>1295</v>
      </c>
      <c r="E25" s="11">
        <v>7.6999999999999999E-2</v>
      </c>
      <c r="F25" s="10">
        <v>162249</v>
      </c>
      <c r="G25" s="11">
        <v>6.0999999999999999E-2</v>
      </c>
      <c r="H25" s="11">
        <v>6.0999999999999999E-2</v>
      </c>
      <c r="I25" s="10">
        <v>83034020</v>
      </c>
      <c r="J25" s="12" t="s">
        <v>3457</v>
      </c>
      <c r="K25" s="10">
        <v>9976</v>
      </c>
      <c r="L25" s="12" t="s">
        <v>3458</v>
      </c>
      <c r="M25" s="10">
        <v>19693014894</v>
      </c>
      <c r="N25" s="10">
        <v>2361207</v>
      </c>
      <c r="O25" s="12">
        <v>5</v>
      </c>
    </row>
    <row r="26" spans="1:15" ht="27" x14ac:dyDescent="0.3">
      <c r="A26" s="9">
        <v>43537</v>
      </c>
      <c r="B26" s="12">
        <v>504</v>
      </c>
      <c r="C26" s="11">
        <v>9.0999999999999998E-2</v>
      </c>
      <c r="D26" s="10">
        <v>1087</v>
      </c>
      <c r="E26" s="11">
        <v>6.4000000000000001E-2</v>
      </c>
      <c r="F26" s="10">
        <v>136170</v>
      </c>
      <c r="G26" s="11">
        <v>0.05</v>
      </c>
      <c r="H26" s="11">
        <v>5.8999999999999997E-2</v>
      </c>
      <c r="I26" s="10">
        <v>66747100</v>
      </c>
      <c r="J26" s="12" t="s">
        <v>3459</v>
      </c>
      <c r="K26" s="10">
        <v>8076</v>
      </c>
      <c r="L26" s="12" t="s">
        <v>3460</v>
      </c>
      <c r="M26" s="10">
        <v>19759761994</v>
      </c>
      <c r="N26" s="10">
        <v>2369283</v>
      </c>
      <c r="O26" s="12">
        <v>6</v>
      </c>
    </row>
    <row r="27" spans="1:15" ht="27" x14ac:dyDescent="0.3">
      <c r="A27" s="9">
        <v>43538</v>
      </c>
      <c r="B27" s="12">
        <v>271</v>
      </c>
      <c r="C27" s="11">
        <v>4.8000000000000001E-2</v>
      </c>
      <c r="D27" s="12">
        <v>439</v>
      </c>
      <c r="E27" s="11">
        <v>2.5000000000000001E-2</v>
      </c>
      <c r="F27" s="10">
        <v>52172</v>
      </c>
      <c r="G27" s="11">
        <v>1.9E-2</v>
      </c>
      <c r="H27" s="11">
        <v>6.7000000000000004E-2</v>
      </c>
      <c r="I27" s="10">
        <v>28952640</v>
      </c>
      <c r="J27" s="12" t="s">
        <v>3461</v>
      </c>
      <c r="K27" s="10">
        <v>3503</v>
      </c>
      <c r="L27" s="12" t="s">
        <v>3462</v>
      </c>
      <c r="M27" s="10">
        <v>19788714634</v>
      </c>
      <c r="N27" s="10">
        <v>2372786</v>
      </c>
      <c r="O27" s="12">
        <v>9</v>
      </c>
    </row>
    <row r="28" spans="1:15" ht="27" x14ac:dyDescent="0.3">
      <c r="A28" s="9">
        <v>43539</v>
      </c>
      <c r="B28" s="12">
        <v>277</v>
      </c>
      <c r="C28" s="11">
        <v>4.9000000000000002E-2</v>
      </c>
      <c r="D28" s="12">
        <v>462</v>
      </c>
      <c r="E28" s="11">
        <v>2.5000000000000001E-2</v>
      </c>
      <c r="F28" s="10">
        <v>54915</v>
      </c>
      <c r="G28" s="11">
        <v>1.9E-2</v>
      </c>
      <c r="H28" s="11">
        <v>7.2999999999999995E-2</v>
      </c>
      <c r="I28" s="10">
        <v>36463140</v>
      </c>
      <c r="J28" s="12" t="s">
        <v>3463</v>
      </c>
      <c r="K28" s="10">
        <v>3997</v>
      </c>
      <c r="L28" s="12" t="s">
        <v>3464</v>
      </c>
      <c r="M28" s="10">
        <v>19825177774</v>
      </c>
      <c r="N28" s="10">
        <v>2376783</v>
      </c>
      <c r="O28" s="12">
        <v>7</v>
      </c>
    </row>
    <row r="29" spans="1:15" ht="27" x14ac:dyDescent="0.3">
      <c r="A29" s="9">
        <v>43540</v>
      </c>
      <c r="B29" s="12">
        <v>289</v>
      </c>
      <c r="C29" s="11">
        <v>4.2999999999999997E-2</v>
      </c>
      <c r="D29" s="12">
        <v>431</v>
      </c>
      <c r="E29" s="11">
        <v>2.1999999999999999E-2</v>
      </c>
      <c r="F29" s="10">
        <v>48796</v>
      </c>
      <c r="G29" s="11">
        <v>1.6E-2</v>
      </c>
      <c r="H29" s="11">
        <v>0.158</v>
      </c>
      <c r="I29" s="10">
        <v>69733480</v>
      </c>
      <c r="J29" s="12" t="s">
        <v>3465</v>
      </c>
      <c r="K29" s="10">
        <v>7730</v>
      </c>
      <c r="L29" s="12" t="s">
        <v>3466</v>
      </c>
      <c r="M29" s="10">
        <v>19894911254</v>
      </c>
      <c r="N29" s="10">
        <v>2384513</v>
      </c>
      <c r="O29" s="12">
        <v>9</v>
      </c>
    </row>
    <row r="30" spans="1:15" ht="27" x14ac:dyDescent="0.3">
      <c r="A30" s="9">
        <v>43541</v>
      </c>
      <c r="B30" s="12">
        <v>271</v>
      </c>
      <c r="C30" s="11">
        <v>4.1000000000000002E-2</v>
      </c>
      <c r="D30" s="12">
        <v>413</v>
      </c>
      <c r="E30" s="11">
        <v>2.1999999999999999E-2</v>
      </c>
      <c r="F30" s="10">
        <v>46425</v>
      </c>
      <c r="G30" s="11">
        <v>1.6E-2</v>
      </c>
      <c r="H30" s="11">
        <v>0.113</v>
      </c>
      <c r="I30" s="10">
        <v>47116780</v>
      </c>
      <c r="J30" s="12" t="s">
        <v>3467</v>
      </c>
      <c r="K30" s="10">
        <v>5247</v>
      </c>
      <c r="L30" s="12" t="s">
        <v>3468</v>
      </c>
      <c r="M30" s="10">
        <v>19942028034</v>
      </c>
      <c r="N30" s="10">
        <v>2389760</v>
      </c>
      <c r="O30" s="12">
        <v>9</v>
      </c>
    </row>
    <row r="31" spans="1:15" ht="27" x14ac:dyDescent="0.3">
      <c r="A31" s="9">
        <v>43542</v>
      </c>
      <c r="B31" s="12">
        <v>279</v>
      </c>
      <c r="C31" s="11">
        <v>5.1999999999999998E-2</v>
      </c>
      <c r="D31" s="12">
        <v>439</v>
      </c>
      <c r="E31" s="11">
        <v>2.5999999999999999E-2</v>
      </c>
      <c r="F31" s="10">
        <v>51149</v>
      </c>
      <c r="G31" s="11">
        <v>1.9E-2</v>
      </c>
      <c r="H31" s="11">
        <v>4.5999999999999999E-2</v>
      </c>
      <c r="I31" s="10">
        <v>19580110</v>
      </c>
      <c r="J31" s="12" t="s">
        <v>3469</v>
      </c>
      <c r="K31" s="10">
        <v>2376</v>
      </c>
      <c r="L31" s="12" t="s">
        <v>3470</v>
      </c>
      <c r="M31" s="10">
        <v>19961608144</v>
      </c>
      <c r="N31" s="10">
        <v>2392136</v>
      </c>
      <c r="O31" s="12">
        <v>9</v>
      </c>
    </row>
    <row r="32" spans="1:15" ht="27" x14ac:dyDescent="0.3">
      <c r="A32" s="9">
        <v>43543</v>
      </c>
      <c r="B32" s="12">
        <v>272</v>
      </c>
      <c r="C32" s="11">
        <v>4.9000000000000002E-2</v>
      </c>
      <c r="D32" s="12">
        <v>427</v>
      </c>
      <c r="E32" s="11">
        <v>2.5999999999999999E-2</v>
      </c>
      <c r="F32" s="10">
        <v>50722</v>
      </c>
      <c r="G32" s="11">
        <v>1.9E-2</v>
      </c>
      <c r="H32" s="11">
        <v>4.2000000000000003E-2</v>
      </c>
      <c r="I32" s="10">
        <v>17355270</v>
      </c>
      <c r="J32" s="12" t="s">
        <v>3471</v>
      </c>
      <c r="K32" s="10">
        <v>2149</v>
      </c>
      <c r="L32" s="12" t="s">
        <v>3472</v>
      </c>
      <c r="M32" s="10">
        <v>19978963414</v>
      </c>
      <c r="N32" s="10">
        <v>2394285</v>
      </c>
      <c r="O32" s="12">
        <v>10</v>
      </c>
    </row>
    <row r="33" spans="1:15" ht="27" x14ac:dyDescent="0.3">
      <c r="A33" s="9">
        <v>43544</v>
      </c>
      <c r="B33" s="12">
        <v>20</v>
      </c>
      <c r="C33" s="11">
        <v>4.0000000000000001E-3</v>
      </c>
      <c r="D33" s="12">
        <v>22</v>
      </c>
      <c r="E33" s="11">
        <v>1E-3</v>
      </c>
      <c r="F33" s="10">
        <v>2759</v>
      </c>
      <c r="G33" s="11">
        <v>1E-3</v>
      </c>
      <c r="H33" s="11">
        <v>9.7000000000000003E-2</v>
      </c>
      <c r="I33" s="10">
        <v>1746800</v>
      </c>
      <c r="J33" s="12" t="s">
        <v>3473</v>
      </c>
      <c r="K33" s="12">
        <v>267</v>
      </c>
      <c r="L33" s="12" t="s">
        <v>3474</v>
      </c>
      <c r="M33" s="10">
        <v>19980710214</v>
      </c>
      <c r="N33" s="10">
        <v>2394552</v>
      </c>
      <c r="O33" s="12">
        <v>29</v>
      </c>
    </row>
    <row r="34" spans="1:15" ht="27" x14ac:dyDescent="0.3">
      <c r="A34" s="9">
        <v>43545</v>
      </c>
      <c r="B34" s="12">
        <v>19</v>
      </c>
      <c r="C34" s="11">
        <v>4.0000000000000001E-3</v>
      </c>
      <c r="D34" s="12">
        <v>20</v>
      </c>
      <c r="E34" s="11">
        <v>1E-3</v>
      </c>
      <c r="F34" s="10">
        <v>3117</v>
      </c>
      <c r="G34" s="11">
        <v>1E-3</v>
      </c>
      <c r="H34" s="11">
        <v>0.23799999999999999</v>
      </c>
      <c r="I34" s="10">
        <v>6059950</v>
      </c>
      <c r="J34" s="12" t="s">
        <v>3475</v>
      </c>
      <c r="K34" s="12">
        <v>741</v>
      </c>
      <c r="L34" s="12" t="s">
        <v>3476</v>
      </c>
      <c r="M34" s="10">
        <v>19986770164</v>
      </c>
      <c r="N34" s="10">
        <v>2395293</v>
      </c>
      <c r="O34" s="12">
        <v>16</v>
      </c>
    </row>
    <row r="35" spans="1:15" ht="27" x14ac:dyDescent="0.3">
      <c r="A35" s="9">
        <v>43546</v>
      </c>
      <c r="B35" s="12">
        <v>17</v>
      </c>
      <c r="C35" s="11">
        <v>3.0000000000000001E-3</v>
      </c>
      <c r="D35" s="12">
        <v>18</v>
      </c>
      <c r="E35" s="11">
        <v>1E-3</v>
      </c>
      <c r="F35" s="10">
        <v>2416</v>
      </c>
      <c r="G35" s="11">
        <v>1E-3</v>
      </c>
      <c r="H35" s="11">
        <v>0.108</v>
      </c>
      <c r="I35" s="10">
        <v>1713850</v>
      </c>
      <c r="J35" s="12" t="s">
        <v>3477</v>
      </c>
      <c r="K35" s="12">
        <v>261</v>
      </c>
      <c r="L35" s="12" t="s">
        <v>3478</v>
      </c>
      <c r="M35" s="10">
        <v>19988484014</v>
      </c>
      <c r="N35" s="10">
        <v>2395554</v>
      </c>
      <c r="O35" s="12">
        <v>27</v>
      </c>
    </row>
    <row r="36" spans="1:15" ht="27" x14ac:dyDescent="0.3">
      <c r="A36" s="9">
        <v>43547</v>
      </c>
      <c r="B36" s="12">
        <v>17</v>
      </c>
      <c r="C36" s="11">
        <v>3.0000000000000001E-3</v>
      </c>
      <c r="D36" s="12">
        <v>19</v>
      </c>
      <c r="E36" s="11">
        <v>1E-3</v>
      </c>
      <c r="F36" s="10">
        <v>2736</v>
      </c>
      <c r="G36" s="11">
        <v>1E-3</v>
      </c>
      <c r="H36" s="11">
        <v>0.121</v>
      </c>
      <c r="I36" s="10">
        <v>2393000</v>
      </c>
      <c r="J36" s="12" t="s">
        <v>3479</v>
      </c>
      <c r="K36" s="12">
        <v>331</v>
      </c>
      <c r="L36" s="12" t="s">
        <v>3480</v>
      </c>
      <c r="M36" s="10">
        <v>19990877014</v>
      </c>
      <c r="N36" s="10">
        <v>2395885</v>
      </c>
      <c r="O36" s="12">
        <v>28</v>
      </c>
    </row>
    <row r="37" spans="1:15" ht="27" x14ac:dyDescent="0.3">
      <c r="A37" s="9">
        <v>43548</v>
      </c>
      <c r="B37" s="12">
        <v>16</v>
      </c>
      <c r="C37" s="11">
        <v>3.0000000000000001E-3</v>
      </c>
      <c r="D37" s="12">
        <v>16</v>
      </c>
      <c r="E37" s="11">
        <v>1E-3</v>
      </c>
      <c r="F37" s="10">
        <v>2312</v>
      </c>
      <c r="G37" s="11">
        <v>1E-3</v>
      </c>
      <c r="H37" s="11">
        <v>0.11899999999999999</v>
      </c>
      <c r="I37" s="10">
        <v>1907480</v>
      </c>
      <c r="J37" s="12" t="s">
        <v>3481</v>
      </c>
      <c r="K37" s="12">
        <v>274</v>
      </c>
      <c r="L37" s="12" t="s">
        <v>3482</v>
      </c>
      <c r="M37" s="10">
        <v>19992784494</v>
      </c>
      <c r="N37" s="10">
        <v>2396159</v>
      </c>
      <c r="O37" s="12">
        <v>30</v>
      </c>
    </row>
    <row r="38" spans="1:15" ht="27" x14ac:dyDescent="0.3">
      <c r="A38" s="9">
        <v>43549</v>
      </c>
      <c r="B38" s="12">
        <v>17</v>
      </c>
      <c r="C38" s="11">
        <v>3.0000000000000001E-3</v>
      </c>
      <c r="D38" s="12">
        <v>18</v>
      </c>
      <c r="E38" s="11">
        <v>1E-3</v>
      </c>
      <c r="F38" s="10">
        <v>2341</v>
      </c>
      <c r="G38" s="11">
        <v>1E-3</v>
      </c>
      <c r="H38" s="11">
        <v>8.4000000000000005E-2</v>
      </c>
      <c r="I38" s="10">
        <v>1319300</v>
      </c>
      <c r="J38" s="12" t="s">
        <v>3483</v>
      </c>
      <c r="K38" s="12">
        <v>197</v>
      </c>
      <c r="L38" s="12" t="s">
        <v>3484</v>
      </c>
      <c r="M38" s="10">
        <v>19994103794</v>
      </c>
      <c r="N38" s="10">
        <v>2396356</v>
      </c>
      <c r="O38" s="12">
        <v>29</v>
      </c>
    </row>
    <row r="39" spans="1:15" ht="27" x14ac:dyDescent="0.3">
      <c r="A39" s="9">
        <v>43550</v>
      </c>
      <c r="B39" s="12">
        <v>19</v>
      </c>
      <c r="C39" s="11">
        <v>4.0000000000000001E-3</v>
      </c>
      <c r="D39" s="12">
        <v>19</v>
      </c>
      <c r="E39" s="11">
        <v>1E-3</v>
      </c>
      <c r="F39" s="10">
        <v>2813</v>
      </c>
      <c r="G39" s="11">
        <v>1E-3</v>
      </c>
      <c r="H39" s="11">
        <v>7.1999999999999995E-2</v>
      </c>
      <c r="I39" s="10">
        <v>1389800</v>
      </c>
      <c r="J39" s="12" t="s">
        <v>3485</v>
      </c>
      <c r="K39" s="12">
        <v>202</v>
      </c>
      <c r="L39" s="12" t="s">
        <v>3486</v>
      </c>
      <c r="M39" s="10">
        <v>19995493594</v>
      </c>
      <c r="N39" s="10">
        <v>2396558</v>
      </c>
      <c r="O39" s="12">
        <v>34</v>
      </c>
    </row>
    <row r="40" spans="1:15" ht="27" x14ac:dyDescent="0.3">
      <c r="A40" s="9">
        <v>43551</v>
      </c>
      <c r="B40" s="12">
        <v>30</v>
      </c>
      <c r="C40" s="11">
        <v>5.0000000000000001E-3</v>
      </c>
      <c r="D40" s="12">
        <v>31</v>
      </c>
      <c r="E40" s="11">
        <v>2E-3</v>
      </c>
      <c r="F40" s="10">
        <v>4109</v>
      </c>
      <c r="G40" s="11">
        <v>1E-3</v>
      </c>
      <c r="H40" s="11">
        <v>8.7999999999999995E-2</v>
      </c>
      <c r="I40" s="10">
        <v>2326400</v>
      </c>
      <c r="J40" s="12" t="s">
        <v>3487</v>
      </c>
      <c r="K40" s="12">
        <v>363</v>
      </c>
      <c r="L40" s="12" t="s">
        <v>3488</v>
      </c>
      <c r="M40" s="10">
        <v>19997819994</v>
      </c>
      <c r="N40" s="10">
        <v>2396921</v>
      </c>
      <c r="O40" s="12">
        <v>30</v>
      </c>
    </row>
    <row r="41" spans="1:15" ht="27" x14ac:dyDescent="0.3">
      <c r="A41" s="9">
        <v>43552</v>
      </c>
      <c r="B41" s="12">
        <v>12</v>
      </c>
      <c r="C41" s="11">
        <v>2E-3</v>
      </c>
      <c r="D41" s="12">
        <v>12</v>
      </c>
      <c r="E41" s="11">
        <v>1E-3</v>
      </c>
      <c r="F41" s="10">
        <v>1799</v>
      </c>
      <c r="G41" s="11">
        <v>1E-3</v>
      </c>
      <c r="H41" s="11">
        <v>9.0999999999999998E-2</v>
      </c>
      <c r="I41" s="10">
        <v>1050500</v>
      </c>
      <c r="J41" s="12" t="s">
        <v>3489</v>
      </c>
      <c r="K41" s="12">
        <v>164</v>
      </c>
      <c r="L41" s="12" t="s">
        <v>3490</v>
      </c>
      <c r="M41" s="10">
        <v>19998870494</v>
      </c>
      <c r="N41" s="10">
        <v>2397085</v>
      </c>
      <c r="O41" s="12">
        <v>47</v>
      </c>
    </row>
    <row r="42" spans="1:15" ht="27" x14ac:dyDescent="0.3">
      <c r="A42" s="9">
        <v>43553</v>
      </c>
      <c r="B42" s="12">
        <v>11</v>
      </c>
      <c r="C42" s="11">
        <v>2E-3</v>
      </c>
      <c r="D42" s="12">
        <v>11</v>
      </c>
      <c r="E42" s="11">
        <v>1E-3</v>
      </c>
      <c r="F42" s="10">
        <v>1961</v>
      </c>
      <c r="G42" s="11">
        <v>1E-3</v>
      </c>
      <c r="H42" s="11">
        <v>8.1000000000000003E-2</v>
      </c>
      <c r="I42" s="10">
        <v>1050500</v>
      </c>
      <c r="J42" s="12" t="s">
        <v>292</v>
      </c>
      <c r="K42" s="12">
        <v>159</v>
      </c>
      <c r="L42" s="12" t="s">
        <v>3491</v>
      </c>
      <c r="M42" s="10">
        <v>19999920994</v>
      </c>
      <c r="N42" s="10">
        <v>2397244</v>
      </c>
      <c r="O42" s="12">
        <v>42</v>
      </c>
    </row>
    <row r="43" spans="1:15" ht="27" x14ac:dyDescent="0.3">
      <c r="A43" s="9">
        <v>43554</v>
      </c>
      <c r="B43" s="12">
        <v>10</v>
      </c>
      <c r="C43" s="11">
        <v>2E-3</v>
      </c>
      <c r="D43" s="12">
        <v>10</v>
      </c>
      <c r="E43" s="11">
        <v>1E-3</v>
      </c>
      <c r="F43" s="10">
        <v>1569</v>
      </c>
      <c r="G43" s="11">
        <v>1E-3</v>
      </c>
      <c r="H43" s="11">
        <v>0.124</v>
      </c>
      <c r="I43" s="10">
        <v>1416300</v>
      </c>
      <c r="J43" s="12" t="s">
        <v>3492</v>
      </c>
      <c r="K43" s="12">
        <v>194</v>
      </c>
      <c r="L43" s="12" t="s">
        <v>3493</v>
      </c>
      <c r="M43" s="10">
        <v>20001337294</v>
      </c>
      <c r="N43" s="10">
        <v>2397438</v>
      </c>
      <c r="O43" s="12">
        <v>39</v>
      </c>
    </row>
    <row r="44" spans="1:15" ht="27" x14ac:dyDescent="0.3">
      <c r="A44" s="9">
        <v>43555</v>
      </c>
      <c r="B44" s="12">
        <v>10</v>
      </c>
      <c r="C44" s="11">
        <v>2E-3</v>
      </c>
      <c r="D44" s="12">
        <v>10</v>
      </c>
      <c r="E44" s="11">
        <v>1E-3</v>
      </c>
      <c r="F44" s="10">
        <v>1782</v>
      </c>
      <c r="G44" s="11">
        <v>1E-3</v>
      </c>
      <c r="H44" s="11">
        <v>9.0999999999999998E-2</v>
      </c>
      <c r="I44" s="10">
        <v>1104600</v>
      </c>
      <c r="J44" s="12" t="s">
        <v>3494</v>
      </c>
      <c r="K44" s="12">
        <v>163</v>
      </c>
      <c r="L44" s="12" t="s">
        <v>3495</v>
      </c>
      <c r="M44" s="10">
        <v>20002441894</v>
      </c>
      <c r="N44" s="10">
        <v>2397601</v>
      </c>
      <c r="O44" s="12">
        <v>39</v>
      </c>
    </row>
    <row r="45" spans="1:15" ht="27" x14ac:dyDescent="0.3">
      <c r="A45" s="9">
        <v>43556</v>
      </c>
      <c r="B45" s="12">
        <v>10</v>
      </c>
      <c r="C45" s="11">
        <v>2E-3</v>
      </c>
      <c r="D45" s="12">
        <v>10</v>
      </c>
      <c r="E45" s="11">
        <v>1E-3</v>
      </c>
      <c r="F45" s="10">
        <v>1526</v>
      </c>
      <c r="G45" s="11">
        <v>1E-3</v>
      </c>
      <c r="H45" s="11">
        <v>9.8000000000000004E-2</v>
      </c>
      <c r="I45" s="10">
        <v>954000</v>
      </c>
      <c r="J45" s="12" t="s">
        <v>3496</v>
      </c>
      <c r="K45" s="12">
        <v>149</v>
      </c>
      <c r="L45" s="12" t="s">
        <v>3497</v>
      </c>
      <c r="M45" s="10">
        <v>20003395894</v>
      </c>
      <c r="N45" s="10">
        <v>2397750</v>
      </c>
      <c r="O45" s="12">
        <v>34</v>
      </c>
    </row>
    <row r="46" spans="1:15" ht="27" x14ac:dyDescent="0.3">
      <c r="A46" s="9">
        <v>43557</v>
      </c>
      <c r="B46" s="12">
        <v>10</v>
      </c>
      <c r="C46" s="11">
        <v>2E-3</v>
      </c>
      <c r="D46" s="12">
        <v>10</v>
      </c>
      <c r="E46" s="11">
        <v>1E-3</v>
      </c>
      <c r="F46" s="10">
        <v>1484</v>
      </c>
      <c r="G46" s="11">
        <v>1E-3</v>
      </c>
      <c r="H46" s="11">
        <v>0.106</v>
      </c>
      <c r="I46" s="10">
        <v>1032300</v>
      </c>
      <c r="J46" s="12" t="s">
        <v>3498</v>
      </c>
      <c r="K46" s="12">
        <v>158</v>
      </c>
      <c r="L46" s="12" t="s">
        <v>3499</v>
      </c>
      <c r="M46" s="10">
        <v>20004428194</v>
      </c>
      <c r="N46" s="10">
        <v>2397908</v>
      </c>
      <c r="O46" s="12">
        <v>34</v>
      </c>
    </row>
    <row r="47" spans="1:15" ht="27" x14ac:dyDescent="0.3">
      <c r="A47" s="9">
        <v>43558</v>
      </c>
      <c r="B47" s="12">
        <v>5</v>
      </c>
      <c r="C47" s="11">
        <v>1E-3</v>
      </c>
      <c r="D47" s="12">
        <v>5</v>
      </c>
      <c r="E47" s="11">
        <v>0</v>
      </c>
      <c r="F47" s="12">
        <v>662</v>
      </c>
      <c r="G47" s="11">
        <v>0</v>
      </c>
      <c r="H47" s="11">
        <v>0.13600000000000001</v>
      </c>
      <c r="I47" s="10">
        <v>450000</v>
      </c>
      <c r="J47" s="12" t="s">
        <v>3500</v>
      </c>
      <c r="K47" s="12">
        <v>90</v>
      </c>
      <c r="L47" s="12" t="s">
        <v>3501</v>
      </c>
      <c r="M47" s="10">
        <v>20004878194</v>
      </c>
      <c r="N47" s="10">
        <v>2397998</v>
      </c>
      <c r="O47" s="12">
        <v>46</v>
      </c>
    </row>
    <row r="48" spans="1:15" ht="27" x14ac:dyDescent="0.3">
      <c r="A48" s="9">
        <v>43559</v>
      </c>
      <c r="B48" s="12">
        <v>6</v>
      </c>
      <c r="C48" s="11">
        <v>1E-3</v>
      </c>
      <c r="D48" s="12">
        <v>6</v>
      </c>
      <c r="E48" s="11">
        <v>0</v>
      </c>
      <c r="F48" s="12">
        <v>766</v>
      </c>
      <c r="G48" s="11">
        <v>0</v>
      </c>
      <c r="H48" s="11">
        <v>0.124</v>
      </c>
      <c r="I48" s="10">
        <v>495000</v>
      </c>
      <c r="J48" s="12" t="s">
        <v>3502</v>
      </c>
      <c r="K48" s="12">
        <v>95</v>
      </c>
      <c r="L48" s="12" t="s">
        <v>3503</v>
      </c>
      <c r="M48" s="10">
        <v>20005373194</v>
      </c>
      <c r="N48" s="10">
        <v>2398093</v>
      </c>
      <c r="O48" s="12">
        <v>45</v>
      </c>
    </row>
    <row r="49" spans="1:15" ht="27" x14ac:dyDescent="0.3">
      <c r="A49" s="9">
        <v>43560</v>
      </c>
      <c r="B49" s="12">
        <v>5</v>
      </c>
      <c r="C49" s="11">
        <v>1E-3</v>
      </c>
      <c r="D49" s="12">
        <v>5</v>
      </c>
      <c r="E49" s="11">
        <v>0</v>
      </c>
      <c r="F49" s="12">
        <v>710</v>
      </c>
      <c r="G49" s="11">
        <v>0</v>
      </c>
      <c r="H49" s="11">
        <v>0.12</v>
      </c>
      <c r="I49" s="10">
        <v>425000</v>
      </c>
      <c r="J49" s="12" t="s">
        <v>3504</v>
      </c>
      <c r="K49" s="12">
        <v>85</v>
      </c>
      <c r="L49" s="12" t="s">
        <v>3505</v>
      </c>
      <c r="M49" s="10">
        <v>20005798194</v>
      </c>
      <c r="N49" s="10">
        <v>2398178</v>
      </c>
      <c r="O49" s="12">
        <v>50</v>
      </c>
    </row>
    <row r="50" spans="1:15" x14ac:dyDescent="0.3">
      <c r="A50" s="9">
        <v>43561</v>
      </c>
      <c r="B50" s="12">
        <v>5</v>
      </c>
      <c r="C50" s="11">
        <v>1E-3</v>
      </c>
      <c r="D50" s="12">
        <v>5</v>
      </c>
      <c r="E50" s="11">
        <v>0</v>
      </c>
      <c r="F50" s="12">
        <v>808</v>
      </c>
      <c r="G50" s="11">
        <v>0</v>
      </c>
      <c r="H50" s="11">
        <v>0.105</v>
      </c>
      <c r="I50" s="10">
        <v>425000</v>
      </c>
      <c r="J50" s="12" t="s">
        <v>292</v>
      </c>
      <c r="K50" s="12">
        <v>85</v>
      </c>
      <c r="L50" s="12" t="s">
        <v>292</v>
      </c>
      <c r="M50" s="10">
        <v>20006223194</v>
      </c>
      <c r="N50" s="10">
        <v>2398263</v>
      </c>
      <c r="O50" s="12">
        <v>50</v>
      </c>
    </row>
    <row r="51" spans="1:15" x14ac:dyDescent="0.3">
      <c r="A51" s="9">
        <v>43562</v>
      </c>
      <c r="B51" s="12">
        <v>5</v>
      </c>
      <c r="C51" s="11">
        <v>1E-3</v>
      </c>
      <c r="D51" s="12">
        <v>5</v>
      </c>
      <c r="E51" s="11">
        <v>0</v>
      </c>
      <c r="F51" s="12">
        <v>808</v>
      </c>
      <c r="G51" s="11">
        <v>0</v>
      </c>
      <c r="H51" s="11">
        <v>0.105</v>
      </c>
      <c r="I51" s="10">
        <v>425000</v>
      </c>
      <c r="J51" s="12" t="s">
        <v>292</v>
      </c>
      <c r="K51" s="12">
        <v>85</v>
      </c>
      <c r="L51" s="12" t="s">
        <v>292</v>
      </c>
      <c r="M51" s="10">
        <v>20006648194</v>
      </c>
      <c r="N51" s="10">
        <v>2398348</v>
      </c>
      <c r="O51" s="12">
        <v>41</v>
      </c>
    </row>
    <row r="52" spans="1:15" x14ac:dyDescent="0.3">
      <c r="A52" s="9">
        <v>43563</v>
      </c>
      <c r="B52" s="12">
        <v>5</v>
      </c>
      <c r="C52" s="11">
        <v>1E-3</v>
      </c>
      <c r="D52" s="12">
        <v>5</v>
      </c>
      <c r="E52" s="11">
        <v>0</v>
      </c>
      <c r="F52" s="12">
        <v>770</v>
      </c>
      <c r="G52" s="11">
        <v>0</v>
      </c>
      <c r="H52" s="11">
        <v>0.11</v>
      </c>
      <c r="I52" s="10">
        <v>425000</v>
      </c>
      <c r="J52" s="12" t="s">
        <v>292</v>
      </c>
      <c r="K52" s="12">
        <v>85</v>
      </c>
      <c r="L52" s="12" t="s">
        <v>292</v>
      </c>
      <c r="M52" s="10">
        <v>20007073194</v>
      </c>
      <c r="N52" s="10">
        <v>2398433</v>
      </c>
      <c r="O52" s="12">
        <v>41</v>
      </c>
    </row>
    <row r="53" spans="1:15" x14ac:dyDescent="0.3">
      <c r="A53" s="9">
        <v>43564</v>
      </c>
      <c r="B53" s="12">
        <v>5</v>
      </c>
      <c r="C53" s="11">
        <v>1E-3</v>
      </c>
      <c r="D53" s="12">
        <v>5</v>
      </c>
      <c r="E53" s="11">
        <v>0</v>
      </c>
      <c r="F53" s="12">
        <v>790</v>
      </c>
      <c r="G53" s="11">
        <v>0</v>
      </c>
      <c r="H53" s="11">
        <v>0.108</v>
      </c>
      <c r="I53" s="10">
        <v>425000</v>
      </c>
      <c r="J53" s="12" t="s">
        <v>292</v>
      </c>
      <c r="K53" s="12">
        <v>85</v>
      </c>
      <c r="L53" s="12" t="s">
        <v>292</v>
      </c>
      <c r="M53" s="10">
        <v>20007498194</v>
      </c>
      <c r="N53" s="10">
        <v>2398518</v>
      </c>
      <c r="O53" s="12">
        <v>46</v>
      </c>
    </row>
    <row r="54" spans="1:15" ht="27" x14ac:dyDescent="0.3">
      <c r="A54" s="9">
        <v>43578</v>
      </c>
      <c r="B54" s="12">
        <v>1</v>
      </c>
      <c r="C54" s="11">
        <v>0</v>
      </c>
      <c r="D54" s="12">
        <v>1</v>
      </c>
      <c r="E54" s="11">
        <v>0</v>
      </c>
      <c r="F54" s="12">
        <v>203</v>
      </c>
      <c r="G54" s="11">
        <v>0</v>
      </c>
      <c r="H54" s="11">
        <v>5.0000000000000001E-3</v>
      </c>
      <c r="I54" s="10">
        <v>10000</v>
      </c>
      <c r="J54" s="12" t="s">
        <v>1407</v>
      </c>
      <c r="K54" s="12">
        <v>1</v>
      </c>
      <c r="L54" s="12" t="s">
        <v>312</v>
      </c>
      <c r="M54" s="10">
        <v>20007508194</v>
      </c>
      <c r="N54" s="10">
        <v>2398519</v>
      </c>
      <c r="O54" s="12">
        <v>125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5806-1EAC-4D78-A9FD-D5BC0AF50E79}">
  <dimension ref="A1:O42"/>
  <sheetViews>
    <sheetView topLeftCell="A4" workbookViewId="0">
      <selection activeCell="A5" sqref="A5:XFD5"/>
    </sheetView>
  </sheetViews>
  <sheetFormatPr defaultRowHeight="16.5" x14ac:dyDescent="0.3"/>
  <sheetData>
    <row r="1" spans="1:15" ht="19.5" x14ac:dyDescent="0.3">
      <c r="A1" s="197" t="s">
        <v>3506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40.5" x14ac:dyDescent="0.3">
      <c r="A5" s="9">
        <v>43510</v>
      </c>
      <c r="B5" s="12">
        <v>612</v>
      </c>
      <c r="C5" s="11">
        <v>0.1</v>
      </c>
      <c r="D5" s="10">
        <v>2477</v>
      </c>
      <c r="E5" s="11">
        <v>0.129</v>
      </c>
      <c r="F5" s="10">
        <v>366711</v>
      </c>
      <c r="G5" s="11">
        <v>0.122</v>
      </c>
      <c r="H5" s="11">
        <v>0.19800000000000001</v>
      </c>
      <c r="I5" s="10">
        <v>572932790</v>
      </c>
      <c r="J5" s="12" t="s">
        <v>3507</v>
      </c>
      <c r="K5" s="10">
        <v>72440</v>
      </c>
      <c r="L5" s="12" t="s">
        <v>3508</v>
      </c>
      <c r="M5" s="10">
        <v>574640090</v>
      </c>
      <c r="N5" s="10">
        <v>72654</v>
      </c>
      <c r="O5" s="12">
        <v>3</v>
      </c>
    </row>
    <row r="6" spans="1:15" ht="27" x14ac:dyDescent="0.3">
      <c r="A6" s="9">
        <v>43511</v>
      </c>
      <c r="B6" s="12">
        <v>635</v>
      </c>
      <c r="C6" s="11">
        <v>0.10299999999999999</v>
      </c>
      <c r="D6" s="10">
        <v>2516</v>
      </c>
      <c r="E6" s="11">
        <v>0.13</v>
      </c>
      <c r="F6" s="10">
        <v>371038</v>
      </c>
      <c r="G6" s="11">
        <v>0.122</v>
      </c>
      <c r="H6" s="11">
        <v>0.156</v>
      </c>
      <c r="I6" s="10">
        <v>495868050</v>
      </c>
      <c r="J6" s="12" t="s">
        <v>3509</v>
      </c>
      <c r="K6" s="10">
        <v>57716</v>
      </c>
      <c r="L6" s="12" t="s">
        <v>3510</v>
      </c>
      <c r="M6" s="10">
        <v>1070508140</v>
      </c>
      <c r="N6" s="10">
        <v>130370</v>
      </c>
      <c r="O6" s="12">
        <v>3</v>
      </c>
    </row>
    <row r="7" spans="1:15" ht="27" x14ac:dyDescent="0.3">
      <c r="A7" s="9">
        <v>43512</v>
      </c>
      <c r="B7" s="12">
        <v>657</v>
      </c>
      <c r="C7" s="11">
        <v>9.9000000000000005E-2</v>
      </c>
      <c r="D7" s="10">
        <v>2499</v>
      </c>
      <c r="E7" s="11">
        <v>0.124</v>
      </c>
      <c r="F7" s="10">
        <v>358377</v>
      </c>
      <c r="G7" s="11">
        <v>0.114</v>
      </c>
      <c r="H7" s="11">
        <v>0.24099999999999999</v>
      </c>
      <c r="I7" s="10">
        <v>741776750</v>
      </c>
      <c r="J7" s="12" t="s">
        <v>3511</v>
      </c>
      <c r="K7" s="10">
        <v>86488</v>
      </c>
      <c r="L7" s="12" t="s">
        <v>3512</v>
      </c>
      <c r="M7" s="10">
        <v>1812284890</v>
      </c>
      <c r="N7" s="10">
        <v>216858</v>
      </c>
      <c r="O7" s="12">
        <v>4</v>
      </c>
    </row>
    <row r="8" spans="1:15" ht="40.5" x14ac:dyDescent="0.3">
      <c r="A8" s="9">
        <v>43513</v>
      </c>
      <c r="B8" s="12">
        <v>629</v>
      </c>
      <c r="C8" s="11">
        <v>9.4E-2</v>
      </c>
      <c r="D8" s="10">
        <v>2245</v>
      </c>
      <c r="E8" s="11">
        <v>0.114</v>
      </c>
      <c r="F8" s="10">
        <v>326143</v>
      </c>
      <c r="G8" s="11">
        <v>0.106</v>
      </c>
      <c r="H8" s="11">
        <v>0.219</v>
      </c>
      <c r="I8" s="10">
        <v>614721400</v>
      </c>
      <c r="J8" s="12" t="s">
        <v>3513</v>
      </c>
      <c r="K8" s="10">
        <v>71284</v>
      </c>
      <c r="L8" s="12" t="s">
        <v>3514</v>
      </c>
      <c r="M8" s="10">
        <v>2427006290</v>
      </c>
      <c r="N8" s="10">
        <v>288142</v>
      </c>
      <c r="O8" s="12">
        <v>4</v>
      </c>
    </row>
    <row r="9" spans="1:15" ht="40.5" x14ac:dyDescent="0.3">
      <c r="A9" s="9">
        <v>43514</v>
      </c>
      <c r="B9" s="12">
        <v>585</v>
      </c>
      <c r="C9" s="11">
        <v>9.6000000000000002E-2</v>
      </c>
      <c r="D9" s="10">
        <v>2096</v>
      </c>
      <c r="E9" s="11">
        <v>0.113</v>
      </c>
      <c r="F9" s="10">
        <v>312479</v>
      </c>
      <c r="G9" s="11">
        <v>0.108</v>
      </c>
      <c r="H9" s="11">
        <v>9.4E-2</v>
      </c>
      <c r="I9" s="10">
        <v>237124060</v>
      </c>
      <c r="J9" s="12" t="s">
        <v>3515</v>
      </c>
      <c r="K9" s="10">
        <v>29529</v>
      </c>
      <c r="L9" s="12" t="s">
        <v>3516</v>
      </c>
      <c r="M9" s="10">
        <v>2664130350</v>
      </c>
      <c r="N9" s="10">
        <v>317671</v>
      </c>
      <c r="O9" s="12">
        <v>4</v>
      </c>
    </row>
    <row r="10" spans="1:15" ht="27" x14ac:dyDescent="0.3">
      <c r="A10" s="9">
        <v>43515</v>
      </c>
      <c r="B10" s="12">
        <v>590</v>
      </c>
      <c r="C10" s="11">
        <v>9.4E-2</v>
      </c>
      <c r="D10" s="10">
        <v>1986</v>
      </c>
      <c r="E10" s="11">
        <v>0.107</v>
      </c>
      <c r="F10" s="10">
        <v>295543</v>
      </c>
      <c r="G10" s="11">
        <v>0.10100000000000001</v>
      </c>
      <c r="H10" s="11">
        <v>8.6999999999999994E-2</v>
      </c>
      <c r="I10" s="10">
        <v>204977840</v>
      </c>
      <c r="J10" s="12" t="s">
        <v>3517</v>
      </c>
      <c r="K10" s="10">
        <v>25667</v>
      </c>
      <c r="L10" s="12" t="s">
        <v>3518</v>
      </c>
      <c r="M10" s="10">
        <v>2869108190</v>
      </c>
      <c r="N10" s="10">
        <v>343338</v>
      </c>
      <c r="O10" s="12">
        <v>4</v>
      </c>
    </row>
    <row r="11" spans="1:15" ht="40.5" x14ac:dyDescent="0.3">
      <c r="A11" s="9">
        <v>43516</v>
      </c>
      <c r="B11" s="12">
        <v>371</v>
      </c>
      <c r="C11" s="11">
        <v>0.06</v>
      </c>
      <c r="D11" s="12">
        <v>777</v>
      </c>
      <c r="E11" s="11">
        <v>4.2000000000000003E-2</v>
      </c>
      <c r="F11" s="10">
        <v>98751</v>
      </c>
      <c r="G11" s="11">
        <v>3.4000000000000002E-2</v>
      </c>
      <c r="H11" s="11">
        <v>0.114</v>
      </c>
      <c r="I11" s="10">
        <v>89264990</v>
      </c>
      <c r="J11" s="12" t="s">
        <v>3519</v>
      </c>
      <c r="K11" s="10">
        <v>11279</v>
      </c>
      <c r="L11" s="12" t="s">
        <v>3520</v>
      </c>
      <c r="M11" s="10">
        <v>2958373180</v>
      </c>
      <c r="N11" s="10">
        <v>354617</v>
      </c>
      <c r="O11" s="12">
        <v>8</v>
      </c>
    </row>
    <row r="12" spans="1:15" ht="27" x14ac:dyDescent="0.3">
      <c r="A12" s="9">
        <v>43517</v>
      </c>
      <c r="B12" s="12">
        <v>319</v>
      </c>
      <c r="C12" s="11">
        <v>0.05</v>
      </c>
      <c r="D12" s="12">
        <v>628</v>
      </c>
      <c r="E12" s="11">
        <v>3.4000000000000002E-2</v>
      </c>
      <c r="F12" s="10">
        <v>80607</v>
      </c>
      <c r="G12" s="11">
        <v>2.8000000000000001E-2</v>
      </c>
      <c r="H12" s="11">
        <v>0.107</v>
      </c>
      <c r="I12" s="10">
        <v>68868120</v>
      </c>
      <c r="J12" s="12" t="s">
        <v>3521</v>
      </c>
      <c r="K12" s="10">
        <v>8629</v>
      </c>
      <c r="L12" s="12" t="s">
        <v>3522</v>
      </c>
      <c r="M12" s="10">
        <v>3027241300</v>
      </c>
      <c r="N12" s="10">
        <v>363246</v>
      </c>
      <c r="O12" s="12">
        <v>8</v>
      </c>
    </row>
    <row r="13" spans="1:15" ht="27" x14ac:dyDescent="0.3">
      <c r="A13" s="9">
        <v>43518</v>
      </c>
      <c r="B13" s="12">
        <v>305</v>
      </c>
      <c r="C13" s="11">
        <v>4.7E-2</v>
      </c>
      <c r="D13" s="12">
        <v>576</v>
      </c>
      <c r="E13" s="11">
        <v>3.1E-2</v>
      </c>
      <c r="F13" s="10">
        <v>71876</v>
      </c>
      <c r="G13" s="11">
        <v>2.5000000000000001E-2</v>
      </c>
      <c r="H13" s="11">
        <v>0.11799999999999999</v>
      </c>
      <c r="I13" s="10">
        <v>73023009</v>
      </c>
      <c r="J13" s="12" t="s">
        <v>3523</v>
      </c>
      <c r="K13" s="10">
        <v>8453</v>
      </c>
      <c r="L13" s="12" t="s">
        <v>3524</v>
      </c>
      <c r="M13" s="10">
        <v>3100264309</v>
      </c>
      <c r="N13" s="10">
        <v>371699</v>
      </c>
      <c r="O13" s="12">
        <v>8</v>
      </c>
    </row>
    <row r="14" spans="1:15" ht="27" x14ac:dyDescent="0.3">
      <c r="A14" s="9">
        <v>43519</v>
      </c>
      <c r="B14" s="12">
        <v>293</v>
      </c>
      <c r="C14" s="11">
        <v>4.2999999999999997E-2</v>
      </c>
      <c r="D14" s="12">
        <v>481</v>
      </c>
      <c r="E14" s="11">
        <v>2.5000000000000001E-2</v>
      </c>
      <c r="F14" s="10">
        <v>57734</v>
      </c>
      <c r="G14" s="11">
        <v>1.9E-2</v>
      </c>
      <c r="H14" s="11">
        <v>0.192</v>
      </c>
      <c r="I14" s="10">
        <v>94716311</v>
      </c>
      <c r="J14" s="12" t="s">
        <v>3525</v>
      </c>
      <c r="K14" s="10">
        <v>11100</v>
      </c>
      <c r="L14" s="12" t="s">
        <v>3526</v>
      </c>
      <c r="M14" s="10">
        <v>3194980620</v>
      </c>
      <c r="N14" s="10">
        <v>382799</v>
      </c>
      <c r="O14" s="12">
        <v>9</v>
      </c>
    </row>
    <row r="15" spans="1:15" ht="27" x14ac:dyDescent="0.3">
      <c r="A15" s="9">
        <v>43520</v>
      </c>
      <c r="B15" s="12">
        <v>295</v>
      </c>
      <c r="C15" s="11">
        <v>4.2999999999999997E-2</v>
      </c>
      <c r="D15" s="12">
        <v>471</v>
      </c>
      <c r="E15" s="11">
        <v>2.5000000000000001E-2</v>
      </c>
      <c r="F15" s="10">
        <v>55700</v>
      </c>
      <c r="G15" s="11">
        <v>1.9E-2</v>
      </c>
      <c r="H15" s="11">
        <v>0.17199999999999999</v>
      </c>
      <c r="I15" s="10">
        <v>82426250</v>
      </c>
      <c r="J15" s="12" t="s">
        <v>3527</v>
      </c>
      <c r="K15" s="10">
        <v>9598</v>
      </c>
      <c r="L15" s="12" t="s">
        <v>3528</v>
      </c>
      <c r="M15" s="10">
        <v>3277406870</v>
      </c>
      <c r="N15" s="10">
        <v>392397</v>
      </c>
      <c r="O15" s="12">
        <v>10</v>
      </c>
    </row>
    <row r="16" spans="1:15" ht="27" x14ac:dyDescent="0.3">
      <c r="A16" s="9">
        <v>43521</v>
      </c>
      <c r="B16" s="12">
        <v>290</v>
      </c>
      <c r="C16" s="11">
        <v>4.5999999999999999E-2</v>
      </c>
      <c r="D16" s="12">
        <v>483</v>
      </c>
      <c r="E16" s="11">
        <v>2.7E-2</v>
      </c>
      <c r="F16" s="10">
        <v>60352</v>
      </c>
      <c r="G16" s="11">
        <v>2.1000000000000001E-2</v>
      </c>
      <c r="H16" s="11">
        <v>9.5000000000000001E-2</v>
      </c>
      <c r="I16" s="10">
        <v>45708820</v>
      </c>
      <c r="J16" s="12" t="s">
        <v>3529</v>
      </c>
      <c r="K16" s="10">
        <v>5746</v>
      </c>
      <c r="L16" s="12" t="s">
        <v>3530</v>
      </c>
      <c r="M16" s="10">
        <v>3323115690</v>
      </c>
      <c r="N16" s="10">
        <v>398143</v>
      </c>
      <c r="O16" s="12">
        <v>10</v>
      </c>
    </row>
    <row r="17" spans="1:15" ht="27" x14ac:dyDescent="0.3">
      <c r="A17" s="9">
        <v>43522</v>
      </c>
      <c r="B17" s="12">
        <v>289</v>
      </c>
      <c r="C17" s="11">
        <v>4.4999999999999998E-2</v>
      </c>
      <c r="D17" s="12">
        <v>481</v>
      </c>
      <c r="E17" s="11">
        <v>2.5999999999999999E-2</v>
      </c>
      <c r="F17" s="10">
        <v>59696</v>
      </c>
      <c r="G17" s="11">
        <v>2.1000000000000001E-2</v>
      </c>
      <c r="H17" s="11">
        <v>9.0999999999999998E-2</v>
      </c>
      <c r="I17" s="10">
        <v>43175470</v>
      </c>
      <c r="J17" s="12" t="s">
        <v>3531</v>
      </c>
      <c r="K17" s="10">
        <v>5425</v>
      </c>
      <c r="L17" s="12" t="s">
        <v>3532</v>
      </c>
      <c r="M17" s="10">
        <v>3366291160</v>
      </c>
      <c r="N17" s="10">
        <v>403568</v>
      </c>
      <c r="O17" s="12">
        <v>11</v>
      </c>
    </row>
    <row r="18" spans="1:15" ht="27" x14ac:dyDescent="0.3">
      <c r="A18" s="9">
        <v>43523</v>
      </c>
      <c r="B18" s="12">
        <v>60</v>
      </c>
      <c r="C18" s="11">
        <v>8.9999999999999993E-3</v>
      </c>
      <c r="D18" s="12">
        <v>86</v>
      </c>
      <c r="E18" s="11">
        <v>4.0000000000000001E-3</v>
      </c>
      <c r="F18" s="10">
        <v>9419</v>
      </c>
      <c r="G18" s="11">
        <v>3.0000000000000001E-3</v>
      </c>
      <c r="H18" s="11">
        <v>0.17799999999999999</v>
      </c>
      <c r="I18" s="10">
        <v>10502510</v>
      </c>
      <c r="J18" s="12" t="s">
        <v>3533</v>
      </c>
      <c r="K18" s="10">
        <v>1674</v>
      </c>
      <c r="L18" s="12" t="s">
        <v>3534</v>
      </c>
      <c r="M18" s="10">
        <v>3376793670</v>
      </c>
      <c r="N18" s="10">
        <v>405242</v>
      </c>
      <c r="O18" s="12">
        <v>18</v>
      </c>
    </row>
    <row r="19" spans="1:15" ht="27" x14ac:dyDescent="0.3">
      <c r="A19" s="9">
        <v>43524</v>
      </c>
      <c r="B19" s="12">
        <v>51</v>
      </c>
      <c r="C19" s="11">
        <v>8.0000000000000002E-3</v>
      </c>
      <c r="D19" s="12">
        <v>81</v>
      </c>
      <c r="E19" s="11">
        <v>4.0000000000000001E-3</v>
      </c>
      <c r="F19" s="10">
        <v>9264</v>
      </c>
      <c r="G19" s="11">
        <v>3.0000000000000001E-3</v>
      </c>
      <c r="H19" s="11">
        <v>0.14799999999999999</v>
      </c>
      <c r="I19" s="10">
        <v>10657720</v>
      </c>
      <c r="J19" s="12" t="s">
        <v>3535</v>
      </c>
      <c r="K19" s="10">
        <v>1369</v>
      </c>
      <c r="L19" s="12" t="s">
        <v>3536</v>
      </c>
      <c r="M19" s="10">
        <v>3387451390</v>
      </c>
      <c r="N19" s="10">
        <v>406611</v>
      </c>
      <c r="O19" s="12">
        <v>19</v>
      </c>
    </row>
    <row r="20" spans="1:15" ht="27" x14ac:dyDescent="0.3">
      <c r="A20" s="9">
        <v>43525</v>
      </c>
      <c r="B20" s="12">
        <v>49</v>
      </c>
      <c r="C20" s="11">
        <v>7.0000000000000001E-3</v>
      </c>
      <c r="D20" s="12">
        <v>78</v>
      </c>
      <c r="E20" s="11">
        <v>4.0000000000000001E-3</v>
      </c>
      <c r="F20" s="10">
        <v>8987</v>
      </c>
      <c r="G20" s="11">
        <v>3.0000000000000001E-3</v>
      </c>
      <c r="H20" s="11">
        <v>0.193</v>
      </c>
      <c r="I20" s="10">
        <v>15044920</v>
      </c>
      <c r="J20" s="12" t="s">
        <v>3537</v>
      </c>
      <c r="K20" s="10">
        <v>1737</v>
      </c>
      <c r="L20" s="12" t="s">
        <v>3538</v>
      </c>
      <c r="M20" s="10">
        <v>3402496310</v>
      </c>
      <c r="N20" s="10">
        <v>408348</v>
      </c>
      <c r="O20" s="12">
        <v>19</v>
      </c>
    </row>
    <row r="21" spans="1:15" ht="27" x14ac:dyDescent="0.3">
      <c r="A21" s="9">
        <v>43526</v>
      </c>
      <c r="B21" s="12">
        <v>47</v>
      </c>
      <c r="C21" s="11">
        <v>6.0000000000000001E-3</v>
      </c>
      <c r="D21" s="12">
        <v>71</v>
      </c>
      <c r="E21" s="11">
        <v>4.0000000000000001E-3</v>
      </c>
      <c r="F21" s="10">
        <v>8265</v>
      </c>
      <c r="G21" s="11">
        <v>3.0000000000000001E-3</v>
      </c>
      <c r="H21" s="11">
        <v>0.18</v>
      </c>
      <c r="I21" s="10">
        <v>12999770</v>
      </c>
      <c r="J21" s="12" t="s">
        <v>3539</v>
      </c>
      <c r="K21" s="10">
        <v>1491</v>
      </c>
      <c r="L21" s="12" t="s">
        <v>3540</v>
      </c>
      <c r="M21" s="10">
        <v>3415496080</v>
      </c>
      <c r="N21" s="10">
        <v>409839</v>
      </c>
      <c r="O21" s="12">
        <v>20</v>
      </c>
    </row>
    <row r="22" spans="1:15" ht="27" x14ac:dyDescent="0.3">
      <c r="A22" s="9">
        <v>43527</v>
      </c>
      <c r="B22" s="12">
        <v>46</v>
      </c>
      <c r="C22" s="11">
        <v>6.0000000000000001E-3</v>
      </c>
      <c r="D22" s="12">
        <v>70</v>
      </c>
      <c r="E22" s="11">
        <v>4.0000000000000001E-3</v>
      </c>
      <c r="F22" s="10">
        <v>8493</v>
      </c>
      <c r="G22" s="11">
        <v>3.0000000000000001E-3</v>
      </c>
      <c r="H22" s="11">
        <v>0.13700000000000001</v>
      </c>
      <c r="I22" s="10">
        <v>10224730</v>
      </c>
      <c r="J22" s="12" t="s">
        <v>3541</v>
      </c>
      <c r="K22" s="10">
        <v>1160</v>
      </c>
      <c r="L22" s="12" t="s">
        <v>3542</v>
      </c>
      <c r="M22" s="10">
        <v>3425720810</v>
      </c>
      <c r="N22" s="10">
        <v>410999</v>
      </c>
      <c r="O22" s="12">
        <v>19</v>
      </c>
    </row>
    <row r="23" spans="1:15" ht="27" x14ac:dyDescent="0.3">
      <c r="A23" s="9">
        <v>43528</v>
      </c>
      <c r="B23" s="12">
        <v>39</v>
      </c>
      <c r="C23" s="11">
        <v>7.0000000000000001E-3</v>
      </c>
      <c r="D23" s="12">
        <v>57</v>
      </c>
      <c r="E23" s="11">
        <v>3.0000000000000001E-3</v>
      </c>
      <c r="F23" s="10">
        <v>6772</v>
      </c>
      <c r="G23" s="11">
        <v>2E-3</v>
      </c>
      <c r="H23" s="11">
        <v>5.8999999999999997E-2</v>
      </c>
      <c r="I23" s="10">
        <v>3287350</v>
      </c>
      <c r="J23" s="12" t="s">
        <v>3543</v>
      </c>
      <c r="K23" s="12">
        <v>401</v>
      </c>
      <c r="L23" s="12" t="s">
        <v>3544</v>
      </c>
      <c r="M23" s="10">
        <v>3429008160</v>
      </c>
      <c r="N23" s="10">
        <v>411400</v>
      </c>
      <c r="O23" s="12">
        <v>21</v>
      </c>
    </row>
    <row r="24" spans="1:15" ht="27" x14ac:dyDescent="0.3">
      <c r="A24" s="9">
        <v>43529</v>
      </c>
      <c r="B24" s="12">
        <v>43</v>
      </c>
      <c r="C24" s="11">
        <v>7.0000000000000001E-3</v>
      </c>
      <c r="D24" s="12">
        <v>60</v>
      </c>
      <c r="E24" s="11">
        <v>4.0000000000000001E-3</v>
      </c>
      <c r="F24" s="10">
        <v>7070</v>
      </c>
      <c r="G24" s="11">
        <v>3.0000000000000001E-3</v>
      </c>
      <c r="H24" s="11">
        <v>5.8999999999999997E-2</v>
      </c>
      <c r="I24" s="10">
        <v>3536040</v>
      </c>
      <c r="J24" s="12" t="s">
        <v>3545</v>
      </c>
      <c r="K24" s="12">
        <v>420</v>
      </c>
      <c r="L24" s="12" t="s">
        <v>3546</v>
      </c>
      <c r="M24" s="10">
        <v>3432544200</v>
      </c>
      <c r="N24" s="10">
        <v>411820</v>
      </c>
      <c r="O24" s="12">
        <v>20</v>
      </c>
    </row>
    <row r="25" spans="1:15" ht="27" x14ac:dyDescent="0.3">
      <c r="A25" s="9">
        <v>43530</v>
      </c>
      <c r="B25" s="12">
        <v>1</v>
      </c>
      <c r="C25" s="11">
        <v>0</v>
      </c>
      <c r="D25" s="12">
        <v>1</v>
      </c>
      <c r="E25" s="11">
        <v>0</v>
      </c>
      <c r="F25" s="12">
        <v>164</v>
      </c>
      <c r="G25" s="11">
        <v>0</v>
      </c>
      <c r="H25" s="11">
        <v>1.7999999999999999E-2</v>
      </c>
      <c r="I25" s="10">
        <v>23000</v>
      </c>
      <c r="J25" s="12" t="s">
        <v>3547</v>
      </c>
      <c r="K25" s="12">
        <v>3</v>
      </c>
      <c r="L25" s="12" t="s">
        <v>3548</v>
      </c>
      <c r="M25" s="10">
        <v>3432567200</v>
      </c>
      <c r="N25" s="10">
        <v>411823</v>
      </c>
      <c r="O25" s="12">
        <v>75</v>
      </c>
    </row>
    <row r="26" spans="1:15" ht="27" x14ac:dyDescent="0.3">
      <c r="A26" s="9">
        <v>43531</v>
      </c>
      <c r="B26" s="12">
        <v>2</v>
      </c>
      <c r="C26" s="11">
        <v>0</v>
      </c>
      <c r="D26" s="12">
        <v>3</v>
      </c>
      <c r="E26" s="11">
        <v>0</v>
      </c>
      <c r="F26" s="12">
        <v>428</v>
      </c>
      <c r="G26" s="11">
        <v>0</v>
      </c>
      <c r="H26" s="11">
        <v>1.9E-2</v>
      </c>
      <c r="I26" s="10">
        <v>55000</v>
      </c>
      <c r="J26" s="12" t="s">
        <v>3549</v>
      </c>
      <c r="K26" s="12">
        <v>8</v>
      </c>
      <c r="L26" s="12" t="s">
        <v>3550</v>
      </c>
      <c r="M26" s="10">
        <v>3432622200</v>
      </c>
      <c r="N26" s="10">
        <v>411831</v>
      </c>
      <c r="O26" s="12">
        <v>64</v>
      </c>
    </row>
    <row r="27" spans="1:15" ht="27" x14ac:dyDescent="0.3">
      <c r="A27" s="9">
        <v>43532</v>
      </c>
      <c r="B27" s="12">
        <v>2</v>
      </c>
      <c r="C27" s="11">
        <v>0</v>
      </c>
      <c r="D27" s="12">
        <v>3</v>
      </c>
      <c r="E27" s="11">
        <v>0</v>
      </c>
      <c r="F27" s="12">
        <v>428</v>
      </c>
      <c r="G27" s="11">
        <v>0</v>
      </c>
      <c r="H27" s="11">
        <v>1.6E-2</v>
      </c>
      <c r="I27" s="10">
        <v>47000</v>
      </c>
      <c r="J27" s="12" t="s">
        <v>3551</v>
      </c>
      <c r="K27" s="12">
        <v>7</v>
      </c>
      <c r="L27" s="12" t="s">
        <v>3552</v>
      </c>
      <c r="M27" s="10">
        <v>3432669200</v>
      </c>
      <c r="N27" s="10">
        <v>411838</v>
      </c>
      <c r="O27" s="12">
        <v>65</v>
      </c>
    </row>
    <row r="28" spans="1:15" ht="27" x14ac:dyDescent="0.3">
      <c r="A28" s="9">
        <v>43533</v>
      </c>
      <c r="B28" s="12">
        <v>2</v>
      </c>
      <c r="C28" s="11">
        <v>0</v>
      </c>
      <c r="D28" s="12">
        <v>3</v>
      </c>
      <c r="E28" s="11">
        <v>0</v>
      </c>
      <c r="F28" s="12">
        <v>428</v>
      </c>
      <c r="G28" s="11">
        <v>0</v>
      </c>
      <c r="H28" s="11">
        <v>5.8000000000000003E-2</v>
      </c>
      <c r="I28" s="10">
        <v>163000</v>
      </c>
      <c r="J28" s="12" t="s">
        <v>3553</v>
      </c>
      <c r="K28" s="12">
        <v>25</v>
      </c>
      <c r="L28" s="12" t="s">
        <v>3554</v>
      </c>
      <c r="M28" s="10">
        <v>3432832200</v>
      </c>
      <c r="N28" s="10">
        <v>411863</v>
      </c>
      <c r="O28" s="12">
        <v>60</v>
      </c>
    </row>
    <row r="29" spans="1:15" ht="27" x14ac:dyDescent="0.3">
      <c r="A29" s="9">
        <v>43534</v>
      </c>
      <c r="B29" s="12">
        <v>2</v>
      </c>
      <c r="C29" s="11">
        <v>0</v>
      </c>
      <c r="D29" s="12">
        <v>3</v>
      </c>
      <c r="E29" s="11">
        <v>0</v>
      </c>
      <c r="F29" s="12">
        <v>428</v>
      </c>
      <c r="G29" s="11">
        <v>0</v>
      </c>
      <c r="H29" s="11">
        <v>4.9000000000000002E-2</v>
      </c>
      <c r="I29" s="10">
        <v>123000</v>
      </c>
      <c r="J29" s="12" t="s">
        <v>3555</v>
      </c>
      <c r="K29" s="12">
        <v>21</v>
      </c>
      <c r="L29" s="12" t="s">
        <v>3556</v>
      </c>
      <c r="M29" s="10">
        <v>3432955200</v>
      </c>
      <c r="N29" s="10">
        <v>411884</v>
      </c>
      <c r="O29" s="12">
        <v>56</v>
      </c>
    </row>
    <row r="30" spans="1:15" ht="27" x14ac:dyDescent="0.3">
      <c r="A30" s="9">
        <v>43536</v>
      </c>
      <c r="B30" s="12">
        <v>1</v>
      </c>
      <c r="C30" s="11">
        <v>0</v>
      </c>
      <c r="D30" s="12">
        <v>2</v>
      </c>
      <c r="E30" s="11">
        <v>0</v>
      </c>
      <c r="F30" s="12">
        <v>328</v>
      </c>
      <c r="G30" s="11">
        <v>0</v>
      </c>
      <c r="H30" s="11">
        <v>1.7999999999999999E-2</v>
      </c>
      <c r="I30" s="10">
        <v>54000</v>
      </c>
      <c r="J30" s="12" t="s">
        <v>3557</v>
      </c>
      <c r="K30" s="12">
        <v>6</v>
      </c>
      <c r="L30" s="12" t="s">
        <v>2341</v>
      </c>
      <c r="M30" s="10">
        <v>3433009200</v>
      </c>
      <c r="N30" s="10">
        <v>411890</v>
      </c>
      <c r="O30" s="12">
        <v>71</v>
      </c>
    </row>
    <row r="31" spans="1:15" ht="27" x14ac:dyDescent="0.3">
      <c r="A31" s="9">
        <v>43538</v>
      </c>
      <c r="B31" s="12">
        <v>5</v>
      </c>
      <c r="C31" s="11">
        <v>1E-3</v>
      </c>
      <c r="D31" s="12">
        <v>5</v>
      </c>
      <c r="E31" s="11">
        <v>0</v>
      </c>
      <c r="F31" s="12">
        <v>720</v>
      </c>
      <c r="G31" s="11">
        <v>0</v>
      </c>
      <c r="H31" s="11">
        <v>0.41699999999999998</v>
      </c>
      <c r="I31" s="10">
        <v>1500000</v>
      </c>
      <c r="J31" s="12" t="s">
        <v>472</v>
      </c>
      <c r="K31" s="12">
        <v>300</v>
      </c>
      <c r="L31" s="12" t="s">
        <v>3558</v>
      </c>
      <c r="M31" s="10">
        <v>3434509200</v>
      </c>
      <c r="N31" s="10">
        <v>412190</v>
      </c>
      <c r="O31" s="12">
        <v>25</v>
      </c>
    </row>
    <row r="32" spans="1:15" ht="27" x14ac:dyDescent="0.3">
      <c r="A32" s="9">
        <v>43539</v>
      </c>
      <c r="B32" s="12">
        <v>1</v>
      </c>
      <c r="C32" s="11">
        <v>0</v>
      </c>
      <c r="D32" s="12">
        <v>1</v>
      </c>
      <c r="E32" s="11">
        <v>0</v>
      </c>
      <c r="F32" s="12">
        <v>84</v>
      </c>
      <c r="G32" s="11">
        <v>0</v>
      </c>
      <c r="H32" s="11">
        <v>0.71399999999999997</v>
      </c>
      <c r="I32" s="10">
        <v>300000</v>
      </c>
      <c r="J32" s="12" t="s">
        <v>3559</v>
      </c>
      <c r="K32" s="12">
        <v>60</v>
      </c>
      <c r="L32" s="12" t="s">
        <v>3560</v>
      </c>
      <c r="M32" s="10">
        <v>3434809200</v>
      </c>
      <c r="N32" s="10">
        <v>412250</v>
      </c>
      <c r="O32" s="12">
        <v>44</v>
      </c>
    </row>
    <row r="33" spans="1:15" x14ac:dyDescent="0.3">
      <c r="A33" s="9">
        <v>43540</v>
      </c>
      <c r="B33" s="12">
        <v>1</v>
      </c>
      <c r="C33" s="11">
        <v>0</v>
      </c>
      <c r="D33" s="12">
        <v>1</v>
      </c>
      <c r="E33" s="11">
        <v>0</v>
      </c>
      <c r="F33" s="12">
        <v>84</v>
      </c>
      <c r="G33" s="11">
        <v>0</v>
      </c>
      <c r="H33" s="11">
        <v>0.71399999999999997</v>
      </c>
      <c r="I33" s="10">
        <v>300000</v>
      </c>
      <c r="J33" s="12" t="s">
        <v>292</v>
      </c>
      <c r="K33" s="12">
        <v>60</v>
      </c>
      <c r="L33" s="12" t="s">
        <v>292</v>
      </c>
      <c r="M33" s="10">
        <v>3435109200</v>
      </c>
      <c r="N33" s="10">
        <v>412310</v>
      </c>
      <c r="O33" s="12">
        <v>57</v>
      </c>
    </row>
    <row r="34" spans="1:15" x14ac:dyDescent="0.3">
      <c r="A34" s="9">
        <v>43541</v>
      </c>
      <c r="B34" s="12">
        <v>1</v>
      </c>
      <c r="C34" s="11">
        <v>0</v>
      </c>
      <c r="D34" s="12">
        <v>1</v>
      </c>
      <c r="E34" s="11">
        <v>0</v>
      </c>
      <c r="F34" s="12">
        <v>84</v>
      </c>
      <c r="G34" s="11">
        <v>0</v>
      </c>
      <c r="H34" s="11">
        <v>0.71399999999999997</v>
      </c>
      <c r="I34" s="10">
        <v>300000</v>
      </c>
      <c r="J34" s="12" t="s">
        <v>292</v>
      </c>
      <c r="K34" s="12">
        <v>60</v>
      </c>
      <c r="L34" s="12" t="s">
        <v>292</v>
      </c>
      <c r="M34" s="10">
        <v>3435409200</v>
      </c>
      <c r="N34" s="10">
        <v>412370</v>
      </c>
      <c r="O34" s="12">
        <v>55</v>
      </c>
    </row>
    <row r="35" spans="1:15" x14ac:dyDescent="0.3">
      <c r="A35" s="9">
        <v>43542</v>
      </c>
      <c r="B35" s="12">
        <v>1</v>
      </c>
      <c r="C35" s="11">
        <v>0</v>
      </c>
      <c r="D35" s="12">
        <v>1</v>
      </c>
      <c r="E35" s="11">
        <v>0</v>
      </c>
      <c r="F35" s="12">
        <v>84</v>
      </c>
      <c r="G35" s="11">
        <v>0</v>
      </c>
      <c r="H35" s="11">
        <v>0.71399999999999997</v>
      </c>
      <c r="I35" s="10">
        <v>300000</v>
      </c>
      <c r="J35" s="12" t="s">
        <v>292</v>
      </c>
      <c r="K35" s="12">
        <v>60</v>
      </c>
      <c r="L35" s="12" t="s">
        <v>292</v>
      </c>
      <c r="M35" s="10">
        <v>3435709200</v>
      </c>
      <c r="N35" s="10">
        <v>412430</v>
      </c>
      <c r="O35" s="12">
        <v>37</v>
      </c>
    </row>
    <row r="36" spans="1:15" x14ac:dyDescent="0.3">
      <c r="A36" s="9">
        <v>43543</v>
      </c>
      <c r="B36" s="12">
        <v>1</v>
      </c>
      <c r="C36" s="11">
        <v>0</v>
      </c>
      <c r="D36" s="12">
        <v>1</v>
      </c>
      <c r="E36" s="11">
        <v>0</v>
      </c>
      <c r="F36" s="12">
        <v>84</v>
      </c>
      <c r="G36" s="11">
        <v>0</v>
      </c>
      <c r="H36" s="11">
        <v>0.71399999999999997</v>
      </c>
      <c r="I36" s="10">
        <v>300000</v>
      </c>
      <c r="J36" s="12" t="s">
        <v>292</v>
      </c>
      <c r="K36" s="12">
        <v>60</v>
      </c>
      <c r="L36" s="12" t="s">
        <v>292</v>
      </c>
      <c r="M36" s="10">
        <v>3436009200</v>
      </c>
      <c r="N36" s="10">
        <v>412490</v>
      </c>
      <c r="O36" s="12">
        <v>46</v>
      </c>
    </row>
    <row r="37" spans="1:15" x14ac:dyDescent="0.3">
      <c r="A37" s="9">
        <v>43544</v>
      </c>
      <c r="B37" s="12">
        <v>1</v>
      </c>
      <c r="C37" s="11">
        <v>0</v>
      </c>
      <c r="D37" s="12">
        <v>1</v>
      </c>
      <c r="E37" s="11">
        <v>0</v>
      </c>
      <c r="F37" s="12">
        <v>84</v>
      </c>
      <c r="G37" s="11">
        <v>0</v>
      </c>
      <c r="H37" s="11">
        <v>0.71399999999999997</v>
      </c>
      <c r="I37" s="10">
        <v>300000</v>
      </c>
      <c r="J37" s="12" t="s">
        <v>292</v>
      </c>
      <c r="K37" s="12">
        <v>60</v>
      </c>
      <c r="L37" s="12" t="s">
        <v>292</v>
      </c>
      <c r="M37" s="10">
        <v>3436309200</v>
      </c>
      <c r="N37" s="10">
        <v>412550</v>
      </c>
      <c r="O37" s="12">
        <v>48</v>
      </c>
    </row>
    <row r="38" spans="1:15" x14ac:dyDescent="0.3">
      <c r="A38" s="9">
        <v>43545</v>
      </c>
      <c r="B38" s="12">
        <v>1</v>
      </c>
      <c r="C38" s="11">
        <v>0</v>
      </c>
      <c r="D38" s="12">
        <v>1</v>
      </c>
      <c r="E38" s="11">
        <v>0</v>
      </c>
      <c r="F38" s="12">
        <v>84</v>
      </c>
      <c r="G38" s="11">
        <v>0</v>
      </c>
      <c r="H38" s="11">
        <v>0.71399999999999997</v>
      </c>
      <c r="I38" s="10">
        <v>300000</v>
      </c>
      <c r="J38" s="12" t="s">
        <v>292</v>
      </c>
      <c r="K38" s="12">
        <v>60</v>
      </c>
      <c r="L38" s="12" t="s">
        <v>292</v>
      </c>
      <c r="M38" s="10">
        <v>3436609200</v>
      </c>
      <c r="N38" s="10">
        <v>412610</v>
      </c>
      <c r="O38" s="12">
        <v>46</v>
      </c>
    </row>
    <row r="39" spans="1:15" x14ac:dyDescent="0.3">
      <c r="A39" s="9">
        <v>43546</v>
      </c>
      <c r="B39" s="12">
        <v>1</v>
      </c>
      <c r="C39" s="11">
        <v>0</v>
      </c>
      <c r="D39" s="12">
        <v>1</v>
      </c>
      <c r="E39" s="11">
        <v>0</v>
      </c>
      <c r="F39" s="12">
        <v>84</v>
      </c>
      <c r="G39" s="11">
        <v>0</v>
      </c>
      <c r="H39" s="11">
        <v>0.71399999999999997</v>
      </c>
      <c r="I39" s="10">
        <v>300000</v>
      </c>
      <c r="J39" s="12" t="s">
        <v>292</v>
      </c>
      <c r="K39" s="12">
        <v>60</v>
      </c>
      <c r="L39" s="12" t="s">
        <v>292</v>
      </c>
      <c r="M39" s="10">
        <v>3436909200</v>
      </c>
      <c r="N39" s="10">
        <v>412670</v>
      </c>
      <c r="O39" s="12">
        <v>46</v>
      </c>
    </row>
    <row r="40" spans="1:15" x14ac:dyDescent="0.3">
      <c r="A40" s="9">
        <v>43547</v>
      </c>
      <c r="B40" s="12">
        <v>1</v>
      </c>
      <c r="C40" s="11">
        <v>0</v>
      </c>
      <c r="D40" s="12">
        <v>1</v>
      </c>
      <c r="E40" s="11">
        <v>0</v>
      </c>
      <c r="F40" s="12">
        <v>84</v>
      </c>
      <c r="G40" s="11">
        <v>0</v>
      </c>
      <c r="H40" s="11">
        <v>0.71399999999999997</v>
      </c>
      <c r="I40" s="10">
        <v>300000</v>
      </c>
      <c r="J40" s="12" t="s">
        <v>292</v>
      </c>
      <c r="K40" s="12">
        <v>60</v>
      </c>
      <c r="L40" s="12" t="s">
        <v>292</v>
      </c>
      <c r="M40" s="10">
        <v>3437209200</v>
      </c>
      <c r="N40" s="10">
        <v>412730</v>
      </c>
      <c r="O40" s="12">
        <v>61</v>
      </c>
    </row>
    <row r="41" spans="1:15" x14ac:dyDescent="0.3">
      <c r="A41" s="9">
        <v>43548</v>
      </c>
      <c r="B41" s="12">
        <v>1</v>
      </c>
      <c r="C41" s="11">
        <v>0</v>
      </c>
      <c r="D41" s="12">
        <v>1</v>
      </c>
      <c r="E41" s="11">
        <v>0</v>
      </c>
      <c r="F41" s="12">
        <v>84</v>
      </c>
      <c r="G41" s="11">
        <v>0</v>
      </c>
      <c r="H41" s="11">
        <v>0.71399999999999997</v>
      </c>
      <c r="I41" s="10">
        <v>300000</v>
      </c>
      <c r="J41" s="12" t="s">
        <v>292</v>
      </c>
      <c r="K41" s="12">
        <v>60</v>
      </c>
      <c r="L41" s="12" t="s">
        <v>292</v>
      </c>
      <c r="M41" s="10">
        <v>3437509200</v>
      </c>
      <c r="N41" s="10">
        <v>412790</v>
      </c>
      <c r="O41" s="12">
        <v>54</v>
      </c>
    </row>
    <row r="42" spans="1:15" x14ac:dyDescent="0.3">
      <c r="A42" s="9">
        <v>43549</v>
      </c>
      <c r="B42" s="12">
        <v>1</v>
      </c>
      <c r="C42" s="11">
        <v>0</v>
      </c>
      <c r="D42" s="12">
        <v>1</v>
      </c>
      <c r="E42" s="11">
        <v>0</v>
      </c>
      <c r="F42" s="12">
        <v>84</v>
      </c>
      <c r="G42" s="11">
        <v>0</v>
      </c>
      <c r="H42" s="11">
        <v>0.71399999999999997</v>
      </c>
      <c r="I42" s="10">
        <v>300000</v>
      </c>
      <c r="J42" s="12" t="s">
        <v>292</v>
      </c>
      <c r="K42" s="12">
        <v>60</v>
      </c>
      <c r="L42" s="12" t="s">
        <v>292</v>
      </c>
      <c r="M42" s="10">
        <v>3437809200</v>
      </c>
      <c r="N42" s="10">
        <v>412850</v>
      </c>
      <c r="O42" s="12">
        <v>49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7C8A-111B-4431-BFCF-427373871364}">
  <dimension ref="A1:O26"/>
  <sheetViews>
    <sheetView workbookViewId="0">
      <selection activeCell="A5" sqref="A5:O11"/>
    </sheetView>
  </sheetViews>
  <sheetFormatPr defaultRowHeight="16.5" x14ac:dyDescent="0.3"/>
  <sheetData>
    <row r="1" spans="1:15" ht="19.5" x14ac:dyDescent="0.3">
      <c r="A1" s="197" t="s">
        <v>3561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43509</v>
      </c>
      <c r="B5" s="12">
        <v>625</v>
      </c>
      <c r="C5" s="11">
        <v>0.12</v>
      </c>
      <c r="D5" s="10">
        <v>2741</v>
      </c>
      <c r="E5" s="11">
        <v>0.14699999999999999</v>
      </c>
      <c r="F5" s="10">
        <v>366321</v>
      </c>
      <c r="G5" s="11">
        <v>0.125</v>
      </c>
      <c r="H5" s="11">
        <v>0.11700000000000001</v>
      </c>
      <c r="I5" s="10">
        <v>333932400</v>
      </c>
      <c r="J5" s="12" t="s">
        <v>3562</v>
      </c>
      <c r="K5" s="10">
        <v>42736</v>
      </c>
      <c r="L5" s="12" t="s">
        <v>3563</v>
      </c>
      <c r="M5" s="10">
        <v>443839900</v>
      </c>
      <c r="N5" s="10">
        <v>57358</v>
      </c>
      <c r="O5" s="12">
        <v>4</v>
      </c>
    </row>
    <row r="6" spans="1:15" ht="27" x14ac:dyDescent="0.3">
      <c r="A6" s="9">
        <v>43510</v>
      </c>
      <c r="B6" s="12">
        <v>605</v>
      </c>
      <c r="C6" s="11">
        <v>9.9000000000000005E-2</v>
      </c>
      <c r="D6" s="10">
        <v>2123</v>
      </c>
      <c r="E6" s="11">
        <v>0.11</v>
      </c>
      <c r="F6" s="10">
        <v>281782</v>
      </c>
      <c r="G6" s="11">
        <v>9.4E-2</v>
      </c>
      <c r="H6" s="11">
        <v>0.13</v>
      </c>
      <c r="I6" s="10">
        <v>284360000</v>
      </c>
      <c r="J6" s="12" t="s">
        <v>3564</v>
      </c>
      <c r="K6" s="10">
        <v>36571</v>
      </c>
      <c r="L6" s="12" t="s">
        <v>3565</v>
      </c>
      <c r="M6" s="10">
        <v>728199900</v>
      </c>
      <c r="N6" s="10">
        <v>93929</v>
      </c>
      <c r="O6" s="12">
        <v>5</v>
      </c>
    </row>
    <row r="7" spans="1:15" ht="27" x14ac:dyDescent="0.3">
      <c r="A7" s="9">
        <v>43511</v>
      </c>
      <c r="B7" s="12">
        <v>585</v>
      </c>
      <c r="C7" s="11">
        <v>9.5000000000000001E-2</v>
      </c>
      <c r="D7" s="10">
        <v>2004</v>
      </c>
      <c r="E7" s="11">
        <v>0.10299999999999999</v>
      </c>
      <c r="F7" s="10">
        <v>264579</v>
      </c>
      <c r="G7" s="11">
        <v>8.6999999999999994E-2</v>
      </c>
      <c r="H7" s="11">
        <v>0.113</v>
      </c>
      <c r="I7" s="10">
        <v>251100141</v>
      </c>
      <c r="J7" s="12" t="s">
        <v>3566</v>
      </c>
      <c r="K7" s="10">
        <v>29956</v>
      </c>
      <c r="L7" s="12" t="s">
        <v>3567</v>
      </c>
      <c r="M7" s="10">
        <v>979300041</v>
      </c>
      <c r="N7" s="10">
        <v>123885</v>
      </c>
      <c r="O7" s="12">
        <v>5</v>
      </c>
    </row>
    <row r="8" spans="1:15" ht="27" x14ac:dyDescent="0.3">
      <c r="A8" s="9">
        <v>43512</v>
      </c>
      <c r="B8" s="12">
        <v>610</v>
      </c>
      <c r="C8" s="11">
        <v>9.1999999999999998E-2</v>
      </c>
      <c r="D8" s="10">
        <v>1753</v>
      </c>
      <c r="E8" s="11">
        <v>8.6999999999999994E-2</v>
      </c>
      <c r="F8" s="10">
        <v>225258</v>
      </c>
      <c r="G8" s="11">
        <v>7.1999999999999995E-2</v>
      </c>
      <c r="H8" s="11">
        <v>0.22</v>
      </c>
      <c r="I8" s="10">
        <v>418279954</v>
      </c>
      <c r="J8" s="12" t="s">
        <v>3568</v>
      </c>
      <c r="K8" s="10">
        <v>49596</v>
      </c>
      <c r="L8" s="12" t="s">
        <v>3569</v>
      </c>
      <c r="M8" s="10">
        <v>1397579995</v>
      </c>
      <c r="N8" s="10">
        <v>173481</v>
      </c>
      <c r="O8" s="12">
        <v>5</v>
      </c>
    </row>
    <row r="9" spans="1:15" ht="27" x14ac:dyDescent="0.3">
      <c r="A9" s="9">
        <v>43513</v>
      </c>
      <c r="B9" s="12">
        <v>601</v>
      </c>
      <c r="C9" s="11">
        <v>0.09</v>
      </c>
      <c r="D9" s="10">
        <v>1651</v>
      </c>
      <c r="E9" s="11">
        <v>8.4000000000000005E-2</v>
      </c>
      <c r="F9" s="10">
        <v>209686</v>
      </c>
      <c r="G9" s="11">
        <v>6.8000000000000005E-2</v>
      </c>
      <c r="H9" s="11">
        <v>0.20399999999999999</v>
      </c>
      <c r="I9" s="10">
        <v>361419800</v>
      </c>
      <c r="J9" s="12" t="s">
        <v>3570</v>
      </c>
      <c r="K9" s="10">
        <v>42773</v>
      </c>
      <c r="L9" s="12" t="s">
        <v>3571</v>
      </c>
      <c r="M9" s="10">
        <v>1758999795</v>
      </c>
      <c r="N9" s="10">
        <v>216254</v>
      </c>
      <c r="O9" s="12">
        <v>5</v>
      </c>
    </row>
    <row r="10" spans="1:15" ht="40.5" x14ac:dyDescent="0.3">
      <c r="A10" s="9">
        <v>43514</v>
      </c>
      <c r="B10" s="12">
        <v>565</v>
      </c>
      <c r="C10" s="11">
        <v>9.2999999999999999E-2</v>
      </c>
      <c r="D10" s="10">
        <v>1521</v>
      </c>
      <c r="E10" s="11">
        <v>8.2000000000000003E-2</v>
      </c>
      <c r="F10" s="10">
        <v>187415</v>
      </c>
      <c r="G10" s="11">
        <v>6.4000000000000001E-2</v>
      </c>
      <c r="H10" s="11">
        <v>7.4999999999999997E-2</v>
      </c>
      <c r="I10" s="10">
        <v>109315070</v>
      </c>
      <c r="J10" s="12" t="s">
        <v>3572</v>
      </c>
      <c r="K10" s="10">
        <v>14066</v>
      </c>
      <c r="L10" s="12" t="s">
        <v>3573</v>
      </c>
      <c r="M10" s="10">
        <v>1868314865</v>
      </c>
      <c r="N10" s="10">
        <v>230320</v>
      </c>
      <c r="O10" s="12">
        <v>5</v>
      </c>
    </row>
    <row r="11" spans="1:15" ht="27" x14ac:dyDescent="0.3">
      <c r="A11" s="9">
        <v>43515</v>
      </c>
      <c r="B11" s="12">
        <v>580</v>
      </c>
      <c r="C11" s="11">
        <v>9.2999999999999999E-2</v>
      </c>
      <c r="D11" s="10">
        <v>1524</v>
      </c>
      <c r="E11" s="11">
        <v>8.2000000000000003E-2</v>
      </c>
      <c r="F11" s="10">
        <v>188735</v>
      </c>
      <c r="G11" s="11">
        <v>6.5000000000000002E-2</v>
      </c>
      <c r="H11" s="11">
        <v>8.3000000000000004E-2</v>
      </c>
      <c r="I11" s="10">
        <v>121602600</v>
      </c>
      <c r="J11" s="12" t="s">
        <v>3574</v>
      </c>
      <c r="K11" s="10">
        <v>15585</v>
      </c>
      <c r="L11" s="12" t="s">
        <v>3575</v>
      </c>
      <c r="M11" s="10">
        <v>1989917465</v>
      </c>
      <c r="N11" s="10">
        <v>245905</v>
      </c>
      <c r="O11" s="12">
        <v>5</v>
      </c>
    </row>
    <row r="12" spans="1:15" ht="27" x14ac:dyDescent="0.3">
      <c r="A12" s="9">
        <v>43516</v>
      </c>
      <c r="B12" s="12">
        <v>237</v>
      </c>
      <c r="C12" s="11">
        <v>3.7999999999999999E-2</v>
      </c>
      <c r="D12" s="12">
        <v>386</v>
      </c>
      <c r="E12" s="11">
        <v>2.1000000000000001E-2</v>
      </c>
      <c r="F12" s="10">
        <v>42519</v>
      </c>
      <c r="G12" s="11">
        <v>1.4999999999999999E-2</v>
      </c>
      <c r="H12" s="11">
        <v>8.2000000000000003E-2</v>
      </c>
      <c r="I12" s="10">
        <v>26577630</v>
      </c>
      <c r="J12" s="12" t="s">
        <v>3576</v>
      </c>
      <c r="K12" s="10">
        <v>3484</v>
      </c>
      <c r="L12" s="12" t="s">
        <v>3577</v>
      </c>
      <c r="M12" s="10">
        <v>2016495095</v>
      </c>
      <c r="N12" s="10">
        <v>249389</v>
      </c>
      <c r="O12" s="12">
        <v>11</v>
      </c>
    </row>
    <row r="13" spans="1:15" ht="27" x14ac:dyDescent="0.3">
      <c r="A13" s="9">
        <v>43517</v>
      </c>
      <c r="B13" s="12">
        <v>206</v>
      </c>
      <c r="C13" s="11">
        <v>3.2000000000000001E-2</v>
      </c>
      <c r="D13" s="12">
        <v>306</v>
      </c>
      <c r="E13" s="11">
        <v>1.7000000000000001E-2</v>
      </c>
      <c r="F13" s="10">
        <v>32986</v>
      </c>
      <c r="G13" s="11">
        <v>1.0999999999999999E-2</v>
      </c>
      <c r="H13" s="11">
        <v>7.0999999999999994E-2</v>
      </c>
      <c r="I13" s="10">
        <v>16298590</v>
      </c>
      <c r="J13" s="12" t="s">
        <v>3578</v>
      </c>
      <c r="K13" s="10">
        <v>2330</v>
      </c>
      <c r="L13" s="12" t="s">
        <v>3579</v>
      </c>
      <c r="M13" s="10">
        <v>2032793685</v>
      </c>
      <c r="N13" s="10">
        <v>251719</v>
      </c>
      <c r="O13" s="12">
        <v>15</v>
      </c>
    </row>
    <row r="14" spans="1:15" ht="27" x14ac:dyDescent="0.3">
      <c r="A14" s="9">
        <v>43518</v>
      </c>
      <c r="B14" s="12">
        <v>203</v>
      </c>
      <c r="C14" s="11">
        <v>3.1E-2</v>
      </c>
      <c r="D14" s="12">
        <v>276</v>
      </c>
      <c r="E14" s="11">
        <v>1.4999999999999999E-2</v>
      </c>
      <c r="F14" s="10">
        <v>29084</v>
      </c>
      <c r="G14" s="11">
        <v>0.01</v>
      </c>
      <c r="H14" s="11">
        <v>6.6000000000000003E-2</v>
      </c>
      <c r="I14" s="10">
        <v>15145160</v>
      </c>
      <c r="J14" s="12" t="s">
        <v>3580</v>
      </c>
      <c r="K14" s="10">
        <v>1933</v>
      </c>
      <c r="L14" s="12" t="s">
        <v>3581</v>
      </c>
      <c r="M14" s="10">
        <v>2047938845</v>
      </c>
      <c r="N14" s="10">
        <v>253652</v>
      </c>
      <c r="O14" s="12">
        <v>15</v>
      </c>
    </row>
    <row r="15" spans="1:15" ht="27" x14ac:dyDescent="0.3">
      <c r="A15" s="9">
        <v>43519</v>
      </c>
      <c r="B15" s="12">
        <v>173</v>
      </c>
      <c r="C15" s="11">
        <v>2.5000000000000001E-2</v>
      </c>
      <c r="D15" s="12">
        <v>240</v>
      </c>
      <c r="E15" s="11">
        <v>1.2E-2</v>
      </c>
      <c r="F15" s="10">
        <v>24503</v>
      </c>
      <c r="G15" s="11">
        <v>8.0000000000000002E-3</v>
      </c>
      <c r="H15" s="11">
        <v>0.11799999999999999</v>
      </c>
      <c r="I15" s="10">
        <v>21133060</v>
      </c>
      <c r="J15" s="12" t="s">
        <v>3582</v>
      </c>
      <c r="K15" s="10">
        <v>2887</v>
      </c>
      <c r="L15" s="12" t="s">
        <v>3583</v>
      </c>
      <c r="M15" s="10">
        <v>2069071905</v>
      </c>
      <c r="N15" s="10">
        <v>256539</v>
      </c>
      <c r="O15" s="12">
        <v>14</v>
      </c>
    </row>
    <row r="16" spans="1:15" ht="27" x14ac:dyDescent="0.3">
      <c r="A16" s="9">
        <v>43520</v>
      </c>
      <c r="B16" s="12">
        <v>176</v>
      </c>
      <c r="C16" s="11">
        <v>2.5999999999999999E-2</v>
      </c>
      <c r="D16" s="12">
        <v>235</v>
      </c>
      <c r="E16" s="11">
        <v>1.2E-2</v>
      </c>
      <c r="F16" s="10">
        <v>24419</v>
      </c>
      <c r="G16" s="11">
        <v>8.0000000000000002E-3</v>
      </c>
      <c r="H16" s="11">
        <v>0.10100000000000001</v>
      </c>
      <c r="I16" s="10">
        <v>18378090</v>
      </c>
      <c r="J16" s="12" t="s">
        <v>3584</v>
      </c>
      <c r="K16" s="10">
        <v>2455</v>
      </c>
      <c r="L16" s="12" t="s">
        <v>3585</v>
      </c>
      <c r="M16" s="10">
        <v>2087449995</v>
      </c>
      <c r="N16" s="10">
        <v>258994</v>
      </c>
      <c r="O16" s="12">
        <v>16</v>
      </c>
    </row>
    <row r="17" spans="1:15" ht="27" x14ac:dyDescent="0.3">
      <c r="A17" s="9">
        <v>43521</v>
      </c>
      <c r="B17" s="12">
        <v>151</v>
      </c>
      <c r="C17" s="11">
        <v>2.4E-2</v>
      </c>
      <c r="D17" s="12">
        <v>205</v>
      </c>
      <c r="E17" s="11">
        <v>1.0999999999999999E-2</v>
      </c>
      <c r="F17" s="10">
        <v>21094</v>
      </c>
      <c r="G17" s="11">
        <v>7.0000000000000001E-3</v>
      </c>
      <c r="H17" s="11">
        <v>5.3999999999999999E-2</v>
      </c>
      <c r="I17" s="10">
        <v>8116800</v>
      </c>
      <c r="J17" s="12" t="s">
        <v>3586</v>
      </c>
      <c r="K17" s="10">
        <v>1132</v>
      </c>
      <c r="L17" s="12" t="s">
        <v>3587</v>
      </c>
      <c r="M17" s="10">
        <v>2095566795</v>
      </c>
      <c r="N17" s="10">
        <v>260126</v>
      </c>
      <c r="O17" s="12">
        <v>18</v>
      </c>
    </row>
    <row r="18" spans="1:15" ht="27" x14ac:dyDescent="0.3">
      <c r="A18" s="9">
        <v>43522</v>
      </c>
      <c r="B18" s="12">
        <v>162</v>
      </c>
      <c r="C18" s="11">
        <v>2.5000000000000001E-2</v>
      </c>
      <c r="D18" s="12">
        <v>211</v>
      </c>
      <c r="E18" s="11">
        <v>1.2E-2</v>
      </c>
      <c r="F18" s="10">
        <v>21873</v>
      </c>
      <c r="G18" s="11">
        <v>8.0000000000000002E-3</v>
      </c>
      <c r="H18" s="11">
        <v>7.6999999999999999E-2</v>
      </c>
      <c r="I18" s="10">
        <v>11996580</v>
      </c>
      <c r="J18" s="12" t="s">
        <v>3588</v>
      </c>
      <c r="K18" s="10">
        <v>1679</v>
      </c>
      <c r="L18" s="12" t="s">
        <v>3589</v>
      </c>
      <c r="M18" s="10">
        <v>2107563375</v>
      </c>
      <c r="N18" s="10">
        <v>261805</v>
      </c>
      <c r="O18" s="12">
        <v>16</v>
      </c>
    </row>
    <row r="19" spans="1:15" ht="27" x14ac:dyDescent="0.3">
      <c r="A19" s="9">
        <v>43523</v>
      </c>
      <c r="B19" s="12">
        <v>17</v>
      </c>
      <c r="C19" s="11">
        <v>3.0000000000000001E-3</v>
      </c>
      <c r="D19" s="12">
        <v>18</v>
      </c>
      <c r="E19" s="11">
        <v>1E-3</v>
      </c>
      <c r="F19" s="10">
        <v>1997</v>
      </c>
      <c r="G19" s="11">
        <v>1E-3</v>
      </c>
      <c r="H19" s="11">
        <v>0.35699999999999998</v>
      </c>
      <c r="I19" s="10">
        <v>4946460</v>
      </c>
      <c r="J19" s="12" t="s">
        <v>3590</v>
      </c>
      <c r="K19" s="12">
        <v>713</v>
      </c>
      <c r="L19" s="12" t="s">
        <v>3591</v>
      </c>
      <c r="M19" s="10">
        <v>2112509835</v>
      </c>
      <c r="N19" s="10">
        <v>262518</v>
      </c>
      <c r="O19" s="12">
        <v>25</v>
      </c>
    </row>
    <row r="20" spans="1:15" ht="27" x14ac:dyDescent="0.3">
      <c r="A20" s="9">
        <v>43524</v>
      </c>
      <c r="B20" s="12">
        <v>12</v>
      </c>
      <c r="C20" s="11">
        <v>2E-3</v>
      </c>
      <c r="D20" s="12">
        <v>12</v>
      </c>
      <c r="E20" s="11">
        <v>1E-3</v>
      </c>
      <c r="F20" s="10">
        <v>1154</v>
      </c>
      <c r="G20" s="11">
        <v>0</v>
      </c>
      <c r="H20" s="11">
        <v>7.1999999999999995E-2</v>
      </c>
      <c r="I20" s="10">
        <v>539300</v>
      </c>
      <c r="J20" s="12" t="s">
        <v>3592</v>
      </c>
      <c r="K20" s="12">
        <v>83</v>
      </c>
      <c r="L20" s="12" t="s">
        <v>3593</v>
      </c>
      <c r="M20" s="10">
        <v>2113049135</v>
      </c>
      <c r="N20" s="10">
        <v>262601</v>
      </c>
      <c r="O20" s="12">
        <v>57</v>
      </c>
    </row>
    <row r="21" spans="1:15" ht="27" x14ac:dyDescent="0.3">
      <c r="A21" s="9">
        <v>43525</v>
      </c>
      <c r="B21" s="12">
        <v>8</v>
      </c>
      <c r="C21" s="11">
        <v>1E-3</v>
      </c>
      <c r="D21" s="12">
        <v>8</v>
      </c>
      <c r="E21" s="11">
        <v>0</v>
      </c>
      <c r="F21" s="12">
        <v>720</v>
      </c>
      <c r="G21" s="11">
        <v>0</v>
      </c>
      <c r="H21" s="11">
        <v>0.17499999999999999</v>
      </c>
      <c r="I21" s="10">
        <v>1098500</v>
      </c>
      <c r="J21" s="12" t="s">
        <v>3594</v>
      </c>
      <c r="K21" s="12">
        <v>126</v>
      </c>
      <c r="L21" s="12" t="s">
        <v>3595</v>
      </c>
      <c r="M21" s="10">
        <v>2114147635</v>
      </c>
      <c r="N21" s="10">
        <v>262727</v>
      </c>
      <c r="O21" s="12">
        <v>42</v>
      </c>
    </row>
    <row r="22" spans="1:15" ht="27" x14ac:dyDescent="0.3">
      <c r="A22" s="9">
        <v>43526</v>
      </c>
      <c r="B22" s="12">
        <v>9</v>
      </c>
      <c r="C22" s="11">
        <v>1E-3</v>
      </c>
      <c r="D22" s="12">
        <v>9</v>
      </c>
      <c r="E22" s="11">
        <v>0</v>
      </c>
      <c r="F22" s="12">
        <v>834</v>
      </c>
      <c r="G22" s="11">
        <v>0</v>
      </c>
      <c r="H22" s="11">
        <v>0.11799999999999999</v>
      </c>
      <c r="I22" s="10">
        <v>722040</v>
      </c>
      <c r="J22" s="12" t="s">
        <v>3596</v>
      </c>
      <c r="K22" s="12">
        <v>98</v>
      </c>
      <c r="L22" s="12" t="s">
        <v>3597</v>
      </c>
      <c r="M22" s="10">
        <v>2114869675</v>
      </c>
      <c r="N22" s="10">
        <v>262825</v>
      </c>
      <c r="O22" s="12">
        <v>47</v>
      </c>
    </row>
    <row r="23" spans="1:15" ht="27" x14ac:dyDescent="0.3">
      <c r="A23" s="9">
        <v>43527</v>
      </c>
      <c r="B23" s="12">
        <v>9</v>
      </c>
      <c r="C23" s="11">
        <v>1E-3</v>
      </c>
      <c r="D23" s="12">
        <v>10</v>
      </c>
      <c r="E23" s="11">
        <v>1E-3</v>
      </c>
      <c r="F23" s="12">
        <v>932</v>
      </c>
      <c r="G23" s="11">
        <v>0</v>
      </c>
      <c r="H23" s="11">
        <v>0.10199999999999999</v>
      </c>
      <c r="I23" s="10">
        <v>841600</v>
      </c>
      <c r="J23" s="12" t="s">
        <v>3598</v>
      </c>
      <c r="K23" s="12">
        <v>95</v>
      </c>
      <c r="L23" s="12" t="s">
        <v>3599</v>
      </c>
      <c r="M23" s="10">
        <v>2115711275</v>
      </c>
      <c r="N23" s="10">
        <v>262920</v>
      </c>
      <c r="O23" s="12">
        <v>45</v>
      </c>
    </row>
    <row r="24" spans="1:15" ht="27" x14ac:dyDescent="0.3">
      <c r="A24" s="9">
        <v>43528</v>
      </c>
      <c r="B24" s="12">
        <v>4</v>
      </c>
      <c r="C24" s="11">
        <v>1E-3</v>
      </c>
      <c r="D24" s="12">
        <v>4</v>
      </c>
      <c r="E24" s="11">
        <v>0</v>
      </c>
      <c r="F24" s="12">
        <v>330</v>
      </c>
      <c r="G24" s="11">
        <v>0</v>
      </c>
      <c r="H24" s="11">
        <v>8.5000000000000006E-2</v>
      </c>
      <c r="I24" s="10">
        <v>240500</v>
      </c>
      <c r="J24" s="12" t="s">
        <v>3600</v>
      </c>
      <c r="K24" s="12">
        <v>28</v>
      </c>
      <c r="L24" s="12" t="s">
        <v>3601</v>
      </c>
      <c r="M24" s="10">
        <v>2115951775</v>
      </c>
      <c r="N24" s="10">
        <v>262948</v>
      </c>
      <c r="O24" s="12">
        <v>52</v>
      </c>
    </row>
    <row r="25" spans="1:15" ht="27" x14ac:dyDescent="0.3">
      <c r="A25" s="9">
        <v>43529</v>
      </c>
      <c r="B25" s="12">
        <v>6</v>
      </c>
      <c r="C25" s="11">
        <v>1E-3</v>
      </c>
      <c r="D25" s="12">
        <v>6</v>
      </c>
      <c r="E25" s="11">
        <v>0</v>
      </c>
      <c r="F25" s="12">
        <v>450</v>
      </c>
      <c r="G25" s="11">
        <v>0</v>
      </c>
      <c r="H25" s="11">
        <v>0.104</v>
      </c>
      <c r="I25" s="10">
        <v>411500</v>
      </c>
      <c r="J25" s="12" t="s">
        <v>3602</v>
      </c>
      <c r="K25" s="12">
        <v>47</v>
      </c>
      <c r="L25" s="12" t="s">
        <v>3603</v>
      </c>
      <c r="M25" s="10">
        <v>2116363275</v>
      </c>
      <c r="N25" s="10">
        <v>262995</v>
      </c>
      <c r="O25" s="12">
        <v>51</v>
      </c>
    </row>
    <row r="26" spans="1:15" ht="27" x14ac:dyDescent="0.3">
      <c r="A26" s="9">
        <v>43545</v>
      </c>
      <c r="B26" s="12">
        <v>1</v>
      </c>
      <c r="C26" s="11">
        <v>0</v>
      </c>
      <c r="D26" s="12">
        <v>1</v>
      </c>
      <c r="E26" s="11">
        <v>0</v>
      </c>
      <c r="F26" s="12">
        <v>360</v>
      </c>
      <c r="G26" s="11">
        <v>0</v>
      </c>
      <c r="H26" s="11">
        <v>0.90800000000000003</v>
      </c>
      <c r="I26" s="10">
        <v>2943000</v>
      </c>
      <c r="J26" s="12" t="s">
        <v>3604</v>
      </c>
      <c r="K26" s="12">
        <v>327</v>
      </c>
      <c r="L26" s="12" t="s">
        <v>3605</v>
      </c>
      <c r="M26" s="10">
        <v>2119306275</v>
      </c>
      <c r="N26" s="10">
        <v>263322</v>
      </c>
      <c r="O26" s="12">
        <v>24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0BD9-DB08-41A0-8904-E52DA9119C8B}">
  <dimension ref="A1:O53"/>
  <sheetViews>
    <sheetView workbookViewId="0">
      <selection activeCell="A5" sqref="A5:O7"/>
    </sheetView>
  </sheetViews>
  <sheetFormatPr defaultRowHeight="16.5" x14ac:dyDescent="0.3"/>
  <sheetData>
    <row r="1" spans="1:15" ht="19.5" x14ac:dyDescent="0.3">
      <c r="A1" s="197" t="s">
        <v>3606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54" x14ac:dyDescent="0.3">
      <c r="A5" s="9">
        <v>43510</v>
      </c>
      <c r="B5" s="12">
        <v>558</v>
      </c>
      <c r="C5" s="11">
        <v>9.1999999999999998E-2</v>
      </c>
      <c r="D5" s="10">
        <v>1445</v>
      </c>
      <c r="E5" s="11">
        <v>7.4999999999999997E-2</v>
      </c>
      <c r="F5" s="10">
        <v>197477</v>
      </c>
      <c r="G5" s="11">
        <v>6.6000000000000003E-2</v>
      </c>
      <c r="H5" s="11">
        <v>0.13700000000000001</v>
      </c>
      <c r="I5" s="10">
        <v>213897590</v>
      </c>
      <c r="J5" s="12" t="s">
        <v>3607</v>
      </c>
      <c r="K5" s="10">
        <v>27117</v>
      </c>
      <c r="L5" s="12" t="s">
        <v>3608</v>
      </c>
      <c r="M5" s="10">
        <v>225515590</v>
      </c>
      <c r="N5" s="10">
        <v>28309</v>
      </c>
      <c r="O5" s="12">
        <v>7</v>
      </c>
    </row>
    <row r="6" spans="1:15" ht="27" x14ac:dyDescent="0.3">
      <c r="A6" s="9">
        <v>43511</v>
      </c>
      <c r="B6" s="12">
        <v>557</v>
      </c>
      <c r="C6" s="11">
        <v>9.0999999999999998E-2</v>
      </c>
      <c r="D6" s="10">
        <v>1406</v>
      </c>
      <c r="E6" s="11">
        <v>7.1999999999999995E-2</v>
      </c>
      <c r="F6" s="10">
        <v>193226</v>
      </c>
      <c r="G6" s="11">
        <v>6.4000000000000001E-2</v>
      </c>
      <c r="H6" s="11">
        <v>0.114</v>
      </c>
      <c r="I6" s="10">
        <v>183943990</v>
      </c>
      <c r="J6" s="12" t="s">
        <v>3609</v>
      </c>
      <c r="K6" s="10">
        <v>22072</v>
      </c>
      <c r="L6" s="12" t="s">
        <v>3610</v>
      </c>
      <c r="M6" s="10">
        <v>409459580</v>
      </c>
      <c r="N6" s="10">
        <v>50381</v>
      </c>
      <c r="O6" s="12">
        <v>6</v>
      </c>
    </row>
    <row r="7" spans="1:15" ht="27" x14ac:dyDescent="0.3">
      <c r="A7" s="9">
        <v>43512</v>
      </c>
      <c r="B7" s="12">
        <v>573</v>
      </c>
      <c r="C7" s="11">
        <v>8.6999999999999994E-2</v>
      </c>
      <c r="D7" s="10">
        <v>1361</v>
      </c>
      <c r="E7" s="11">
        <v>6.8000000000000005E-2</v>
      </c>
      <c r="F7" s="10">
        <v>188193</v>
      </c>
      <c r="G7" s="11">
        <v>0.06</v>
      </c>
      <c r="H7" s="11">
        <v>0.22900000000000001</v>
      </c>
      <c r="I7" s="10">
        <v>363502980</v>
      </c>
      <c r="J7" s="12" t="s">
        <v>3611</v>
      </c>
      <c r="K7" s="10">
        <v>43130</v>
      </c>
      <c r="L7" s="12" t="s">
        <v>3612</v>
      </c>
      <c r="M7" s="10">
        <v>772962560</v>
      </c>
      <c r="N7" s="10">
        <v>93511</v>
      </c>
      <c r="O7" s="12">
        <v>6</v>
      </c>
    </row>
    <row r="8" spans="1:15" ht="27" x14ac:dyDescent="0.3">
      <c r="A8" s="9">
        <v>43513</v>
      </c>
      <c r="B8" s="12">
        <v>560</v>
      </c>
      <c r="C8" s="11">
        <v>8.4000000000000005E-2</v>
      </c>
      <c r="D8" s="10">
        <v>1275</v>
      </c>
      <c r="E8" s="11">
        <v>6.5000000000000002E-2</v>
      </c>
      <c r="F8" s="10">
        <v>175523</v>
      </c>
      <c r="G8" s="11">
        <v>5.7000000000000002E-2</v>
      </c>
      <c r="H8" s="11">
        <v>0.21099999999999999</v>
      </c>
      <c r="I8" s="10">
        <v>309145180</v>
      </c>
      <c r="J8" s="12" t="s">
        <v>3613</v>
      </c>
      <c r="K8" s="10">
        <v>36980</v>
      </c>
      <c r="L8" s="12" t="s">
        <v>3614</v>
      </c>
      <c r="M8" s="10">
        <v>1082107740</v>
      </c>
      <c r="N8" s="10">
        <v>130491</v>
      </c>
      <c r="O8" s="12">
        <v>7</v>
      </c>
    </row>
    <row r="9" spans="1:15" ht="40.5" x14ac:dyDescent="0.3">
      <c r="A9" s="9">
        <v>43514</v>
      </c>
      <c r="B9" s="12">
        <v>508</v>
      </c>
      <c r="C9" s="11">
        <v>8.4000000000000005E-2</v>
      </c>
      <c r="D9" s="10">
        <v>1191</v>
      </c>
      <c r="E9" s="11">
        <v>6.4000000000000001E-2</v>
      </c>
      <c r="F9" s="10">
        <v>166410</v>
      </c>
      <c r="G9" s="11">
        <v>5.7000000000000002E-2</v>
      </c>
      <c r="H9" s="11">
        <v>8.2000000000000003E-2</v>
      </c>
      <c r="I9" s="10">
        <v>104654120</v>
      </c>
      <c r="J9" s="12" t="s">
        <v>3615</v>
      </c>
      <c r="K9" s="10">
        <v>13657</v>
      </c>
      <c r="L9" s="12" t="s">
        <v>3616</v>
      </c>
      <c r="M9" s="10">
        <v>1186761860</v>
      </c>
      <c r="N9" s="10">
        <v>144148</v>
      </c>
      <c r="O9" s="12">
        <v>6</v>
      </c>
    </row>
    <row r="10" spans="1:15" ht="27" x14ac:dyDescent="0.3">
      <c r="A10" s="9">
        <v>43515</v>
      </c>
      <c r="B10" s="12">
        <v>508</v>
      </c>
      <c r="C10" s="11">
        <v>8.1000000000000003E-2</v>
      </c>
      <c r="D10" s="10">
        <v>1162</v>
      </c>
      <c r="E10" s="11">
        <v>6.3E-2</v>
      </c>
      <c r="F10" s="10">
        <v>162352</v>
      </c>
      <c r="G10" s="11">
        <v>5.6000000000000001E-2</v>
      </c>
      <c r="H10" s="11">
        <v>8.6999999999999994E-2</v>
      </c>
      <c r="I10" s="10">
        <v>107584630</v>
      </c>
      <c r="J10" s="12" t="s">
        <v>3617</v>
      </c>
      <c r="K10" s="10">
        <v>14203</v>
      </c>
      <c r="L10" s="12" t="s">
        <v>3618</v>
      </c>
      <c r="M10" s="10">
        <v>1294346490</v>
      </c>
      <c r="N10" s="10">
        <v>158351</v>
      </c>
      <c r="O10" s="12">
        <v>6</v>
      </c>
    </row>
    <row r="11" spans="1:15" ht="27" x14ac:dyDescent="0.3">
      <c r="A11" s="9">
        <v>43516</v>
      </c>
      <c r="B11" s="12">
        <v>292</v>
      </c>
      <c r="C11" s="11">
        <v>4.7E-2</v>
      </c>
      <c r="D11" s="12">
        <v>454</v>
      </c>
      <c r="E11" s="11">
        <v>2.4E-2</v>
      </c>
      <c r="F11" s="10">
        <v>58147</v>
      </c>
      <c r="G11" s="11">
        <v>0.02</v>
      </c>
      <c r="H11" s="11">
        <v>0.13100000000000001</v>
      </c>
      <c r="I11" s="10">
        <v>58319400</v>
      </c>
      <c r="J11" s="12" t="s">
        <v>3619</v>
      </c>
      <c r="K11" s="10">
        <v>7646</v>
      </c>
      <c r="L11" s="12" t="s">
        <v>3620</v>
      </c>
      <c r="M11" s="10">
        <v>1352665890</v>
      </c>
      <c r="N11" s="10">
        <v>165997</v>
      </c>
      <c r="O11" s="12">
        <v>9</v>
      </c>
    </row>
    <row r="12" spans="1:15" ht="27" x14ac:dyDescent="0.3">
      <c r="A12" s="9">
        <v>43517</v>
      </c>
      <c r="B12" s="12">
        <v>257</v>
      </c>
      <c r="C12" s="11">
        <v>0.04</v>
      </c>
      <c r="D12" s="12">
        <v>368</v>
      </c>
      <c r="E12" s="11">
        <v>0.02</v>
      </c>
      <c r="F12" s="10">
        <v>47510</v>
      </c>
      <c r="G12" s="11">
        <v>1.6E-2</v>
      </c>
      <c r="H12" s="11">
        <v>0.14299999999999999</v>
      </c>
      <c r="I12" s="10">
        <v>51693950</v>
      </c>
      <c r="J12" s="12" t="s">
        <v>3621</v>
      </c>
      <c r="K12" s="10">
        <v>6798</v>
      </c>
      <c r="L12" s="12" t="s">
        <v>3622</v>
      </c>
      <c r="M12" s="10">
        <v>1404359840</v>
      </c>
      <c r="N12" s="10">
        <v>172795</v>
      </c>
      <c r="O12" s="12">
        <v>10</v>
      </c>
    </row>
    <row r="13" spans="1:15" ht="27" x14ac:dyDescent="0.3">
      <c r="A13" s="9">
        <v>43518</v>
      </c>
      <c r="B13" s="12">
        <v>250</v>
      </c>
      <c r="C13" s="11">
        <v>3.7999999999999999E-2</v>
      </c>
      <c r="D13" s="12">
        <v>357</v>
      </c>
      <c r="E13" s="11">
        <v>1.9E-2</v>
      </c>
      <c r="F13" s="10">
        <v>46368</v>
      </c>
      <c r="G13" s="11">
        <v>1.6E-2</v>
      </c>
      <c r="H13" s="11">
        <v>0.13400000000000001</v>
      </c>
      <c r="I13" s="10">
        <v>50444330</v>
      </c>
      <c r="J13" s="12" t="s">
        <v>3623</v>
      </c>
      <c r="K13" s="10">
        <v>6195</v>
      </c>
      <c r="L13" s="12" t="s">
        <v>3624</v>
      </c>
      <c r="M13" s="10">
        <v>1454804170</v>
      </c>
      <c r="N13" s="10">
        <v>178990</v>
      </c>
      <c r="O13" s="12">
        <v>10</v>
      </c>
    </row>
    <row r="14" spans="1:15" ht="27" x14ac:dyDescent="0.3">
      <c r="A14" s="9">
        <v>43519</v>
      </c>
      <c r="B14" s="12">
        <v>266</v>
      </c>
      <c r="C14" s="11">
        <v>3.9E-2</v>
      </c>
      <c r="D14" s="12">
        <v>363</v>
      </c>
      <c r="E14" s="11">
        <v>1.9E-2</v>
      </c>
      <c r="F14" s="10">
        <v>45706</v>
      </c>
      <c r="G14" s="11">
        <v>1.4999999999999999E-2</v>
      </c>
      <c r="H14" s="11">
        <v>0.24099999999999999</v>
      </c>
      <c r="I14" s="10">
        <v>93472770</v>
      </c>
      <c r="J14" s="12" t="s">
        <v>3625</v>
      </c>
      <c r="K14" s="10">
        <v>11000</v>
      </c>
      <c r="L14" s="12" t="s">
        <v>3626</v>
      </c>
      <c r="M14" s="10">
        <v>1548276940</v>
      </c>
      <c r="N14" s="10">
        <v>189990</v>
      </c>
      <c r="O14" s="12">
        <v>10</v>
      </c>
    </row>
    <row r="15" spans="1:15" ht="27" x14ac:dyDescent="0.3">
      <c r="A15" s="9">
        <v>43520</v>
      </c>
      <c r="B15" s="12">
        <v>263</v>
      </c>
      <c r="C15" s="11">
        <v>3.7999999999999999E-2</v>
      </c>
      <c r="D15" s="12">
        <v>357</v>
      </c>
      <c r="E15" s="11">
        <v>1.9E-2</v>
      </c>
      <c r="F15" s="10">
        <v>44814</v>
      </c>
      <c r="G15" s="11">
        <v>1.4999999999999999E-2</v>
      </c>
      <c r="H15" s="11">
        <v>0.21299999999999999</v>
      </c>
      <c r="I15" s="10">
        <v>79619290</v>
      </c>
      <c r="J15" s="12" t="s">
        <v>3627</v>
      </c>
      <c r="K15" s="10">
        <v>9529</v>
      </c>
      <c r="L15" s="12" t="s">
        <v>3628</v>
      </c>
      <c r="M15" s="10">
        <v>1627896230</v>
      </c>
      <c r="N15" s="10">
        <v>199519</v>
      </c>
      <c r="O15" s="12">
        <v>11</v>
      </c>
    </row>
    <row r="16" spans="1:15" ht="27" x14ac:dyDescent="0.3">
      <c r="A16" s="9">
        <v>43521</v>
      </c>
      <c r="B16" s="12">
        <v>242</v>
      </c>
      <c r="C16" s="11">
        <v>3.9E-2</v>
      </c>
      <c r="D16" s="12">
        <v>343</v>
      </c>
      <c r="E16" s="11">
        <v>1.9E-2</v>
      </c>
      <c r="F16" s="10">
        <v>46083</v>
      </c>
      <c r="G16" s="11">
        <v>1.6E-2</v>
      </c>
      <c r="H16" s="11">
        <v>0.104</v>
      </c>
      <c r="I16" s="10">
        <v>37609230</v>
      </c>
      <c r="J16" s="12" t="s">
        <v>3629</v>
      </c>
      <c r="K16" s="10">
        <v>4809</v>
      </c>
      <c r="L16" s="12" t="s">
        <v>3630</v>
      </c>
      <c r="M16" s="10">
        <v>1665505460</v>
      </c>
      <c r="N16" s="10">
        <v>204328</v>
      </c>
      <c r="O16" s="12">
        <v>11</v>
      </c>
    </row>
    <row r="17" spans="1:15" ht="27" x14ac:dyDescent="0.3">
      <c r="A17" s="9">
        <v>43522</v>
      </c>
      <c r="B17" s="12">
        <v>244</v>
      </c>
      <c r="C17" s="11">
        <v>3.7999999999999999E-2</v>
      </c>
      <c r="D17" s="12">
        <v>352</v>
      </c>
      <c r="E17" s="11">
        <v>1.9E-2</v>
      </c>
      <c r="F17" s="10">
        <v>46824</v>
      </c>
      <c r="G17" s="11">
        <v>1.6E-2</v>
      </c>
      <c r="H17" s="11">
        <v>0.126</v>
      </c>
      <c r="I17" s="10">
        <v>43402200</v>
      </c>
      <c r="J17" s="12" t="s">
        <v>3631</v>
      </c>
      <c r="K17" s="10">
        <v>5886</v>
      </c>
      <c r="L17" s="12" t="s">
        <v>3632</v>
      </c>
      <c r="M17" s="10">
        <v>1708907660</v>
      </c>
      <c r="N17" s="10">
        <v>210214</v>
      </c>
      <c r="O17" s="12">
        <v>9</v>
      </c>
    </row>
    <row r="18" spans="1:15" ht="27" x14ac:dyDescent="0.3">
      <c r="A18" s="9">
        <v>43523</v>
      </c>
      <c r="B18" s="12">
        <v>51</v>
      </c>
      <c r="C18" s="11">
        <v>8.0000000000000002E-3</v>
      </c>
      <c r="D18" s="12">
        <v>69</v>
      </c>
      <c r="E18" s="11">
        <v>4.0000000000000001E-3</v>
      </c>
      <c r="F18" s="10">
        <v>8657</v>
      </c>
      <c r="G18" s="11">
        <v>3.0000000000000001E-3</v>
      </c>
      <c r="H18" s="11">
        <v>0.28399999999999997</v>
      </c>
      <c r="I18" s="10">
        <v>16361200</v>
      </c>
      <c r="J18" s="12" t="s">
        <v>3633</v>
      </c>
      <c r="K18" s="10">
        <v>2462</v>
      </c>
      <c r="L18" s="12" t="s">
        <v>3634</v>
      </c>
      <c r="M18" s="10">
        <v>1725268860</v>
      </c>
      <c r="N18" s="10">
        <v>212676</v>
      </c>
      <c r="O18" s="12">
        <v>16</v>
      </c>
    </row>
    <row r="19" spans="1:15" ht="27" x14ac:dyDescent="0.3">
      <c r="A19" s="9">
        <v>43524</v>
      </c>
      <c r="B19" s="12">
        <v>37</v>
      </c>
      <c r="C19" s="11">
        <v>6.0000000000000001E-3</v>
      </c>
      <c r="D19" s="12">
        <v>54</v>
      </c>
      <c r="E19" s="11">
        <v>3.0000000000000001E-3</v>
      </c>
      <c r="F19" s="10">
        <v>7636</v>
      </c>
      <c r="G19" s="11">
        <v>3.0000000000000001E-3</v>
      </c>
      <c r="H19" s="11">
        <v>0.26100000000000001</v>
      </c>
      <c r="I19" s="10">
        <v>15270950</v>
      </c>
      <c r="J19" s="12" t="s">
        <v>3635</v>
      </c>
      <c r="K19" s="10">
        <v>1992</v>
      </c>
      <c r="L19" s="12" t="s">
        <v>3636</v>
      </c>
      <c r="M19" s="10">
        <v>1740539810</v>
      </c>
      <c r="N19" s="10">
        <v>214668</v>
      </c>
      <c r="O19" s="12">
        <v>17</v>
      </c>
    </row>
    <row r="20" spans="1:15" ht="27" x14ac:dyDescent="0.3">
      <c r="A20" s="9">
        <v>43525</v>
      </c>
      <c r="B20" s="12">
        <v>35</v>
      </c>
      <c r="C20" s="11">
        <v>5.0000000000000001E-3</v>
      </c>
      <c r="D20" s="12">
        <v>50</v>
      </c>
      <c r="E20" s="11">
        <v>2E-3</v>
      </c>
      <c r="F20" s="10">
        <v>7850</v>
      </c>
      <c r="G20" s="11">
        <v>2E-3</v>
      </c>
      <c r="H20" s="11">
        <v>0.34899999999999998</v>
      </c>
      <c r="I20" s="10">
        <v>23510530</v>
      </c>
      <c r="J20" s="12" t="s">
        <v>3637</v>
      </c>
      <c r="K20" s="10">
        <v>2739</v>
      </c>
      <c r="L20" s="12" t="s">
        <v>3638</v>
      </c>
      <c r="M20" s="10">
        <v>1764050340</v>
      </c>
      <c r="N20" s="10">
        <v>217407</v>
      </c>
      <c r="O20" s="12">
        <v>17</v>
      </c>
    </row>
    <row r="21" spans="1:15" ht="27" x14ac:dyDescent="0.3">
      <c r="A21" s="9">
        <v>43526</v>
      </c>
      <c r="B21" s="12">
        <v>30</v>
      </c>
      <c r="C21" s="11">
        <v>4.0000000000000001E-3</v>
      </c>
      <c r="D21" s="12">
        <v>47</v>
      </c>
      <c r="E21" s="11">
        <v>2E-3</v>
      </c>
      <c r="F21" s="10">
        <v>7279</v>
      </c>
      <c r="G21" s="11">
        <v>2E-3</v>
      </c>
      <c r="H21" s="11">
        <v>0.27600000000000002</v>
      </c>
      <c r="I21" s="10">
        <v>17882550</v>
      </c>
      <c r="J21" s="12" t="s">
        <v>3639</v>
      </c>
      <c r="K21" s="10">
        <v>2008</v>
      </c>
      <c r="L21" s="12" t="s">
        <v>3640</v>
      </c>
      <c r="M21" s="10">
        <v>1781932890</v>
      </c>
      <c r="N21" s="10">
        <v>219415</v>
      </c>
      <c r="O21" s="12">
        <v>17</v>
      </c>
    </row>
    <row r="22" spans="1:15" ht="27" x14ac:dyDescent="0.3">
      <c r="A22" s="9">
        <v>43527</v>
      </c>
      <c r="B22" s="12">
        <v>34</v>
      </c>
      <c r="C22" s="11">
        <v>5.0000000000000001E-3</v>
      </c>
      <c r="D22" s="12">
        <v>47</v>
      </c>
      <c r="E22" s="11">
        <v>2E-3</v>
      </c>
      <c r="F22" s="10">
        <v>7769</v>
      </c>
      <c r="G22" s="11">
        <v>3.0000000000000001E-3</v>
      </c>
      <c r="H22" s="11">
        <v>0.2</v>
      </c>
      <c r="I22" s="10">
        <v>13486680</v>
      </c>
      <c r="J22" s="12" t="s">
        <v>3641</v>
      </c>
      <c r="K22" s="10">
        <v>1550</v>
      </c>
      <c r="L22" s="12" t="s">
        <v>3642</v>
      </c>
      <c r="M22" s="10">
        <v>1795419570</v>
      </c>
      <c r="N22" s="10">
        <v>220965</v>
      </c>
      <c r="O22" s="12">
        <v>18</v>
      </c>
    </row>
    <row r="23" spans="1:15" ht="27" x14ac:dyDescent="0.3">
      <c r="A23" s="9">
        <v>43528</v>
      </c>
      <c r="B23" s="12">
        <v>29</v>
      </c>
      <c r="C23" s="11">
        <v>5.0000000000000001E-3</v>
      </c>
      <c r="D23" s="12">
        <v>43</v>
      </c>
      <c r="E23" s="11">
        <v>2E-3</v>
      </c>
      <c r="F23" s="10">
        <v>6964</v>
      </c>
      <c r="G23" s="11">
        <v>3.0000000000000001E-3</v>
      </c>
      <c r="H23" s="11">
        <v>5.8000000000000003E-2</v>
      </c>
      <c r="I23" s="10">
        <v>3350900</v>
      </c>
      <c r="J23" s="12" t="s">
        <v>3643</v>
      </c>
      <c r="K23" s="12">
        <v>403</v>
      </c>
      <c r="L23" s="12" t="s">
        <v>3644</v>
      </c>
      <c r="M23" s="10">
        <v>1798770470</v>
      </c>
      <c r="N23" s="10">
        <v>221368</v>
      </c>
      <c r="O23" s="12">
        <v>20</v>
      </c>
    </row>
    <row r="24" spans="1:15" ht="27" x14ac:dyDescent="0.3">
      <c r="A24" s="9">
        <v>43529</v>
      </c>
      <c r="B24" s="12">
        <v>29</v>
      </c>
      <c r="C24" s="11">
        <v>5.0000000000000001E-3</v>
      </c>
      <c r="D24" s="12">
        <v>43</v>
      </c>
      <c r="E24" s="11">
        <v>3.0000000000000001E-3</v>
      </c>
      <c r="F24" s="10">
        <v>7607</v>
      </c>
      <c r="G24" s="11">
        <v>3.0000000000000001E-3</v>
      </c>
      <c r="H24" s="11">
        <v>5.2999999999999999E-2</v>
      </c>
      <c r="I24" s="10">
        <v>3270600</v>
      </c>
      <c r="J24" s="12" t="s">
        <v>3645</v>
      </c>
      <c r="K24" s="12">
        <v>401</v>
      </c>
      <c r="L24" s="12" t="s">
        <v>3646</v>
      </c>
      <c r="M24" s="10">
        <v>1802041070</v>
      </c>
      <c r="N24" s="10">
        <v>221769</v>
      </c>
      <c r="O24" s="12">
        <v>21</v>
      </c>
    </row>
    <row r="25" spans="1:15" ht="27" x14ac:dyDescent="0.3">
      <c r="A25" s="9">
        <v>43530</v>
      </c>
      <c r="B25" s="12">
        <v>13</v>
      </c>
      <c r="C25" s="11">
        <v>3.0000000000000001E-3</v>
      </c>
      <c r="D25" s="12">
        <v>15</v>
      </c>
      <c r="E25" s="11">
        <v>1E-3</v>
      </c>
      <c r="F25" s="10">
        <v>4093</v>
      </c>
      <c r="G25" s="11">
        <v>1E-3</v>
      </c>
      <c r="H25" s="11">
        <v>3.5000000000000003E-2</v>
      </c>
      <c r="I25" s="10">
        <v>1048000</v>
      </c>
      <c r="J25" s="12" t="s">
        <v>3647</v>
      </c>
      <c r="K25" s="12">
        <v>145</v>
      </c>
      <c r="L25" s="12" t="s">
        <v>3648</v>
      </c>
      <c r="M25" s="10">
        <v>1803089070</v>
      </c>
      <c r="N25" s="10">
        <v>221914</v>
      </c>
      <c r="O25" s="12">
        <v>27</v>
      </c>
    </row>
    <row r="26" spans="1:15" ht="27" x14ac:dyDescent="0.3">
      <c r="A26" s="9">
        <v>43531</v>
      </c>
      <c r="B26" s="12">
        <v>14</v>
      </c>
      <c r="C26" s="11">
        <v>3.0000000000000001E-3</v>
      </c>
      <c r="D26" s="12">
        <v>16</v>
      </c>
      <c r="E26" s="11">
        <v>1E-3</v>
      </c>
      <c r="F26" s="10">
        <v>4446</v>
      </c>
      <c r="G26" s="11">
        <v>2E-3</v>
      </c>
      <c r="H26" s="11">
        <v>3.5000000000000003E-2</v>
      </c>
      <c r="I26" s="10">
        <v>1095650</v>
      </c>
      <c r="J26" s="12" t="s">
        <v>3649</v>
      </c>
      <c r="K26" s="12">
        <v>154</v>
      </c>
      <c r="L26" s="12" t="s">
        <v>3650</v>
      </c>
      <c r="M26" s="10">
        <v>1804184720</v>
      </c>
      <c r="N26" s="10">
        <v>222068</v>
      </c>
      <c r="O26" s="12">
        <v>33</v>
      </c>
    </row>
    <row r="27" spans="1:15" ht="27" x14ac:dyDescent="0.3">
      <c r="A27" s="9">
        <v>43532</v>
      </c>
      <c r="B27" s="12">
        <v>12</v>
      </c>
      <c r="C27" s="11">
        <v>2E-3</v>
      </c>
      <c r="D27" s="12">
        <v>14</v>
      </c>
      <c r="E27" s="11">
        <v>1E-3</v>
      </c>
      <c r="F27" s="10">
        <v>3202</v>
      </c>
      <c r="G27" s="11">
        <v>1E-3</v>
      </c>
      <c r="H27" s="11">
        <v>0.03</v>
      </c>
      <c r="I27" s="10">
        <v>641000</v>
      </c>
      <c r="J27" s="12" t="s">
        <v>3651</v>
      </c>
      <c r="K27" s="12">
        <v>97</v>
      </c>
      <c r="L27" s="12" t="s">
        <v>3652</v>
      </c>
      <c r="M27" s="10">
        <v>1804825720</v>
      </c>
      <c r="N27" s="10">
        <v>222165</v>
      </c>
      <c r="O27" s="12">
        <v>39</v>
      </c>
    </row>
    <row r="28" spans="1:15" ht="27" x14ac:dyDescent="0.3">
      <c r="A28" s="9">
        <v>43533</v>
      </c>
      <c r="B28" s="12">
        <v>13</v>
      </c>
      <c r="C28" s="11">
        <v>2E-3</v>
      </c>
      <c r="D28" s="12">
        <v>14</v>
      </c>
      <c r="E28" s="11">
        <v>1E-3</v>
      </c>
      <c r="F28" s="10">
        <v>3153</v>
      </c>
      <c r="G28" s="11">
        <v>1E-3</v>
      </c>
      <c r="H28" s="11">
        <v>4.2999999999999997E-2</v>
      </c>
      <c r="I28" s="10">
        <v>909000</v>
      </c>
      <c r="J28" s="12" t="s">
        <v>3653</v>
      </c>
      <c r="K28" s="12">
        <v>136</v>
      </c>
      <c r="L28" s="12" t="s">
        <v>3654</v>
      </c>
      <c r="M28" s="10">
        <v>1805734720</v>
      </c>
      <c r="N28" s="10">
        <v>222301</v>
      </c>
      <c r="O28" s="12">
        <v>37</v>
      </c>
    </row>
    <row r="29" spans="1:15" ht="27" x14ac:dyDescent="0.3">
      <c r="A29" s="9">
        <v>43534</v>
      </c>
      <c r="B29" s="12">
        <v>13</v>
      </c>
      <c r="C29" s="11">
        <v>2E-3</v>
      </c>
      <c r="D29" s="12">
        <v>14</v>
      </c>
      <c r="E29" s="11">
        <v>1E-3</v>
      </c>
      <c r="F29" s="10">
        <v>2988</v>
      </c>
      <c r="G29" s="11">
        <v>1E-3</v>
      </c>
      <c r="H29" s="11">
        <v>9.6000000000000002E-2</v>
      </c>
      <c r="I29" s="10">
        <v>2060150</v>
      </c>
      <c r="J29" s="12" t="s">
        <v>3655</v>
      </c>
      <c r="K29" s="12">
        <v>286</v>
      </c>
      <c r="L29" s="12" t="s">
        <v>3656</v>
      </c>
      <c r="M29" s="10">
        <v>1807794870</v>
      </c>
      <c r="N29" s="10">
        <v>222587</v>
      </c>
      <c r="O29" s="12">
        <v>23</v>
      </c>
    </row>
    <row r="30" spans="1:15" ht="27" x14ac:dyDescent="0.3">
      <c r="A30" s="9">
        <v>43535</v>
      </c>
      <c r="B30" s="12">
        <v>11</v>
      </c>
      <c r="C30" s="11">
        <v>2E-3</v>
      </c>
      <c r="D30" s="12">
        <v>12</v>
      </c>
      <c r="E30" s="11">
        <v>1E-3</v>
      </c>
      <c r="F30" s="10">
        <v>2851</v>
      </c>
      <c r="G30" s="11">
        <v>1E-3</v>
      </c>
      <c r="H30" s="11">
        <v>2.7E-2</v>
      </c>
      <c r="I30" s="10">
        <v>433610</v>
      </c>
      <c r="J30" s="12" t="s">
        <v>3657</v>
      </c>
      <c r="K30" s="12">
        <v>77</v>
      </c>
      <c r="L30" s="12" t="s">
        <v>3658</v>
      </c>
      <c r="M30" s="10">
        <v>1808228480</v>
      </c>
      <c r="N30" s="10">
        <v>222664</v>
      </c>
      <c r="O30" s="12">
        <v>34</v>
      </c>
    </row>
    <row r="31" spans="1:15" ht="27" x14ac:dyDescent="0.3">
      <c r="A31" s="9">
        <v>43536</v>
      </c>
      <c r="B31" s="12">
        <v>12</v>
      </c>
      <c r="C31" s="11">
        <v>2E-3</v>
      </c>
      <c r="D31" s="12">
        <v>14</v>
      </c>
      <c r="E31" s="11">
        <v>1E-3</v>
      </c>
      <c r="F31" s="10">
        <v>2936</v>
      </c>
      <c r="G31" s="11">
        <v>1E-3</v>
      </c>
      <c r="H31" s="11">
        <v>2.8000000000000001E-2</v>
      </c>
      <c r="I31" s="10">
        <v>451000</v>
      </c>
      <c r="J31" s="12" t="s">
        <v>3659</v>
      </c>
      <c r="K31" s="12">
        <v>83</v>
      </c>
      <c r="L31" s="12" t="s">
        <v>3660</v>
      </c>
      <c r="M31" s="10">
        <v>1808679480</v>
      </c>
      <c r="N31" s="10">
        <v>222747</v>
      </c>
      <c r="O31" s="12">
        <v>34</v>
      </c>
    </row>
    <row r="32" spans="1:15" ht="27" x14ac:dyDescent="0.3">
      <c r="A32" s="9">
        <v>43537</v>
      </c>
      <c r="B32" s="12">
        <v>13</v>
      </c>
      <c r="C32" s="11">
        <v>2E-3</v>
      </c>
      <c r="D32" s="12">
        <v>13</v>
      </c>
      <c r="E32" s="11">
        <v>1E-3</v>
      </c>
      <c r="F32" s="10">
        <v>3572</v>
      </c>
      <c r="G32" s="11">
        <v>1E-3</v>
      </c>
      <c r="H32" s="11">
        <v>2.8000000000000001E-2</v>
      </c>
      <c r="I32" s="10">
        <v>570500</v>
      </c>
      <c r="J32" s="12" t="s">
        <v>3661</v>
      </c>
      <c r="K32" s="12">
        <v>99</v>
      </c>
      <c r="L32" s="12" t="s">
        <v>3662</v>
      </c>
      <c r="M32" s="10">
        <v>1809249980</v>
      </c>
      <c r="N32" s="10">
        <v>222846</v>
      </c>
      <c r="O32" s="12">
        <v>37</v>
      </c>
    </row>
    <row r="33" spans="1:15" ht="27" x14ac:dyDescent="0.3">
      <c r="A33" s="9">
        <v>43538</v>
      </c>
      <c r="B33" s="12">
        <v>12</v>
      </c>
      <c r="C33" s="11">
        <v>2E-3</v>
      </c>
      <c r="D33" s="12">
        <v>12</v>
      </c>
      <c r="E33" s="11">
        <v>1E-3</v>
      </c>
      <c r="F33" s="10">
        <v>3673</v>
      </c>
      <c r="G33" s="11">
        <v>1E-3</v>
      </c>
      <c r="H33" s="11">
        <v>0.02</v>
      </c>
      <c r="I33" s="10">
        <v>378000</v>
      </c>
      <c r="J33" s="12" t="s">
        <v>3663</v>
      </c>
      <c r="K33" s="12">
        <v>74</v>
      </c>
      <c r="L33" s="12" t="s">
        <v>3664</v>
      </c>
      <c r="M33" s="10">
        <v>1809627980</v>
      </c>
      <c r="N33" s="10">
        <v>222920</v>
      </c>
      <c r="O33" s="12">
        <v>46</v>
      </c>
    </row>
    <row r="34" spans="1:15" ht="27" x14ac:dyDescent="0.3">
      <c r="A34" s="9">
        <v>43539</v>
      </c>
      <c r="B34" s="12">
        <v>10</v>
      </c>
      <c r="C34" s="11">
        <v>2E-3</v>
      </c>
      <c r="D34" s="12">
        <v>11</v>
      </c>
      <c r="E34" s="11">
        <v>1E-3</v>
      </c>
      <c r="F34" s="10">
        <v>2613</v>
      </c>
      <c r="G34" s="11">
        <v>1E-3</v>
      </c>
      <c r="H34" s="11">
        <v>2.5999999999999999E-2</v>
      </c>
      <c r="I34" s="10">
        <v>399000</v>
      </c>
      <c r="J34" s="12" t="s">
        <v>3665</v>
      </c>
      <c r="K34" s="12">
        <v>69</v>
      </c>
      <c r="L34" s="12" t="s">
        <v>3666</v>
      </c>
      <c r="M34" s="10">
        <v>1810026980</v>
      </c>
      <c r="N34" s="10">
        <v>222989</v>
      </c>
      <c r="O34" s="12">
        <v>42</v>
      </c>
    </row>
    <row r="35" spans="1:15" ht="27" x14ac:dyDescent="0.3">
      <c r="A35" s="9">
        <v>43540</v>
      </c>
      <c r="B35" s="12">
        <v>11</v>
      </c>
      <c r="C35" s="11">
        <v>2E-3</v>
      </c>
      <c r="D35" s="12">
        <v>12</v>
      </c>
      <c r="E35" s="11">
        <v>1E-3</v>
      </c>
      <c r="F35" s="10">
        <v>3259</v>
      </c>
      <c r="G35" s="11">
        <v>1E-3</v>
      </c>
      <c r="H35" s="11">
        <v>4.8000000000000001E-2</v>
      </c>
      <c r="I35" s="10">
        <v>1069500</v>
      </c>
      <c r="J35" s="12" t="s">
        <v>3667</v>
      </c>
      <c r="K35" s="12">
        <v>156</v>
      </c>
      <c r="L35" s="12" t="s">
        <v>3668</v>
      </c>
      <c r="M35" s="10">
        <v>1811096480</v>
      </c>
      <c r="N35" s="10">
        <v>223145</v>
      </c>
      <c r="O35" s="12">
        <v>39</v>
      </c>
    </row>
    <row r="36" spans="1:15" ht="27" x14ac:dyDescent="0.3">
      <c r="A36" s="9">
        <v>43541</v>
      </c>
      <c r="B36" s="12">
        <v>11</v>
      </c>
      <c r="C36" s="11">
        <v>2E-3</v>
      </c>
      <c r="D36" s="12">
        <v>12</v>
      </c>
      <c r="E36" s="11">
        <v>1E-3</v>
      </c>
      <c r="F36" s="10">
        <v>3259</v>
      </c>
      <c r="G36" s="11">
        <v>1E-3</v>
      </c>
      <c r="H36" s="11">
        <v>2.5000000000000001E-2</v>
      </c>
      <c r="I36" s="10">
        <v>452000</v>
      </c>
      <c r="J36" s="12" t="s">
        <v>3669</v>
      </c>
      <c r="K36" s="12">
        <v>81</v>
      </c>
      <c r="L36" s="12" t="s">
        <v>3670</v>
      </c>
      <c r="M36" s="10">
        <v>1811548480</v>
      </c>
      <c r="N36" s="10">
        <v>223226</v>
      </c>
      <c r="O36" s="12">
        <v>47</v>
      </c>
    </row>
    <row r="37" spans="1:15" ht="27" x14ac:dyDescent="0.3">
      <c r="A37" s="9">
        <v>43542</v>
      </c>
      <c r="B37" s="12">
        <v>11</v>
      </c>
      <c r="C37" s="11">
        <v>2E-3</v>
      </c>
      <c r="D37" s="12">
        <v>12</v>
      </c>
      <c r="E37" s="11">
        <v>1E-3</v>
      </c>
      <c r="F37" s="10">
        <v>3008</v>
      </c>
      <c r="G37" s="11">
        <v>1E-3</v>
      </c>
      <c r="H37" s="11">
        <v>2.8000000000000001E-2</v>
      </c>
      <c r="I37" s="10">
        <v>432000</v>
      </c>
      <c r="J37" s="12" t="s">
        <v>3671</v>
      </c>
      <c r="K37" s="12">
        <v>83</v>
      </c>
      <c r="L37" s="12" t="s">
        <v>3672</v>
      </c>
      <c r="M37" s="10">
        <v>1811980480</v>
      </c>
      <c r="N37" s="10">
        <v>223309</v>
      </c>
      <c r="O37" s="12">
        <v>32</v>
      </c>
    </row>
    <row r="38" spans="1:15" ht="27" x14ac:dyDescent="0.3">
      <c r="A38" s="9">
        <v>43543</v>
      </c>
      <c r="B38" s="12">
        <v>11</v>
      </c>
      <c r="C38" s="11">
        <v>2E-3</v>
      </c>
      <c r="D38" s="12">
        <v>11</v>
      </c>
      <c r="E38" s="11">
        <v>1E-3</v>
      </c>
      <c r="F38" s="10">
        <v>2702</v>
      </c>
      <c r="G38" s="11">
        <v>1E-3</v>
      </c>
      <c r="H38" s="11">
        <v>3.3000000000000002E-2</v>
      </c>
      <c r="I38" s="10">
        <v>487480</v>
      </c>
      <c r="J38" s="12" t="s">
        <v>3673</v>
      </c>
      <c r="K38" s="12">
        <v>89</v>
      </c>
      <c r="L38" s="12" t="s">
        <v>3674</v>
      </c>
      <c r="M38" s="10">
        <v>1812467960</v>
      </c>
      <c r="N38" s="10">
        <v>223398</v>
      </c>
      <c r="O38" s="12">
        <v>38</v>
      </c>
    </row>
    <row r="39" spans="1:15" ht="27" x14ac:dyDescent="0.3">
      <c r="A39" s="9">
        <v>43544</v>
      </c>
      <c r="B39" s="12">
        <v>10</v>
      </c>
      <c r="C39" s="11">
        <v>2E-3</v>
      </c>
      <c r="D39" s="12">
        <v>11</v>
      </c>
      <c r="E39" s="11">
        <v>1E-3</v>
      </c>
      <c r="F39" s="10">
        <v>2764</v>
      </c>
      <c r="G39" s="11">
        <v>1E-3</v>
      </c>
      <c r="H39" s="11">
        <v>2.1999999999999999E-2</v>
      </c>
      <c r="I39" s="10">
        <v>314000</v>
      </c>
      <c r="J39" s="12" t="s">
        <v>3675</v>
      </c>
      <c r="K39" s="12">
        <v>62</v>
      </c>
      <c r="L39" s="12" t="s">
        <v>3676</v>
      </c>
      <c r="M39" s="10">
        <v>1812781960</v>
      </c>
      <c r="N39" s="10">
        <v>223460</v>
      </c>
      <c r="O39" s="12">
        <v>47</v>
      </c>
    </row>
    <row r="40" spans="1:15" ht="27" x14ac:dyDescent="0.3">
      <c r="A40" s="9">
        <v>43545</v>
      </c>
      <c r="B40" s="12">
        <v>10</v>
      </c>
      <c r="C40" s="11">
        <v>2E-3</v>
      </c>
      <c r="D40" s="12">
        <v>10</v>
      </c>
      <c r="E40" s="11">
        <v>1E-3</v>
      </c>
      <c r="F40" s="10">
        <v>2598</v>
      </c>
      <c r="G40" s="11">
        <v>1E-3</v>
      </c>
      <c r="H40" s="11">
        <v>1.9E-2</v>
      </c>
      <c r="I40" s="10">
        <v>250000</v>
      </c>
      <c r="J40" s="12" t="s">
        <v>3677</v>
      </c>
      <c r="K40" s="12">
        <v>50</v>
      </c>
      <c r="L40" s="12" t="s">
        <v>3678</v>
      </c>
      <c r="M40" s="10">
        <v>1813031960</v>
      </c>
      <c r="N40" s="10">
        <v>223510</v>
      </c>
      <c r="O40" s="12">
        <v>50</v>
      </c>
    </row>
    <row r="41" spans="1:15" x14ac:dyDescent="0.3">
      <c r="A41" s="9">
        <v>43546</v>
      </c>
      <c r="B41" s="12">
        <v>10</v>
      </c>
      <c r="C41" s="11">
        <v>2E-3</v>
      </c>
      <c r="D41" s="12">
        <v>10</v>
      </c>
      <c r="E41" s="11">
        <v>1E-3</v>
      </c>
      <c r="F41" s="10">
        <v>2531</v>
      </c>
      <c r="G41" s="11">
        <v>1E-3</v>
      </c>
      <c r="H41" s="11">
        <v>0.02</v>
      </c>
      <c r="I41" s="10">
        <v>250000</v>
      </c>
      <c r="J41" s="12" t="s">
        <v>292</v>
      </c>
      <c r="K41" s="12">
        <v>50</v>
      </c>
      <c r="L41" s="12" t="s">
        <v>292</v>
      </c>
      <c r="M41" s="10">
        <v>1813281960</v>
      </c>
      <c r="N41" s="10">
        <v>223560</v>
      </c>
      <c r="O41" s="12">
        <v>54</v>
      </c>
    </row>
    <row r="42" spans="1:15" x14ac:dyDescent="0.3">
      <c r="A42" s="9">
        <v>43547</v>
      </c>
      <c r="B42" s="12">
        <v>10</v>
      </c>
      <c r="C42" s="11">
        <v>2E-3</v>
      </c>
      <c r="D42" s="12">
        <v>10</v>
      </c>
      <c r="E42" s="11">
        <v>1E-3</v>
      </c>
      <c r="F42" s="10">
        <v>2594</v>
      </c>
      <c r="G42" s="11">
        <v>1E-3</v>
      </c>
      <c r="H42" s="11">
        <v>1.9E-2</v>
      </c>
      <c r="I42" s="10">
        <v>250000</v>
      </c>
      <c r="J42" s="12" t="s">
        <v>292</v>
      </c>
      <c r="K42" s="12">
        <v>50</v>
      </c>
      <c r="L42" s="12" t="s">
        <v>292</v>
      </c>
      <c r="M42" s="10">
        <v>1813531960</v>
      </c>
      <c r="N42" s="10">
        <v>223610</v>
      </c>
      <c r="O42" s="12">
        <v>69</v>
      </c>
    </row>
    <row r="43" spans="1:15" x14ac:dyDescent="0.3">
      <c r="A43" s="9">
        <v>43548</v>
      </c>
      <c r="B43" s="12">
        <v>10</v>
      </c>
      <c r="C43" s="11">
        <v>2E-3</v>
      </c>
      <c r="D43" s="12">
        <v>10</v>
      </c>
      <c r="E43" s="11">
        <v>1E-3</v>
      </c>
      <c r="F43" s="10">
        <v>2594</v>
      </c>
      <c r="G43" s="11">
        <v>1E-3</v>
      </c>
      <c r="H43" s="11">
        <v>1.9E-2</v>
      </c>
      <c r="I43" s="10">
        <v>250000</v>
      </c>
      <c r="J43" s="12" t="s">
        <v>292</v>
      </c>
      <c r="K43" s="12">
        <v>50</v>
      </c>
      <c r="L43" s="12" t="s">
        <v>292</v>
      </c>
      <c r="M43" s="10">
        <v>1813781960</v>
      </c>
      <c r="N43" s="10">
        <v>223660</v>
      </c>
      <c r="O43" s="12">
        <v>59</v>
      </c>
    </row>
    <row r="44" spans="1:15" x14ac:dyDescent="0.3">
      <c r="A44" s="9">
        <v>43549</v>
      </c>
      <c r="B44" s="12">
        <v>10</v>
      </c>
      <c r="C44" s="11">
        <v>2E-3</v>
      </c>
      <c r="D44" s="12">
        <v>10</v>
      </c>
      <c r="E44" s="11">
        <v>1E-3</v>
      </c>
      <c r="F44" s="10">
        <v>2451</v>
      </c>
      <c r="G44" s="11">
        <v>1E-3</v>
      </c>
      <c r="H44" s="11">
        <v>0.02</v>
      </c>
      <c r="I44" s="10">
        <v>250000</v>
      </c>
      <c r="J44" s="12" t="s">
        <v>292</v>
      </c>
      <c r="K44" s="12">
        <v>50</v>
      </c>
      <c r="L44" s="12" t="s">
        <v>292</v>
      </c>
      <c r="M44" s="10">
        <v>1814031960</v>
      </c>
      <c r="N44" s="10">
        <v>223710</v>
      </c>
      <c r="O44" s="12">
        <v>53</v>
      </c>
    </row>
    <row r="45" spans="1:15" x14ac:dyDescent="0.3">
      <c r="A45" s="9">
        <v>43550</v>
      </c>
      <c r="B45" s="12">
        <v>10</v>
      </c>
      <c r="C45" s="11">
        <v>2E-3</v>
      </c>
      <c r="D45" s="12">
        <v>10</v>
      </c>
      <c r="E45" s="11">
        <v>1E-3</v>
      </c>
      <c r="F45" s="10">
        <v>2454</v>
      </c>
      <c r="G45" s="11">
        <v>1E-3</v>
      </c>
      <c r="H45" s="11">
        <v>0.02</v>
      </c>
      <c r="I45" s="10">
        <v>250000</v>
      </c>
      <c r="J45" s="12" t="s">
        <v>292</v>
      </c>
      <c r="K45" s="12">
        <v>50</v>
      </c>
      <c r="L45" s="12" t="s">
        <v>292</v>
      </c>
      <c r="M45" s="10">
        <v>1814281960</v>
      </c>
      <c r="N45" s="10">
        <v>223760</v>
      </c>
      <c r="O45" s="12">
        <v>58</v>
      </c>
    </row>
    <row r="46" spans="1:15" x14ac:dyDescent="0.3">
      <c r="A46" s="9">
        <v>43551</v>
      </c>
      <c r="B46" s="12">
        <v>10</v>
      </c>
      <c r="C46" s="11">
        <v>2E-3</v>
      </c>
      <c r="D46" s="12">
        <v>10</v>
      </c>
      <c r="E46" s="11">
        <v>1E-3</v>
      </c>
      <c r="F46" s="10">
        <v>2421</v>
      </c>
      <c r="G46" s="11">
        <v>1E-3</v>
      </c>
      <c r="H46" s="11">
        <v>2.1000000000000001E-2</v>
      </c>
      <c r="I46" s="10">
        <v>250000</v>
      </c>
      <c r="J46" s="12" t="s">
        <v>292</v>
      </c>
      <c r="K46" s="12">
        <v>50</v>
      </c>
      <c r="L46" s="12" t="s">
        <v>292</v>
      </c>
      <c r="M46" s="10">
        <v>1814531960</v>
      </c>
      <c r="N46" s="10">
        <v>223810</v>
      </c>
      <c r="O46" s="12">
        <v>71</v>
      </c>
    </row>
    <row r="47" spans="1:15" x14ac:dyDescent="0.3">
      <c r="A47" s="9">
        <v>43552</v>
      </c>
      <c r="B47" s="12">
        <v>10</v>
      </c>
      <c r="C47" s="11">
        <v>2E-3</v>
      </c>
      <c r="D47" s="12">
        <v>10</v>
      </c>
      <c r="E47" s="11">
        <v>1E-3</v>
      </c>
      <c r="F47" s="10">
        <v>2421</v>
      </c>
      <c r="G47" s="11">
        <v>1E-3</v>
      </c>
      <c r="H47" s="11">
        <v>2.1000000000000001E-2</v>
      </c>
      <c r="I47" s="10">
        <v>250000</v>
      </c>
      <c r="J47" s="12" t="s">
        <v>292</v>
      </c>
      <c r="K47" s="12">
        <v>50</v>
      </c>
      <c r="L47" s="12" t="s">
        <v>292</v>
      </c>
      <c r="M47" s="10">
        <v>1814781960</v>
      </c>
      <c r="N47" s="10">
        <v>223860</v>
      </c>
      <c r="O47" s="12">
        <v>68</v>
      </c>
    </row>
    <row r="48" spans="1:15" x14ac:dyDescent="0.3">
      <c r="A48" s="9">
        <v>43553</v>
      </c>
      <c r="B48" s="12">
        <v>10</v>
      </c>
      <c r="C48" s="11">
        <v>2E-3</v>
      </c>
      <c r="D48" s="12">
        <v>10</v>
      </c>
      <c r="E48" s="11">
        <v>1E-3</v>
      </c>
      <c r="F48" s="10">
        <v>2282</v>
      </c>
      <c r="G48" s="11">
        <v>1E-3</v>
      </c>
      <c r="H48" s="11">
        <v>2.1999999999999999E-2</v>
      </c>
      <c r="I48" s="10">
        <v>250000</v>
      </c>
      <c r="J48" s="12" t="s">
        <v>292</v>
      </c>
      <c r="K48" s="12">
        <v>50</v>
      </c>
      <c r="L48" s="12" t="s">
        <v>292</v>
      </c>
      <c r="M48" s="10">
        <v>1815031960</v>
      </c>
      <c r="N48" s="10">
        <v>223910</v>
      </c>
      <c r="O48" s="12">
        <v>60</v>
      </c>
    </row>
    <row r="49" spans="1:15" x14ac:dyDescent="0.3">
      <c r="A49" s="9">
        <v>43554</v>
      </c>
      <c r="B49" s="12">
        <v>10</v>
      </c>
      <c r="C49" s="11">
        <v>2E-3</v>
      </c>
      <c r="D49" s="12">
        <v>10</v>
      </c>
      <c r="E49" s="11">
        <v>1E-3</v>
      </c>
      <c r="F49" s="10">
        <v>2256</v>
      </c>
      <c r="G49" s="11">
        <v>1E-3</v>
      </c>
      <c r="H49" s="11">
        <v>2.1999999999999999E-2</v>
      </c>
      <c r="I49" s="10">
        <v>250000</v>
      </c>
      <c r="J49" s="12" t="s">
        <v>292</v>
      </c>
      <c r="K49" s="12">
        <v>50</v>
      </c>
      <c r="L49" s="12" t="s">
        <v>292</v>
      </c>
      <c r="M49" s="10">
        <v>1815281960</v>
      </c>
      <c r="N49" s="10">
        <v>223960</v>
      </c>
      <c r="O49" s="12">
        <v>65</v>
      </c>
    </row>
    <row r="50" spans="1:15" x14ac:dyDescent="0.3">
      <c r="A50" s="9">
        <v>43555</v>
      </c>
      <c r="B50" s="12">
        <v>10</v>
      </c>
      <c r="C50" s="11">
        <v>2E-3</v>
      </c>
      <c r="D50" s="12">
        <v>10</v>
      </c>
      <c r="E50" s="11">
        <v>1E-3</v>
      </c>
      <c r="F50" s="10">
        <v>2451</v>
      </c>
      <c r="G50" s="11">
        <v>1E-3</v>
      </c>
      <c r="H50" s="11">
        <v>0.02</v>
      </c>
      <c r="I50" s="10">
        <v>250000</v>
      </c>
      <c r="J50" s="12" t="s">
        <v>292</v>
      </c>
      <c r="K50" s="12">
        <v>50</v>
      </c>
      <c r="L50" s="12" t="s">
        <v>292</v>
      </c>
      <c r="M50" s="10">
        <v>1815531960</v>
      </c>
      <c r="N50" s="10">
        <v>224010</v>
      </c>
      <c r="O50" s="12">
        <v>59</v>
      </c>
    </row>
    <row r="51" spans="1:15" x14ac:dyDescent="0.3">
      <c r="A51" s="9">
        <v>43556</v>
      </c>
      <c r="B51" s="12">
        <v>10</v>
      </c>
      <c r="C51" s="11">
        <v>2E-3</v>
      </c>
      <c r="D51" s="12">
        <v>10</v>
      </c>
      <c r="E51" s="11">
        <v>1E-3</v>
      </c>
      <c r="F51" s="10">
        <v>2624</v>
      </c>
      <c r="G51" s="11">
        <v>1E-3</v>
      </c>
      <c r="H51" s="11">
        <v>1.9E-2</v>
      </c>
      <c r="I51" s="10">
        <v>250000</v>
      </c>
      <c r="J51" s="12" t="s">
        <v>292</v>
      </c>
      <c r="K51" s="12">
        <v>50</v>
      </c>
      <c r="L51" s="12" t="s">
        <v>292</v>
      </c>
      <c r="M51" s="10">
        <v>1815781960</v>
      </c>
      <c r="N51" s="10">
        <v>224060</v>
      </c>
      <c r="O51" s="12">
        <v>54</v>
      </c>
    </row>
    <row r="52" spans="1:15" x14ac:dyDescent="0.3">
      <c r="A52" s="9">
        <v>43557</v>
      </c>
      <c r="B52" s="12">
        <v>10</v>
      </c>
      <c r="C52" s="11">
        <v>2E-3</v>
      </c>
      <c r="D52" s="12">
        <v>10</v>
      </c>
      <c r="E52" s="11">
        <v>1E-3</v>
      </c>
      <c r="F52" s="10">
        <v>2451</v>
      </c>
      <c r="G52" s="11">
        <v>1E-3</v>
      </c>
      <c r="H52" s="11">
        <v>0.02</v>
      </c>
      <c r="I52" s="10">
        <v>250000</v>
      </c>
      <c r="J52" s="12" t="s">
        <v>292</v>
      </c>
      <c r="K52" s="12">
        <v>50</v>
      </c>
      <c r="L52" s="12" t="s">
        <v>292</v>
      </c>
      <c r="M52" s="10">
        <v>1816031960</v>
      </c>
      <c r="N52" s="10">
        <v>224110</v>
      </c>
      <c r="O52" s="12">
        <v>53</v>
      </c>
    </row>
    <row r="53" spans="1:15" x14ac:dyDescent="0.3">
      <c r="A53" s="9">
        <v>43558</v>
      </c>
      <c r="B53" s="12">
        <v>10</v>
      </c>
      <c r="C53" s="11">
        <v>2E-3</v>
      </c>
      <c r="D53" s="12">
        <v>10</v>
      </c>
      <c r="E53" s="11">
        <v>1E-3</v>
      </c>
      <c r="F53" s="10">
        <v>2458</v>
      </c>
      <c r="G53" s="11">
        <v>1E-3</v>
      </c>
      <c r="H53" s="11">
        <v>0.02</v>
      </c>
      <c r="I53" s="10">
        <v>250000</v>
      </c>
      <c r="J53" s="12" t="s">
        <v>292</v>
      </c>
      <c r="K53" s="12">
        <v>50</v>
      </c>
      <c r="L53" s="12" t="s">
        <v>292</v>
      </c>
      <c r="M53" s="10">
        <v>1816281960</v>
      </c>
      <c r="N53" s="10">
        <v>224160</v>
      </c>
      <c r="O53" s="12">
        <v>51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5567F-5D4D-4A3C-9E9E-4CF027A5926E}">
  <dimension ref="A1:O64"/>
  <sheetViews>
    <sheetView workbookViewId="0">
      <selection activeCell="A5" sqref="A5:O8"/>
    </sheetView>
  </sheetViews>
  <sheetFormatPr defaultRowHeight="16.5" x14ac:dyDescent="0.3"/>
  <sheetData>
    <row r="1" spans="1:15" ht="19.5" x14ac:dyDescent="0.3">
      <c r="A1" s="197" t="s">
        <v>3679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43516</v>
      </c>
      <c r="B5" s="12">
        <v>403</v>
      </c>
      <c r="C5" s="11">
        <v>6.5000000000000002E-2</v>
      </c>
      <c r="D5" s="12">
        <v>519</v>
      </c>
      <c r="E5" s="11">
        <v>2.8000000000000001E-2</v>
      </c>
      <c r="F5" s="10">
        <v>62767</v>
      </c>
      <c r="G5" s="11">
        <v>2.1999999999999999E-2</v>
      </c>
      <c r="H5" s="11">
        <v>0.22900000000000001</v>
      </c>
      <c r="I5" s="10">
        <v>98781860</v>
      </c>
      <c r="J5" s="12" t="s">
        <v>3680</v>
      </c>
      <c r="K5" s="10">
        <v>14382</v>
      </c>
      <c r="L5" s="12" t="s">
        <v>3681</v>
      </c>
      <c r="M5" s="10">
        <v>136668860</v>
      </c>
      <c r="N5" s="10">
        <v>18768</v>
      </c>
      <c r="O5" s="12">
        <v>7</v>
      </c>
    </row>
    <row r="6" spans="1:15" ht="27" x14ac:dyDescent="0.3">
      <c r="A6" s="9">
        <v>43517</v>
      </c>
      <c r="B6" s="12">
        <v>414</v>
      </c>
      <c r="C6" s="11">
        <v>6.5000000000000002E-2</v>
      </c>
      <c r="D6" s="12">
        <v>541</v>
      </c>
      <c r="E6" s="11">
        <v>2.9000000000000001E-2</v>
      </c>
      <c r="F6" s="10">
        <v>64710</v>
      </c>
      <c r="G6" s="11">
        <v>2.1999999999999999E-2</v>
      </c>
      <c r="H6" s="11">
        <v>0.23699999999999999</v>
      </c>
      <c r="I6" s="10">
        <v>104209770</v>
      </c>
      <c r="J6" s="12" t="s">
        <v>3682</v>
      </c>
      <c r="K6" s="10">
        <v>15342</v>
      </c>
      <c r="L6" s="12" t="s">
        <v>3683</v>
      </c>
      <c r="M6" s="10">
        <v>240878630</v>
      </c>
      <c r="N6" s="10">
        <v>34110</v>
      </c>
      <c r="O6" s="12">
        <v>4</v>
      </c>
    </row>
    <row r="7" spans="1:15" ht="27" x14ac:dyDescent="0.3">
      <c r="A7" s="9">
        <v>43518</v>
      </c>
      <c r="B7" s="12">
        <v>461</v>
      </c>
      <c r="C7" s="11">
        <v>7.0000000000000007E-2</v>
      </c>
      <c r="D7" s="12">
        <v>647</v>
      </c>
      <c r="E7" s="11">
        <v>3.4000000000000002E-2</v>
      </c>
      <c r="F7" s="10">
        <v>78552</v>
      </c>
      <c r="G7" s="11">
        <v>2.7E-2</v>
      </c>
      <c r="H7" s="11">
        <v>0.23499999999999999</v>
      </c>
      <c r="I7" s="10">
        <v>137621290</v>
      </c>
      <c r="J7" s="12" t="s">
        <v>3684</v>
      </c>
      <c r="K7" s="10">
        <v>18481</v>
      </c>
      <c r="L7" s="12" t="s">
        <v>3685</v>
      </c>
      <c r="M7" s="10">
        <v>378499920</v>
      </c>
      <c r="N7" s="10">
        <v>52591</v>
      </c>
      <c r="O7" s="12">
        <v>4</v>
      </c>
    </row>
    <row r="8" spans="1:15" ht="27" x14ac:dyDescent="0.3">
      <c r="A8" s="9">
        <v>43519</v>
      </c>
      <c r="B8" s="12">
        <v>568</v>
      </c>
      <c r="C8" s="11">
        <v>8.3000000000000004E-2</v>
      </c>
      <c r="D8" s="12">
        <v>986</v>
      </c>
      <c r="E8" s="11">
        <v>0.05</v>
      </c>
      <c r="F8" s="10">
        <v>122426</v>
      </c>
      <c r="G8" s="11">
        <v>0.04</v>
      </c>
      <c r="H8" s="11">
        <v>0.33300000000000002</v>
      </c>
      <c r="I8" s="10">
        <v>312750200</v>
      </c>
      <c r="J8" s="12" t="s">
        <v>3686</v>
      </c>
      <c r="K8" s="10">
        <v>40730</v>
      </c>
      <c r="L8" s="12" t="s">
        <v>3687</v>
      </c>
      <c r="M8" s="10">
        <v>691250120</v>
      </c>
      <c r="N8" s="10">
        <v>93321</v>
      </c>
      <c r="O8" s="12">
        <v>4</v>
      </c>
    </row>
    <row r="9" spans="1:15" ht="27" x14ac:dyDescent="0.3">
      <c r="A9" s="9">
        <v>43520</v>
      </c>
      <c r="B9" s="12">
        <v>575</v>
      </c>
      <c r="C9" s="11">
        <v>8.4000000000000005E-2</v>
      </c>
      <c r="D9" s="10">
        <v>1013</v>
      </c>
      <c r="E9" s="11">
        <v>5.2999999999999999E-2</v>
      </c>
      <c r="F9" s="10">
        <v>127321</v>
      </c>
      <c r="G9" s="11">
        <v>4.2999999999999997E-2</v>
      </c>
      <c r="H9" s="11">
        <v>0.313</v>
      </c>
      <c r="I9" s="10">
        <v>309084770</v>
      </c>
      <c r="J9" s="12" t="s">
        <v>3688</v>
      </c>
      <c r="K9" s="10">
        <v>39830</v>
      </c>
      <c r="L9" s="12" t="s">
        <v>3689</v>
      </c>
      <c r="M9" s="10">
        <v>1000334890</v>
      </c>
      <c r="N9" s="10">
        <v>133151</v>
      </c>
      <c r="O9" s="12">
        <v>4</v>
      </c>
    </row>
    <row r="10" spans="1:15" ht="40.5" x14ac:dyDescent="0.3">
      <c r="A10" s="9">
        <v>43521</v>
      </c>
      <c r="B10" s="12">
        <v>466</v>
      </c>
      <c r="C10" s="11">
        <v>7.3999999999999996E-2</v>
      </c>
      <c r="D10" s="12">
        <v>770</v>
      </c>
      <c r="E10" s="11">
        <v>4.2000000000000003E-2</v>
      </c>
      <c r="F10" s="10">
        <v>97514</v>
      </c>
      <c r="G10" s="11">
        <v>3.4000000000000002E-2</v>
      </c>
      <c r="H10" s="11">
        <v>0.19600000000000001</v>
      </c>
      <c r="I10" s="10">
        <v>131693920</v>
      </c>
      <c r="J10" s="12" t="s">
        <v>3690</v>
      </c>
      <c r="K10" s="10">
        <v>19068</v>
      </c>
      <c r="L10" s="12" t="s">
        <v>3691</v>
      </c>
      <c r="M10" s="10">
        <v>1132028810</v>
      </c>
      <c r="N10" s="10">
        <v>152219</v>
      </c>
      <c r="O10" s="12">
        <v>4</v>
      </c>
    </row>
    <row r="11" spans="1:15" ht="27" x14ac:dyDescent="0.3">
      <c r="A11" s="9">
        <v>43522</v>
      </c>
      <c r="B11" s="12">
        <v>470</v>
      </c>
      <c r="C11" s="11">
        <v>7.2999999999999995E-2</v>
      </c>
      <c r="D11" s="12">
        <v>789</v>
      </c>
      <c r="E11" s="11">
        <v>4.2999999999999997E-2</v>
      </c>
      <c r="F11" s="10">
        <v>99692</v>
      </c>
      <c r="G11" s="11">
        <v>3.5000000000000003E-2</v>
      </c>
      <c r="H11" s="11">
        <v>0.22</v>
      </c>
      <c r="I11" s="10">
        <v>149729640</v>
      </c>
      <c r="J11" s="12" t="s">
        <v>3692</v>
      </c>
      <c r="K11" s="10">
        <v>21893</v>
      </c>
      <c r="L11" s="12" t="s">
        <v>3693</v>
      </c>
      <c r="M11" s="10">
        <v>1281758450</v>
      </c>
      <c r="N11" s="10">
        <v>174112</v>
      </c>
      <c r="O11" s="12">
        <v>4</v>
      </c>
    </row>
    <row r="12" spans="1:15" ht="27" x14ac:dyDescent="0.3">
      <c r="A12" s="9">
        <v>43523</v>
      </c>
      <c r="B12" s="12">
        <v>334</v>
      </c>
      <c r="C12" s="11">
        <v>0.05</v>
      </c>
      <c r="D12" s="12">
        <v>464</v>
      </c>
      <c r="E12" s="11">
        <v>2.4E-2</v>
      </c>
      <c r="F12" s="10">
        <v>57516</v>
      </c>
      <c r="G12" s="11">
        <v>1.9E-2</v>
      </c>
      <c r="H12" s="11">
        <v>0.28100000000000003</v>
      </c>
      <c r="I12" s="10">
        <v>110071080</v>
      </c>
      <c r="J12" s="12" t="s">
        <v>3694</v>
      </c>
      <c r="K12" s="10">
        <v>16135</v>
      </c>
      <c r="L12" s="12" t="s">
        <v>3695</v>
      </c>
      <c r="M12" s="10">
        <v>1391829530</v>
      </c>
      <c r="N12" s="10">
        <v>190247</v>
      </c>
      <c r="O12" s="12">
        <v>7</v>
      </c>
    </row>
    <row r="13" spans="1:15" ht="27" x14ac:dyDescent="0.3">
      <c r="A13" s="9">
        <v>43524</v>
      </c>
      <c r="B13" s="12">
        <v>352</v>
      </c>
      <c r="C13" s="11">
        <v>5.2999999999999999E-2</v>
      </c>
      <c r="D13" s="12">
        <v>507</v>
      </c>
      <c r="E13" s="11">
        <v>2.5999999999999999E-2</v>
      </c>
      <c r="F13" s="10">
        <v>63465</v>
      </c>
      <c r="G13" s="11">
        <v>2.1000000000000001E-2</v>
      </c>
      <c r="H13" s="11">
        <v>0.25900000000000001</v>
      </c>
      <c r="I13" s="10">
        <v>113497980</v>
      </c>
      <c r="J13" s="12" t="s">
        <v>3696</v>
      </c>
      <c r="K13" s="10">
        <v>16434</v>
      </c>
      <c r="L13" s="12" t="s">
        <v>3697</v>
      </c>
      <c r="M13" s="10">
        <v>1505327510</v>
      </c>
      <c r="N13" s="10">
        <v>206681</v>
      </c>
      <c r="O13" s="12">
        <v>6</v>
      </c>
    </row>
    <row r="14" spans="1:15" ht="27" x14ac:dyDescent="0.3">
      <c r="A14" s="9">
        <v>43525</v>
      </c>
      <c r="B14" s="12">
        <v>449</v>
      </c>
      <c r="C14" s="11">
        <v>6.0999999999999999E-2</v>
      </c>
      <c r="D14" s="12">
        <v>717</v>
      </c>
      <c r="E14" s="11">
        <v>3.5000000000000003E-2</v>
      </c>
      <c r="F14" s="10">
        <v>89694</v>
      </c>
      <c r="G14" s="11">
        <v>2.8000000000000001E-2</v>
      </c>
      <c r="H14" s="11">
        <v>0.29899999999999999</v>
      </c>
      <c r="I14" s="10">
        <v>208996810</v>
      </c>
      <c r="J14" s="12" t="s">
        <v>3698</v>
      </c>
      <c r="K14" s="10">
        <v>26834</v>
      </c>
      <c r="L14" s="12" t="s">
        <v>3699</v>
      </c>
      <c r="M14" s="10">
        <v>1714324320</v>
      </c>
      <c r="N14" s="10">
        <v>233515</v>
      </c>
      <c r="O14" s="12">
        <v>6</v>
      </c>
    </row>
    <row r="15" spans="1:15" ht="27" x14ac:dyDescent="0.3">
      <c r="A15" s="9">
        <v>43526</v>
      </c>
      <c r="B15" s="12">
        <v>443</v>
      </c>
      <c r="C15" s="11">
        <v>0.06</v>
      </c>
      <c r="D15" s="12">
        <v>726</v>
      </c>
      <c r="E15" s="11">
        <v>3.5999999999999997E-2</v>
      </c>
      <c r="F15" s="10">
        <v>92306</v>
      </c>
      <c r="G15" s="11">
        <v>2.9000000000000001E-2</v>
      </c>
      <c r="H15" s="11">
        <v>0.20300000000000001</v>
      </c>
      <c r="I15" s="10">
        <v>146316990</v>
      </c>
      <c r="J15" s="12" t="s">
        <v>3700</v>
      </c>
      <c r="K15" s="10">
        <v>18739</v>
      </c>
      <c r="L15" s="12" t="s">
        <v>3701</v>
      </c>
      <c r="M15" s="10">
        <v>1860641310</v>
      </c>
      <c r="N15" s="10">
        <v>252254</v>
      </c>
      <c r="O15" s="12">
        <v>6</v>
      </c>
    </row>
    <row r="16" spans="1:15" ht="27" x14ac:dyDescent="0.3">
      <c r="A16" s="9">
        <v>43527</v>
      </c>
      <c r="B16" s="12">
        <v>441</v>
      </c>
      <c r="C16" s="11">
        <v>6.0999999999999999E-2</v>
      </c>
      <c r="D16" s="12">
        <v>697</v>
      </c>
      <c r="E16" s="11">
        <v>3.5999999999999997E-2</v>
      </c>
      <c r="F16" s="10">
        <v>87861</v>
      </c>
      <c r="G16" s="11">
        <v>2.9000000000000001E-2</v>
      </c>
      <c r="H16" s="11">
        <v>0.17100000000000001</v>
      </c>
      <c r="I16" s="10">
        <v>118815830</v>
      </c>
      <c r="J16" s="12" t="s">
        <v>3702</v>
      </c>
      <c r="K16" s="10">
        <v>15065</v>
      </c>
      <c r="L16" s="12" t="s">
        <v>3703</v>
      </c>
      <c r="M16" s="10">
        <v>1979457140</v>
      </c>
      <c r="N16" s="10">
        <v>267319</v>
      </c>
      <c r="O16" s="12">
        <v>6</v>
      </c>
    </row>
    <row r="17" spans="1:15" ht="27" x14ac:dyDescent="0.3">
      <c r="A17" s="9">
        <v>43528</v>
      </c>
      <c r="B17" s="12">
        <v>260</v>
      </c>
      <c r="C17" s="11">
        <v>4.3999999999999997E-2</v>
      </c>
      <c r="D17" s="12">
        <v>347</v>
      </c>
      <c r="E17" s="11">
        <v>0.02</v>
      </c>
      <c r="F17" s="10">
        <v>45629</v>
      </c>
      <c r="G17" s="11">
        <v>1.7000000000000001E-2</v>
      </c>
      <c r="H17" s="11">
        <v>6.3E-2</v>
      </c>
      <c r="I17" s="10">
        <v>21022600</v>
      </c>
      <c r="J17" s="12" t="s">
        <v>3704</v>
      </c>
      <c r="K17" s="10">
        <v>2895</v>
      </c>
      <c r="L17" s="12" t="s">
        <v>3705</v>
      </c>
      <c r="M17" s="10">
        <v>2000479740</v>
      </c>
      <c r="N17" s="10">
        <v>270214</v>
      </c>
      <c r="O17" s="12">
        <v>8</v>
      </c>
    </row>
    <row r="18" spans="1:15" ht="27" x14ac:dyDescent="0.3">
      <c r="A18" s="9">
        <v>43529</v>
      </c>
      <c r="B18" s="12">
        <v>209</v>
      </c>
      <c r="C18" s="11">
        <v>3.5999999999999997E-2</v>
      </c>
      <c r="D18" s="12">
        <v>259</v>
      </c>
      <c r="E18" s="11">
        <v>1.4999999999999999E-2</v>
      </c>
      <c r="F18" s="10">
        <v>34782</v>
      </c>
      <c r="G18" s="11">
        <v>1.2999999999999999E-2</v>
      </c>
      <c r="H18" s="11">
        <v>3.5000000000000003E-2</v>
      </c>
      <c r="I18" s="10">
        <v>8755980</v>
      </c>
      <c r="J18" s="12" t="s">
        <v>3706</v>
      </c>
      <c r="K18" s="10">
        <v>1219</v>
      </c>
      <c r="L18" s="12" t="s">
        <v>3707</v>
      </c>
      <c r="M18" s="10">
        <v>2009235720</v>
      </c>
      <c r="N18" s="10">
        <v>271433</v>
      </c>
      <c r="O18" s="12">
        <v>14</v>
      </c>
    </row>
    <row r="19" spans="1:15" ht="27" x14ac:dyDescent="0.3">
      <c r="A19" s="9">
        <v>43530</v>
      </c>
      <c r="B19" s="12">
        <v>64</v>
      </c>
      <c r="C19" s="11">
        <v>1.2999999999999999E-2</v>
      </c>
      <c r="D19" s="12">
        <v>77</v>
      </c>
      <c r="E19" s="11">
        <v>4.0000000000000001E-3</v>
      </c>
      <c r="F19" s="10">
        <v>7987</v>
      </c>
      <c r="G19" s="11">
        <v>3.0000000000000001E-3</v>
      </c>
      <c r="H19" s="11">
        <v>4.1000000000000002E-2</v>
      </c>
      <c r="I19" s="10">
        <v>2439000</v>
      </c>
      <c r="J19" s="12" t="s">
        <v>3708</v>
      </c>
      <c r="K19" s="12">
        <v>330</v>
      </c>
      <c r="L19" s="12" t="s">
        <v>3709</v>
      </c>
      <c r="M19" s="10">
        <v>2011674720</v>
      </c>
      <c r="N19" s="10">
        <v>271763</v>
      </c>
      <c r="O19" s="12">
        <v>16</v>
      </c>
    </row>
    <row r="20" spans="1:15" ht="27" x14ac:dyDescent="0.3">
      <c r="A20" s="9">
        <v>43531</v>
      </c>
      <c r="B20" s="12">
        <v>44</v>
      </c>
      <c r="C20" s="11">
        <v>8.0000000000000002E-3</v>
      </c>
      <c r="D20" s="12">
        <v>48</v>
      </c>
      <c r="E20" s="11">
        <v>3.0000000000000001E-3</v>
      </c>
      <c r="F20" s="10">
        <v>4968</v>
      </c>
      <c r="G20" s="11">
        <v>2E-3</v>
      </c>
      <c r="H20" s="11">
        <v>0.04</v>
      </c>
      <c r="I20" s="10">
        <v>1449000</v>
      </c>
      <c r="J20" s="12" t="s">
        <v>3710</v>
      </c>
      <c r="K20" s="12">
        <v>199</v>
      </c>
      <c r="L20" s="12" t="s">
        <v>3711</v>
      </c>
      <c r="M20" s="10">
        <v>2013123720</v>
      </c>
      <c r="N20" s="10">
        <v>271962</v>
      </c>
      <c r="O20" s="12">
        <v>29</v>
      </c>
    </row>
    <row r="21" spans="1:15" ht="27" x14ac:dyDescent="0.3">
      <c r="A21" s="9">
        <v>43532</v>
      </c>
      <c r="B21" s="12">
        <v>47</v>
      </c>
      <c r="C21" s="11">
        <v>8.9999999999999993E-3</v>
      </c>
      <c r="D21" s="12">
        <v>55</v>
      </c>
      <c r="E21" s="11">
        <v>3.0000000000000001E-3</v>
      </c>
      <c r="F21" s="10">
        <v>5485</v>
      </c>
      <c r="G21" s="11">
        <v>2E-3</v>
      </c>
      <c r="H21" s="11">
        <v>3.9E-2</v>
      </c>
      <c r="I21" s="10">
        <v>1767800</v>
      </c>
      <c r="J21" s="12" t="s">
        <v>3712</v>
      </c>
      <c r="K21" s="12">
        <v>215</v>
      </c>
      <c r="L21" s="12" t="s">
        <v>3713</v>
      </c>
      <c r="M21" s="10">
        <v>2014891520</v>
      </c>
      <c r="N21" s="10">
        <v>272177</v>
      </c>
      <c r="O21" s="12">
        <v>24</v>
      </c>
    </row>
    <row r="22" spans="1:15" ht="27" x14ac:dyDescent="0.3">
      <c r="A22" s="9">
        <v>43533</v>
      </c>
      <c r="B22" s="12">
        <v>173</v>
      </c>
      <c r="C22" s="11">
        <v>0.03</v>
      </c>
      <c r="D22" s="12">
        <v>202</v>
      </c>
      <c r="E22" s="11">
        <v>0.01</v>
      </c>
      <c r="F22" s="10">
        <v>24036</v>
      </c>
      <c r="G22" s="11">
        <v>8.0000000000000002E-3</v>
      </c>
      <c r="H22" s="11">
        <v>0.17799999999999999</v>
      </c>
      <c r="I22" s="10">
        <v>33361300</v>
      </c>
      <c r="J22" s="12" t="s">
        <v>3714</v>
      </c>
      <c r="K22" s="10">
        <v>4275</v>
      </c>
      <c r="L22" s="12" t="s">
        <v>3715</v>
      </c>
      <c r="M22" s="10">
        <v>2048252820</v>
      </c>
      <c r="N22" s="10">
        <v>276452</v>
      </c>
      <c r="O22" s="12">
        <v>9</v>
      </c>
    </row>
    <row r="23" spans="1:15" ht="27" x14ac:dyDescent="0.3">
      <c r="A23" s="9">
        <v>43534</v>
      </c>
      <c r="B23" s="12">
        <v>169</v>
      </c>
      <c r="C23" s="11">
        <v>2.9000000000000001E-2</v>
      </c>
      <c r="D23" s="12">
        <v>198</v>
      </c>
      <c r="E23" s="11">
        <v>0.01</v>
      </c>
      <c r="F23" s="10">
        <v>23567</v>
      </c>
      <c r="G23" s="11">
        <v>8.0000000000000002E-3</v>
      </c>
      <c r="H23" s="11">
        <v>0.223</v>
      </c>
      <c r="I23" s="10">
        <v>42297810</v>
      </c>
      <c r="J23" s="12" t="s">
        <v>3716</v>
      </c>
      <c r="K23" s="10">
        <v>5253</v>
      </c>
      <c r="L23" s="12" t="s">
        <v>3717</v>
      </c>
      <c r="M23" s="10">
        <v>2090550630</v>
      </c>
      <c r="N23" s="10">
        <v>281705</v>
      </c>
      <c r="O23" s="12">
        <v>8</v>
      </c>
    </row>
    <row r="24" spans="1:15" ht="27" x14ac:dyDescent="0.3">
      <c r="A24" s="9">
        <v>43535</v>
      </c>
      <c r="B24" s="12">
        <v>46</v>
      </c>
      <c r="C24" s="11">
        <v>8.9999999999999993E-3</v>
      </c>
      <c r="D24" s="12">
        <v>51</v>
      </c>
      <c r="E24" s="11">
        <v>3.0000000000000001E-3</v>
      </c>
      <c r="F24" s="10">
        <v>5806</v>
      </c>
      <c r="G24" s="11">
        <v>2E-3</v>
      </c>
      <c r="H24" s="11">
        <v>0.03</v>
      </c>
      <c r="I24" s="10">
        <v>1300600</v>
      </c>
      <c r="J24" s="12" t="s">
        <v>3718</v>
      </c>
      <c r="K24" s="12">
        <v>175</v>
      </c>
      <c r="L24" s="12" t="s">
        <v>3719</v>
      </c>
      <c r="M24" s="10">
        <v>2091851230</v>
      </c>
      <c r="N24" s="10">
        <v>281880</v>
      </c>
      <c r="O24" s="12">
        <v>22</v>
      </c>
    </row>
    <row r="25" spans="1:15" ht="27" x14ac:dyDescent="0.3">
      <c r="A25" s="9">
        <v>43536</v>
      </c>
      <c r="B25" s="12">
        <v>47</v>
      </c>
      <c r="C25" s="11">
        <v>8.9999999999999993E-3</v>
      </c>
      <c r="D25" s="12">
        <v>50</v>
      </c>
      <c r="E25" s="11">
        <v>3.0000000000000001E-3</v>
      </c>
      <c r="F25" s="10">
        <v>5988</v>
      </c>
      <c r="G25" s="11">
        <v>2E-3</v>
      </c>
      <c r="H25" s="11">
        <v>2.7E-2</v>
      </c>
      <c r="I25" s="10">
        <v>1173000</v>
      </c>
      <c r="J25" s="12" t="s">
        <v>3720</v>
      </c>
      <c r="K25" s="12">
        <v>164</v>
      </c>
      <c r="L25" s="12" t="s">
        <v>3721</v>
      </c>
      <c r="M25" s="10">
        <v>2093024230</v>
      </c>
      <c r="N25" s="10">
        <v>282044</v>
      </c>
      <c r="O25" s="12">
        <v>27</v>
      </c>
    </row>
    <row r="26" spans="1:15" ht="27" x14ac:dyDescent="0.3">
      <c r="A26" s="9">
        <v>43537</v>
      </c>
      <c r="B26" s="12">
        <v>39</v>
      </c>
      <c r="C26" s="11">
        <v>7.0000000000000001E-3</v>
      </c>
      <c r="D26" s="12">
        <v>43</v>
      </c>
      <c r="E26" s="11">
        <v>3.0000000000000001E-3</v>
      </c>
      <c r="F26" s="10">
        <v>4783</v>
      </c>
      <c r="G26" s="11">
        <v>2E-3</v>
      </c>
      <c r="H26" s="11">
        <v>2.8000000000000001E-2</v>
      </c>
      <c r="I26" s="10">
        <v>995800</v>
      </c>
      <c r="J26" s="12" t="s">
        <v>3722</v>
      </c>
      <c r="K26" s="12">
        <v>132</v>
      </c>
      <c r="L26" s="12" t="s">
        <v>3723</v>
      </c>
      <c r="M26" s="10">
        <v>2094020030</v>
      </c>
      <c r="N26" s="10">
        <v>282176</v>
      </c>
      <c r="O26" s="12">
        <v>32</v>
      </c>
    </row>
    <row r="27" spans="1:15" ht="27" x14ac:dyDescent="0.3">
      <c r="A27" s="9">
        <v>43538</v>
      </c>
      <c r="B27" s="12">
        <v>8</v>
      </c>
      <c r="C27" s="11">
        <v>1E-3</v>
      </c>
      <c r="D27" s="12">
        <v>9</v>
      </c>
      <c r="E27" s="11">
        <v>1E-3</v>
      </c>
      <c r="F27" s="12">
        <v>761</v>
      </c>
      <c r="G27" s="11">
        <v>0</v>
      </c>
      <c r="H27" s="11">
        <v>3.5000000000000003E-2</v>
      </c>
      <c r="I27" s="10">
        <v>198000</v>
      </c>
      <c r="J27" s="12" t="s">
        <v>3724</v>
      </c>
      <c r="K27" s="12">
        <v>27</v>
      </c>
      <c r="L27" s="12" t="s">
        <v>3725</v>
      </c>
      <c r="M27" s="10">
        <v>2094218030</v>
      </c>
      <c r="N27" s="10">
        <v>282203</v>
      </c>
      <c r="O27" s="12">
        <v>57</v>
      </c>
    </row>
    <row r="28" spans="1:15" ht="27" x14ac:dyDescent="0.3">
      <c r="A28" s="9">
        <v>43539</v>
      </c>
      <c r="B28" s="12">
        <v>8</v>
      </c>
      <c r="C28" s="11">
        <v>1E-3</v>
      </c>
      <c r="D28" s="12">
        <v>10</v>
      </c>
      <c r="E28" s="11">
        <v>1E-3</v>
      </c>
      <c r="F28" s="12">
        <v>805</v>
      </c>
      <c r="G28" s="11">
        <v>0</v>
      </c>
      <c r="H28" s="11">
        <v>7.6999999999999999E-2</v>
      </c>
      <c r="I28" s="10">
        <v>418000</v>
      </c>
      <c r="J28" s="12" t="s">
        <v>3726</v>
      </c>
      <c r="K28" s="12">
        <v>62</v>
      </c>
      <c r="L28" s="12" t="s">
        <v>3727</v>
      </c>
      <c r="M28" s="10">
        <v>2094636030</v>
      </c>
      <c r="N28" s="10">
        <v>282265</v>
      </c>
      <c r="O28" s="12">
        <v>43</v>
      </c>
    </row>
    <row r="29" spans="1:15" ht="27" x14ac:dyDescent="0.3">
      <c r="A29" s="9">
        <v>43540</v>
      </c>
      <c r="B29" s="12">
        <v>39</v>
      </c>
      <c r="C29" s="11">
        <v>6.0000000000000001E-3</v>
      </c>
      <c r="D29" s="12">
        <v>47</v>
      </c>
      <c r="E29" s="11">
        <v>2E-3</v>
      </c>
      <c r="F29" s="10">
        <v>5532</v>
      </c>
      <c r="G29" s="11">
        <v>2E-3</v>
      </c>
      <c r="H29" s="11">
        <v>0.16500000000000001</v>
      </c>
      <c r="I29" s="10">
        <v>7088850</v>
      </c>
      <c r="J29" s="12" t="s">
        <v>3728</v>
      </c>
      <c r="K29" s="12">
        <v>913</v>
      </c>
      <c r="L29" s="12" t="s">
        <v>3729</v>
      </c>
      <c r="M29" s="10">
        <v>2101724880</v>
      </c>
      <c r="N29" s="10">
        <v>283178</v>
      </c>
      <c r="O29" s="12">
        <v>18</v>
      </c>
    </row>
    <row r="30" spans="1:15" ht="27" x14ac:dyDescent="0.3">
      <c r="A30" s="9">
        <v>43541</v>
      </c>
      <c r="B30" s="12">
        <v>39</v>
      </c>
      <c r="C30" s="11">
        <v>6.0000000000000001E-3</v>
      </c>
      <c r="D30" s="12">
        <v>44</v>
      </c>
      <c r="E30" s="11">
        <v>2E-3</v>
      </c>
      <c r="F30" s="10">
        <v>5097</v>
      </c>
      <c r="G30" s="11">
        <v>2E-3</v>
      </c>
      <c r="H30" s="11">
        <v>0.14099999999999999</v>
      </c>
      <c r="I30" s="10">
        <v>5697080</v>
      </c>
      <c r="J30" s="12" t="s">
        <v>3730</v>
      </c>
      <c r="K30" s="12">
        <v>717</v>
      </c>
      <c r="L30" s="12" t="s">
        <v>3731</v>
      </c>
      <c r="M30" s="10">
        <v>2107421960</v>
      </c>
      <c r="N30" s="10">
        <v>283895</v>
      </c>
      <c r="O30" s="12">
        <v>19</v>
      </c>
    </row>
    <row r="31" spans="1:15" ht="27" x14ac:dyDescent="0.3">
      <c r="A31" s="9">
        <v>43542</v>
      </c>
      <c r="B31" s="12">
        <v>11</v>
      </c>
      <c r="C31" s="11">
        <v>2E-3</v>
      </c>
      <c r="D31" s="12">
        <v>12</v>
      </c>
      <c r="E31" s="11">
        <v>1E-3</v>
      </c>
      <c r="F31" s="12">
        <v>814</v>
      </c>
      <c r="G31" s="11">
        <v>0</v>
      </c>
      <c r="H31" s="11">
        <v>3.2000000000000001E-2</v>
      </c>
      <c r="I31" s="10">
        <v>189500</v>
      </c>
      <c r="J31" s="12" t="s">
        <v>3732</v>
      </c>
      <c r="K31" s="12">
        <v>26</v>
      </c>
      <c r="L31" s="12" t="s">
        <v>3733</v>
      </c>
      <c r="M31" s="10">
        <v>2107611460</v>
      </c>
      <c r="N31" s="10">
        <v>283921</v>
      </c>
      <c r="O31" s="12">
        <v>54</v>
      </c>
    </row>
    <row r="32" spans="1:15" ht="27" x14ac:dyDescent="0.3">
      <c r="A32" s="9">
        <v>43543</v>
      </c>
      <c r="B32" s="12">
        <v>7</v>
      </c>
      <c r="C32" s="11">
        <v>1E-3</v>
      </c>
      <c r="D32" s="12">
        <v>7</v>
      </c>
      <c r="E32" s="11">
        <v>0</v>
      </c>
      <c r="F32" s="12">
        <v>649</v>
      </c>
      <c r="G32" s="11">
        <v>0</v>
      </c>
      <c r="H32" s="11">
        <v>2.5999999999999999E-2</v>
      </c>
      <c r="I32" s="10">
        <v>123000</v>
      </c>
      <c r="J32" s="12" t="s">
        <v>3734</v>
      </c>
      <c r="K32" s="12">
        <v>17</v>
      </c>
      <c r="L32" s="12" t="s">
        <v>3735</v>
      </c>
      <c r="M32" s="10">
        <v>2107734460</v>
      </c>
      <c r="N32" s="10">
        <v>283938</v>
      </c>
      <c r="O32" s="12">
        <v>68</v>
      </c>
    </row>
    <row r="33" spans="1:15" ht="27" x14ac:dyDescent="0.3">
      <c r="A33" s="9">
        <v>43544</v>
      </c>
      <c r="B33" s="12">
        <v>2</v>
      </c>
      <c r="C33" s="11">
        <v>0</v>
      </c>
      <c r="D33" s="12">
        <v>2</v>
      </c>
      <c r="E33" s="11">
        <v>0</v>
      </c>
      <c r="F33" s="12">
        <v>238</v>
      </c>
      <c r="G33" s="11">
        <v>0</v>
      </c>
      <c r="H33" s="11">
        <v>3.7999999999999999E-2</v>
      </c>
      <c r="I33" s="10">
        <v>56500</v>
      </c>
      <c r="J33" s="12" t="s">
        <v>3736</v>
      </c>
      <c r="K33" s="12">
        <v>9</v>
      </c>
      <c r="L33" s="12" t="s">
        <v>3737</v>
      </c>
      <c r="M33" s="10">
        <v>2107790960</v>
      </c>
      <c r="N33" s="10">
        <v>283947</v>
      </c>
      <c r="O33" s="12">
        <v>71</v>
      </c>
    </row>
    <row r="34" spans="1:15" ht="27" x14ac:dyDescent="0.3">
      <c r="A34" s="9">
        <v>43545</v>
      </c>
      <c r="B34" s="12">
        <v>2</v>
      </c>
      <c r="C34" s="11">
        <v>0</v>
      </c>
      <c r="D34" s="12">
        <v>2</v>
      </c>
      <c r="E34" s="11">
        <v>0</v>
      </c>
      <c r="F34" s="12">
        <v>67</v>
      </c>
      <c r="G34" s="11">
        <v>0</v>
      </c>
      <c r="H34" s="11">
        <v>0.13400000000000001</v>
      </c>
      <c r="I34" s="10">
        <v>46000</v>
      </c>
      <c r="J34" s="12" t="s">
        <v>3738</v>
      </c>
      <c r="K34" s="12">
        <v>9</v>
      </c>
      <c r="L34" s="12" t="s">
        <v>292</v>
      </c>
      <c r="M34" s="10">
        <v>2107836960</v>
      </c>
      <c r="N34" s="10">
        <v>283956</v>
      </c>
      <c r="O34" s="12">
        <v>77</v>
      </c>
    </row>
    <row r="35" spans="1:15" ht="27" x14ac:dyDescent="0.3">
      <c r="A35" s="9">
        <v>43546</v>
      </c>
      <c r="B35" s="12">
        <v>4</v>
      </c>
      <c r="C35" s="11">
        <v>1E-3</v>
      </c>
      <c r="D35" s="12">
        <v>5</v>
      </c>
      <c r="E35" s="11">
        <v>0</v>
      </c>
      <c r="F35" s="12">
        <v>240</v>
      </c>
      <c r="G35" s="11">
        <v>0</v>
      </c>
      <c r="H35" s="11">
        <v>0.16700000000000001</v>
      </c>
      <c r="I35" s="10">
        <v>287000</v>
      </c>
      <c r="J35" s="12" t="s">
        <v>3739</v>
      </c>
      <c r="K35" s="12">
        <v>40</v>
      </c>
      <c r="L35" s="12" t="s">
        <v>3740</v>
      </c>
      <c r="M35" s="10">
        <v>2108123960</v>
      </c>
      <c r="N35" s="10">
        <v>283996</v>
      </c>
      <c r="O35" s="12">
        <v>61</v>
      </c>
    </row>
    <row r="36" spans="1:15" ht="27" x14ac:dyDescent="0.3">
      <c r="A36" s="9">
        <v>43547</v>
      </c>
      <c r="B36" s="12">
        <v>8</v>
      </c>
      <c r="C36" s="11">
        <v>1E-3</v>
      </c>
      <c r="D36" s="12">
        <v>11</v>
      </c>
      <c r="E36" s="11">
        <v>1E-3</v>
      </c>
      <c r="F36" s="12">
        <v>898</v>
      </c>
      <c r="G36" s="11">
        <v>0</v>
      </c>
      <c r="H36" s="11">
        <v>0.186</v>
      </c>
      <c r="I36" s="10">
        <v>1300300</v>
      </c>
      <c r="J36" s="12" t="s">
        <v>3741</v>
      </c>
      <c r="K36" s="12">
        <v>167</v>
      </c>
      <c r="L36" s="12" t="s">
        <v>3742</v>
      </c>
      <c r="M36" s="10">
        <v>2109424260</v>
      </c>
      <c r="N36" s="10">
        <v>284163</v>
      </c>
      <c r="O36" s="12">
        <v>34</v>
      </c>
    </row>
    <row r="37" spans="1:15" ht="27" x14ac:dyDescent="0.3">
      <c r="A37" s="9">
        <v>43548</v>
      </c>
      <c r="B37" s="12">
        <v>9</v>
      </c>
      <c r="C37" s="11">
        <v>2E-3</v>
      </c>
      <c r="D37" s="12">
        <v>11</v>
      </c>
      <c r="E37" s="11">
        <v>1E-3</v>
      </c>
      <c r="F37" s="10">
        <v>1186</v>
      </c>
      <c r="G37" s="11">
        <v>0</v>
      </c>
      <c r="H37" s="11">
        <v>0.153</v>
      </c>
      <c r="I37" s="10">
        <v>1411700</v>
      </c>
      <c r="J37" s="12" t="s">
        <v>3743</v>
      </c>
      <c r="K37" s="12">
        <v>181</v>
      </c>
      <c r="L37" s="12" t="s">
        <v>3744</v>
      </c>
      <c r="M37" s="10">
        <v>2110835960</v>
      </c>
      <c r="N37" s="10">
        <v>284344</v>
      </c>
      <c r="O37" s="12">
        <v>33</v>
      </c>
    </row>
    <row r="38" spans="1:15" ht="27" x14ac:dyDescent="0.3">
      <c r="A38" s="9">
        <v>43549</v>
      </c>
      <c r="B38" s="12">
        <v>3</v>
      </c>
      <c r="C38" s="11">
        <v>1E-3</v>
      </c>
      <c r="D38" s="12">
        <v>3</v>
      </c>
      <c r="E38" s="11">
        <v>0</v>
      </c>
      <c r="F38" s="12">
        <v>160</v>
      </c>
      <c r="G38" s="11">
        <v>0</v>
      </c>
      <c r="H38" s="11">
        <v>6.9000000000000006E-2</v>
      </c>
      <c r="I38" s="10">
        <v>75000</v>
      </c>
      <c r="J38" s="12" t="s">
        <v>3745</v>
      </c>
      <c r="K38" s="12">
        <v>11</v>
      </c>
      <c r="L38" s="12" t="s">
        <v>3746</v>
      </c>
      <c r="M38" s="10">
        <v>2110910960</v>
      </c>
      <c r="N38" s="10">
        <v>284355</v>
      </c>
      <c r="O38" s="12">
        <v>77</v>
      </c>
    </row>
    <row r="39" spans="1:15" ht="27" x14ac:dyDescent="0.3">
      <c r="A39" s="9">
        <v>43550</v>
      </c>
      <c r="B39" s="12">
        <v>3</v>
      </c>
      <c r="C39" s="11">
        <v>1E-3</v>
      </c>
      <c r="D39" s="12">
        <v>4</v>
      </c>
      <c r="E39" s="11">
        <v>0</v>
      </c>
      <c r="F39" s="12">
        <v>207</v>
      </c>
      <c r="G39" s="11">
        <v>0</v>
      </c>
      <c r="H39" s="11">
        <v>3.4000000000000002E-2</v>
      </c>
      <c r="I39" s="10">
        <v>48000</v>
      </c>
      <c r="J39" s="12" t="s">
        <v>3747</v>
      </c>
      <c r="K39" s="12">
        <v>7</v>
      </c>
      <c r="L39" s="12" t="s">
        <v>3748</v>
      </c>
      <c r="M39" s="10">
        <v>2110958960</v>
      </c>
      <c r="N39" s="10">
        <v>284362</v>
      </c>
      <c r="O39" s="12">
        <v>90</v>
      </c>
    </row>
    <row r="40" spans="1:15" ht="27" x14ac:dyDescent="0.3">
      <c r="A40" s="9">
        <v>43551</v>
      </c>
      <c r="B40" s="12">
        <v>3</v>
      </c>
      <c r="C40" s="11">
        <v>0</v>
      </c>
      <c r="D40" s="12">
        <v>5</v>
      </c>
      <c r="E40" s="11">
        <v>0</v>
      </c>
      <c r="F40" s="12">
        <v>227</v>
      </c>
      <c r="G40" s="11">
        <v>0</v>
      </c>
      <c r="H40" s="11">
        <v>5.2999999999999999E-2</v>
      </c>
      <c r="I40" s="10">
        <v>79480</v>
      </c>
      <c r="J40" s="12" t="s">
        <v>3749</v>
      </c>
      <c r="K40" s="12">
        <v>12</v>
      </c>
      <c r="L40" s="12" t="s">
        <v>3750</v>
      </c>
      <c r="M40" s="10">
        <v>2111038440</v>
      </c>
      <c r="N40" s="10">
        <v>284374</v>
      </c>
      <c r="O40" s="12">
        <v>94</v>
      </c>
    </row>
    <row r="41" spans="1:15" ht="27" x14ac:dyDescent="0.3">
      <c r="A41" s="9">
        <v>43552</v>
      </c>
      <c r="B41" s="12">
        <v>2</v>
      </c>
      <c r="C41" s="11">
        <v>0</v>
      </c>
      <c r="D41" s="12">
        <v>3</v>
      </c>
      <c r="E41" s="11">
        <v>0</v>
      </c>
      <c r="F41" s="12">
        <v>99</v>
      </c>
      <c r="G41" s="11">
        <v>0</v>
      </c>
      <c r="H41" s="11">
        <v>6.0999999999999999E-2</v>
      </c>
      <c r="I41" s="10">
        <v>32500</v>
      </c>
      <c r="J41" s="12" t="s">
        <v>3751</v>
      </c>
      <c r="K41" s="12">
        <v>6</v>
      </c>
      <c r="L41" s="12" t="s">
        <v>1310</v>
      </c>
      <c r="M41" s="10">
        <v>2111070940</v>
      </c>
      <c r="N41" s="10">
        <v>284380</v>
      </c>
      <c r="O41" s="12">
        <v>92</v>
      </c>
    </row>
    <row r="42" spans="1:15" ht="27" x14ac:dyDescent="0.3">
      <c r="A42" s="9">
        <v>43553</v>
      </c>
      <c r="B42" s="12">
        <v>2</v>
      </c>
      <c r="C42" s="11">
        <v>0</v>
      </c>
      <c r="D42" s="12">
        <v>3</v>
      </c>
      <c r="E42" s="11">
        <v>0</v>
      </c>
      <c r="F42" s="12">
        <v>99</v>
      </c>
      <c r="G42" s="11">
        <v>0</v>
      </c>
      <c r="H42" s="11">
        <v>0.111</v>
      </c>
      <c r="I42" s="10">
        <v>77000</v>
      </c>
      <c r="J42" s="12" t="s">
        <v>3752</v>
      </c>
      <c r="K42" s="12">
        <v>11</v>
      </c>
      <c r="L42" s="12" t="s">
        <v>2343</v>
      </c>
      <c r="M42" s="10">
        <v>2111147940</v>
      </c>
      <c r="N42" s="10">
        <v>284391</v>
      </c>
      <c r="O42" s="12">
        <v>81</v>
      </c>
    </row>
    <row r="43" spans="1:15" ht="27" x14ac:dyDescent="0.3">
      <c r="A43" s="9">
        <v>43554</v>
      </c>
      <c r="B43" s="12">
        <v>3</v>
      </c>
      <c r="C43" s="11">
        <v>0</v>
      </c>
      <c r="D43" s="12">
        <v>7</v>
      </c>
      <c r="E43" s="11">
        <v>0</v>
      </c>
      <c r="F43" s="12">
        <v>587</v>
      </c>
      <c r="G43" s="11">
        <v>0</v>
      </c>
      <c r="H43" s="11">
        <v>0.128</v>
      </c>
      <c r="I43" s="10">
        <v>541000</v>
      </c>
      <c r="J43" s="12" t="s">
        <v>3753</v>
      </c>
      <c r="K43" s="12">
        <v>75</v>
      </c>
      <c r="L43" s="12" t="s">
        <v>3754</v>
      </c>
      <c r="M43" s="10">
        <v>2111688940</v>
      </c>
      <c r="N43" s="10">
        <v>284466</v>
      </c>
      <c r="O43" s="12">
        <v>57</v>
      </c>
    </row>
    <row r="44" spans="1:15" ht="27" x14ac:dyDescent="0.3">
      <c r="A44" s="9">
        <v>43555</v>
      </c>
      <c r="B44" s="12">
        <v>3</v>
      </c>
      <c r="C44" s="11">
        <v>0</v>
      </c>
      <c r="D44" s="12">
        <v>7</v>
      </c>
      <c r="E44" s="11">
        <v>0</v>
      </c>
      <c r="F44" s="12">
        <v>587</v>
      </c>
      <c r="G44" s="11">
        <v>0</v>
      </c>
      <c r="H44" s="11">
        <v>0.10199999999999999</v>
      </c>
      <c r="I44" s="10">
        <v>442300</v>
      </c>
      <c r="J44" s="12" t="s">
        <v>3755</v>
      </c>
      <c r="K44" s="12">
        <v>60</v>
      </c>
      <c r="L44" s="12" t="s">
        <v>3756</v>
      </c>
      <c r="M44" s="10">
        <v>2112131240</v>
      </c>
      <c r="N44" s="10">
        <v>284526</v>
      </c>
      <c r="O44" s="12">
        <v>55</v>
      </c>
    </row>
    <row r="45" spans="1:15" ht="27" x14ac:dyDescent="0.3">
      <c r="A45" s="9">
        <v>43556</v>
      </c>
      <c r="B45" s="12">
        <v>2</v>
      </c>
      <c r="C45" s="11">
        <v>0</v>
      </c>
      <c r="D45" s="12">
        <v>4</v>
      </c>
      <c r="E45" s="11">
        <v>0</v>
      </c>
      <c r="F45" s="12">
        <v>134</v>
      </c>
      <c r="G45" s="11">
        <v>0</v>
      </c>
      <c r="H45" s="11">
        <v>0.14899999999999999</v>
      </c>
      <c r="I45" s="10">
        <v>134000</v>
      </c>
      <c r="J45" s="12" t="s">
        <v>3757</v>
      </c>
      <c r="K45" s="12">
        <v>20</v>
      </c>
      <c r="L45" s="12" t="s">
        <v>3758</v>
      </c>
      <c r="M45" s="10">
        <v>2112265240</v>
      </c>
      <c r="N45" s="10">
        <v>284546</v>
      </c>
      <c r="O45" s="12">
        <v>67</v>
      </c>
    </row>
    <row r="46" spans="1:15" ht="27" x14ac:dyDescent="0.3">
      <c r="A46" s="9">
        <v>43557</v>
      </c>
      <c r="B46" s="12">
        <v>1</v>
      </c>
      <c r="C46" s="11">
        <v>0</v>
      </c>
      <c r="D46" s="12">
        <v>1</v>
      </c>
      <c r="E46" s="11">
        <v>0</v>
      </c>
      <c r="F46" s="12">
        <v>35</v>
      </c>
      <c r="G46" s="11">
        <v>0</v>
      </c>
      <c r="H46" s="11">
        <v>8.5999999999999993E-2</v>
      </c>
      <c r="I46" s="10">
        <v>18000</v>
      </c>
      <c r="J46" s="12" t="s">
        <v>3759</v>
      </c>
      <c r="K46" s="12">
        <v>3</v>
      </c>
      <c r="L46" s="12" t="s">
        <v>3760</v>
      </c>
      <c r="M46" s="10">
        <v>2112283240</v>
      </c>
      <c r="N46" s="10">
        <v>284549</v>
      </c>
      <c r="O46" s="12">
        <v>86</v>
      </c>
    </row>
    <row r="47" spans="1:15" ht="27" x14ac:dyDescent="0.3">
      <c r="A47" s="9">
        <v>43559</v>
      </c>
      <c r="B47" s="12">
        <v>2</v>
      </c>
      <c r="C47" s="11">
        <v>0</v>
      </c>
      <c r="D47" s="12">
        <v>3</v>
      </c>
      <c r="E47" s="11">
        <v>0</v>
      </c>
      <c r="F47" s="12">
        <v>150</v>
      </c>
      <c r="G47" s="11">
        <v>0</v>
      </c>
      <c r="H47" s="11">
        <v>4.7E-2</v>
      </c>
      <c r="I47" s="10">
        <v>50000</v>
      </c>
      <c r="J47" s="12" t="s">
        <v>3761</v>
      </c>
      <c r="K47" s="12">
        <v>7</v>
      </c>
      <c r="L47" s="12" t="s">
        <v>314</v>
      </c>
      <c r="M47" s="10">
        <v>2112333240</v>
      </c>
      <c r="N47" s="10">
        <v>284556</v>
      </c>
      <c r="O47" s="12">
        <v>80</v>
      </c>
    </row>
    <row r="48" spans="1:15" ht="27" x14ac:dyDescent="0.3">
      <c r="A48" s="9">
        <v>43560</v>
      </c>
      <c r="B48" s="12">
        <v>1</v>
      </c>
      <c r="C48" s="11">
        <v>0</v>
      </c>
      <c r="D48" s="12">
        <v>1</v>
      </c>
      <c r="E48" s="11">
        <v>0</v>
      </c>
      <c r="F48" s="12">
        <v>40</v>
      </c>
      <c r="G48" s="11">
        <v>0</v>
      </c>
      <c r="H48" s="11">
        <v>0.125</v>
      </c>
      <c r="I48" s="10">
        <v>36000</v>
      </c>
      <c r="J48" s="12" t="s">
        <v>3762</v>
      </c>
      <c r="K48" s="12">
        <v>5</v>
      </c>
      <c r="L48" s="12" t="s">
        <v>3763</v>
      </c>
      <c r="M48" s="10">
        <v>2112369240</v>
      </c>
      <c r="N48" s="10">
        <v>284561</v>
      </c>
      <c r="O48" s="12">
        <v>91</v>
      </c>
    </row>
    <row r="49" spans="1:15" ht="27" x14ac:dyDescent="0.3">
      <c r="A49" s="9">
        <v>43561</v>
      </c>
      <c r="B49" s="12">
        <v>2</v>
      </c>
      <c r="C49" s="11">
        <v>0</v>
      </c>
      <c r="D49" s="12">
        <v>4</v>
      </c>
      <c r="E49" s="11">
        <v>0</v>
      </c>
      <c r="F49" s="12">
        <v>836</v>
      </c>
      <c r="G49" s="11">
        <v>0</v>
      </c>
      <c r="H49" s="11">
        <v>3.5999999999999997E-2</v>
      </c>
      <c r="I49" s="10">
        <v>189000</v>
      </c>
      <c r="J49" s="12" t="s">
        <v>3764</v>
      </c>
      <c r="K49" s="12">
        <v>30</v>
      </c>
      <c r="L49" s="12" t="s">
        <v>3765</v>
      </c>
      <c r="M49" s="10">
        <v>2112558240</v>
      </c>
      <c r="N49" s="10">
        <v>284591</v>
      </c>
      <c r="O49" s="12">
        <v>69</v>
      </c>
    </row>
    <row r="50" spans="1:15" ht="27" x14ac:dyDescent="0.3">
      <c r="A50" s="9">
        <v>43562</v>
      </c>
      <c r="B50" s="12">
        <v>2</v>
      </c>
      <c r="C50" s="11">
        <v>0</v>
      </c>
      <c r="D50" s="12">
        <v>3</v>
      </c>
      <c r="E50" s="11">
        <v>0</v>
      </c>
      <c r="F50" s="12">
        <v>450</v>
      </c>
      <c r="G50" s="11">
        <v>0</v>
      </c>
      <c r="H50" s="11">
        <v>5.0999999999999997E-2</v>
      </c>
      <c r="I50" s="10">
        <v>150000</v>
      </c>
      <c r="J50" s="12" t="s">
        <v>3766</v>
      </c>
      <c r="K50" s="12">
        <v>23</v>
      </c>
      <c r="L50" s="12" t="s">
        <v>3767</v>
      </c>
      <c r="M50" s="10">
        <v>2112708240</v>
      </c>
      <c r="N50" s="10">
        <v>284614</v>
      </c>
      <c r="O50" s="12">
        <v>64</v>
      </c>
    </row>
    <row r="51" spans="1:15" ht="27" x14ac:dyDescent="0.3">
      <c r="A51" s="9">
        <v>43563</v>
      </c>
      <c r="B51" s="12">
        <v>1</v>
      </c>
      <c r="C51" s="11">
        <v>0</v>
      </c>
      <c r="D51" s="12">
        <v>1</v>
      </c>
      <c r="E51" s="11">
        <v>0</v>
      </c>
      <c r="F51" s="12">
        <v>32</v>
      </c>
      <c r="G51" s="11">
        <v>0</v>
      </c>
      <c r="H51" s="11">
        <v>0.156</v>
      </c>
      <c r="I51" s="10">
        <v>27000</v>
      </c>
      <c r="J51" s="12" t="s">
        <v>3768</v>
      </c>
      <c r="K51" s="12">
        <v>5</v>
      </c>
      <c r="L51" s="12" t="s">
        <v>3769</v>
      </c>
      <c r="M51" s="10">
        <v>2112735240</v>
      </c>
      <c r="N51" s="10">
        <v>284619</v>
      </c>
      <c r="O51" s="12">
        <v>76</v>
      </c>
    </row>
    <row r="52" spans="1:15" ht="27" x14ac:dyDescent="0.3">
      <c r="A52" s="9">
        <v>43565</v>
      </c>
      <c r="B52" s="12">
        <v>2</v>
      </c>
      <c r="C52" s="11">
        <v>0</v>
      </c>
      <c r="D52" s="12">
        <v>2</v>
      </c>
      <c r="E52" s="11">
        <v>0</v>
      </c>
      <c r="F52" s="12">
        <v>118</v>
      </c>
      <c r="G52" s="11">
        <v>0</v>
      </c>
      <c r="H52" s="11">
        <v>8.5000000000000006E-2</v>
      </c>
      <c r="I52" s="10">
        <v>59000</v>
      </c>
      <c r="J52" s="12" t="s">
        <v>3770</v>
      </c>
      <c r="K52" s="12">
        <v>10</v>
      </c>
      <c r="L52" s="12" t="s">
        <v>1397</v>
      </c>
      <c r="M52" s="10">
        <v>2112794240</v>
      </c>
      <c r="N52" s="10">
        <v>284629</v>
      </c>
      <c r="O52" s="12">
        <v>79</v>
      </c>
    </row>
    <row r="53" spans="1:15" ht="27" x14ac:dyDescent="0.3">
      <c r="A53" s="9">
        <v>43567</v>
      </c>
      <c r="B53" s="12">
        <v>1</v>
      </c>
      <c r="C53" s="11">
        <v>0</v>
      </c>
      <c r="D53" s="12">
        <v>1</v>
      </c>
      <c r="E53" s="11">
        <v>0</v>
      </c>
      <c r="F53" s="12">
        <v>32</v>
      </c>
      <c r="G53" s="11">
        <v>0</v>
      </c>
      <c r="H53" s="11">
        <v>9.4E-2</v>
      </c>
      <c r="I53" s="10">
        <v>24000</v>
      </c>
      <c r="J53" s="12" t="s">
        <v>293</v>
      </c>
      <c r="K53" s="12">
        <v>3</v>
      </c>
      <c r="L53" s="12" t="s">
        <v>294</v>
      </c>
      <c r="M53" s="10">
        <v>2112818240</v>
      </c>
      <c r="N53" s="10">
        <v>284632</v>
      </c>
      <c r="O53" s="12">
        <v>98</v>
      </c>
    </row>
    <row r="54" spans="1:15" ht="27" x14ac:dyDescent="0.3">
      <c r="A54" s="9">
        <v>43568</v>
      </c>
      <c r="B54" s="12">
        <v>2</v>
      </c>
      <c r="C54" s="11">
        <v>0</v>
      </c>
      <c r="D54" s="12">
        <v>3</v>
      </c>
      <c r="E54" s="11">
        <v>0</v>
      </c>
      <c r="F54" s="12">
        <v>450</v>
      </c>
      <c r="G54" s="11">
        <v>0</v>
      </c>
      <c r="H54" s="11">
        <v>1.6E-2</v>
      </c>
      <c r="I54" s="10">
        <v>43000</v>
      </c>
      <c r="J54" s="12" t="s">
        <v>3771</v>
      </c>
      <c r="K54" s="12">
        <v>7</v>
      </c>
      <c r="L54" s="12" t="s">
        <v>3772</v>
      </c>
      <c r="M54" s="10">
        <v>2112861240</v>
      </c>
      <c r="N54" s="10">
        <v>284639</v>
      </c>
      <c r="O54" s="12">
        <v>102</v>
      </c>
    </row>
    <row r="55" spans="1:15" ht="27" x14ac:dyDescent="0.3">
      <c r="A55" s="9">
        <v>43569</v>
      </c>
      <c r="B55" s="12">
        <v>2</v>
      </c>
      <c r="C55" s="11">
        <v>0</v>
      </c>
      <c r="D55" s="12">
        <v>4</v>
      </c>
      <c r="E55" s="11">
        <v>0</v>
      </c>
      <c r="F55" s="12">
        <v>836</v>
      </c>
      <c r="G55" s="11">
        <v>0</v>
      </c>
      <c r="H55" s="11">
        <v>3.3000000000000002E-2</v>
      </c>
      <c r="I55" s="10">
        <v>206000</v>
      </c>
      <c r="J55" s="12" t="s">
        <v>3773</v>
      </c>
      <c r="K55" s="12">
        <v>28</v>
      </c>
      <c r="L55" s="12" t="s">
        <v>3774</v>
      </c>
      <c r="M55" s="10">
        <v>2113067240</v>
      </c>
      <c r="N55" s="10">
        <v>284667</v>
      </c>
      <c r="O55" s="12">
        <v>73</v>
      </c>
    </row>
    <row r="56" spans="1:15" ht="27" x14ac:dyDescent="0.3">
      <c r="A56" s="9">
        <v>43570</v>
      </c>
      <c r="B56" s="12">
        <v>1</v>
      </c>
      <c r="C56" s="11">
        <v>0</v>
      </c>
      <c r="D56" s="12">
        <v>1</v>
      </c>
      <c r="E56" s="11">
        <v>0</v>
      </c>
      <c r="F56" s="12">
        <v>32</v>
      </c>
      <c r="G56" s="11">
        <v>0</v>
      </c>
      <c r="H56" s="11">
        <v>6.3E-2</v>
      </c>
      <c r="I56" s="10">
        <v>14000</v>
      </c>
      <c r="J56" s="12" t="s">
        <v>3775</v>
      </c>
      <c r="K56" s="12">
        <v>2</v>
      </c>
      <c r="L56" s="12" t="s">
        <v>3776</v>
      </c>
      <c r="M56" s="10">
        <v>2113081240</v>
      </c>
      <c r="N56" s="10">
        <v>284669</v>
      </c>
      <c r="O56" s="12">
        <v>95</v>
      </c>
    </row>
    <row r="57" spans="1:15" ht="27" x14ac:dyDescent="0.3">
      <c r="A57" s="9">
        <v>43571</v>
      </c>
      <c r="B57" s="12">
        <v>3</v>
      </c>
      <c r="C57" s="11">
        <v>1E-3</v>
      </c>
      <c r="D57" s="12">
        <v>4</v>
      </c>
      <c r="E57" s="11">
        <v>0</v>
      </c>
      <c r="F57" s="12">
        <v>248</v>
      </c>
      <c r="G57" s="11">
        <v>0</v>
      </c>
      <c r="H57" s="11">
        <v>0.153</v>
      </c>
      <c r="I57" s="10">
        <v>236000</v>
      </c>
      <c r="J57" s="12" t="s">
        <v>3777</v>
      </c>
      <c r="K57" s="12">
        <v>38</v>
      </c>
      <c r="L57" s="12" t="s">
        <v>3778</v>
      </c>
      <c r="M57" s="10">
        <v>2113317240</v>
      </c>
      <c r="N57" s="10">
        <v>284707</v>
      </c>
      <c r="O57" s="12">
        <v>64</v>
      </c>
    </row>
    <row r="58" spans="1:15" ht="27" x14ac:dyDescent="0.3">
      <c r="A58" s="9">
        <v>43572</v>
      </c>
      <c r="B58" s="12">
        <v>1</v>
      </c>
      <c r="C58" s="11">
        <v>0</v>
      </c>
      <c r="D58" s="12">
        <v>1</v>
      </c>
      <c r="E58" s="11">
        <v>0</v>
      </c>
      <c r="F58" s="12">
        <v>32</v>
      </c>
      <c r="G58" s="11">
        <v>0</v>
      </c>
      <c r="H58" s="11">
        <v>9.4E-2</v>
      </c>
      <c r="I58" s="10">
        <v>15000</v>
      </c>
      <c r="J58" s="12" t="s">
        <v>3779</v>
      </c>
      <c r="K58" s="12">
        <v>3</v>
      </c>
      <c r="L58" s="12" t="s">
        <v>3780</v>
      </c>
      <c r="M58" s="10">
        <v>2113332240</v>
      </c>
      <c r="N58" s="10">
        <v>284710</v>
      </c>
      <c r="O58" s="12">
        <v>107</v>
      </c>
    </row>
    <row r="59" spans="1:15" ht="27" x14ac:dyDescent="0.3">
      <c r="A59" s="9">
        <v>43573</v>
      </c>
      <c r="B59" s="12">
        <v>1</v>
      </c>
      <c r="C59" s="11">
        <v>0</v>
      </c>
      <c r="D59" s="12">
        <v>1</v>
      </c>
      <c r="E59" s="11">
        <v>0</v>
      </c>
      <c r="F59" s="12">
        <v>32</v>
      </c>
      <c r="G59" s="11">
        <v>0</v>
      </c>
      <c r="H59" s="11">
        <v>6.3E-2</v>
      </c>
      <c r="I59" s="10">
        <v>14000</v>
      </c>
      <c r="J59" s="12" t="s">
        <v>3781</v>
      </c>
      <c r="K59" s="12">
        <v>2</v>
      </c>
      <c r="L59" s="12" t="s">
        <v>1422</v>
      </c>
      <c r="M59" s="10">
        <v>2113346240</v>
      </c>
      <c r="N59" s="10">
        <v>284712</v>
      </c>
      <c r="O59" s="12">
        <v>121</v>
      </c>
    </row>
    <row r="60" spans="1:15" ht="27" x14ac:dyDescent="0.3">
      <c r="A60" s="9">
        <v>43574</v>
      </c>
      <c r="B60" s="12">
        <v>1</v>
      </c>
      <c r="C60" s="11">
        <v>0</v>
      </c>
      <c r="D60" s="12">
        <v>1</v>
      </c>
      <c r="E60" s="11">
        <v>0</v>
      </c>
      <c r="F60" s="12">
        <v>32</v>
      </c>
      <c r="G60" s="11">
        <v>0</v>
      </c>
      <c r="H60" s="11">
        <v>0.125</v>
      </c>
      <c r="I60" s="10">
        <v>24000</v>
      </c>
      <c r="J60" s="12" t="s">
        <v>3782</v>
      </c>
      <c r="K60" s="12">
        <v>4</v>
      </c>
      <c r="L60" s="12" t="s">
        <v>1408</v>
      </c>
      <c r="M60" s="10">
        <v>2113370240</v>
      </c>
      <c r="N60" s="10">
        <v>284716</v>
      </c>
      <c r="O60" s="12">
        <v>103</v>
      </c>
    </row>
    <row r="61" spans="1:15" ht="27" x14ac:dyDescent="0.3">
      <c r="A61" s="9">
        <v>43575</v>
      </c>
      <c r="B61" s="12">
        <v>1</v>
      </c>
      <c r="C61" s="11">
        <v>0</v>
      </c>
      <c r="D61" s="12">
        <v>2</v>
      </c>
      <c r="E61" s="11">
        <v>0</v>
      </c>
      <c r="F61" s="12">
        <v>64</v>
      </c>
      <c r="G61" s="11">
        <v>0</v>
      </c>
      <c r="H61" s="11">
        <v>0.32800000000000001</v>
      </c>
      <c r="I61" s="10">
        <v>146000</v>
      </c>
      <c r="J61" s="12" t="s">
        <v>3783</v>
      </c>
      <c r="K61" s="12">
        <v>21</v>
      </c>
      <c r="L61" s="12" t="s">
        <v>3784</v>
      </c>
      <c r="M61" s="10">
        <v>2113516240</v>
      </c>
      <c r="N61" s="10">
        <v>284737</v>
      </c>
      <c r="O61" s="12">
        <v>77</v>
      </c>
    </row>
    <row r="62" spans="1:15" ht="27" x14ac:dyDescent="0.3">
      <c r="A62" s="9">
        <v>43576</v>
      </c>
      <c r="B62" s="12">
        <v>1</v>
      </c>
      <c r="C62" s="11">
        <v>0</v>
      </c>
      <c r="D62" s="12">
        <v>1</v>
      </c>
      <c r="E62" s="11">
        <v>0</v>
      </c>
      <c r="F62" s="12">
        <v>32</v>
      </c>
      <c r="G62" s="11">
        <v>0</v>
      </c>
      <c r="H62" s="11">
        <v>0.219</v>
      </c>
      <c r="I62" s="10">
        <v>45000</v>
      </c>
      <c r="J62" s="12" t="s">
        <v>3785</v>
      </c>
      <c r="K62" s="12">
        <v>7</v>
      </c>
      <c r="L62" s="12" t="s">
        <v>3786</v>
      </c>
      <c r="M62" s="10">
        <v>2113561240</v>
      </c>
      <c r="N62" s="10">
        <v>284744</v>
      </c>
      <c r="O62" s="12">
        <v>108</v>
      </c>
    </row>
    <row r="63" spans="1:15" ht="27" x14ac:dyDescent="0.3">
      <c r="A63" s="9">
        <v>43577</v>
      </c>
      <c r="B63" s="12">
        <v>2</v>
      </c>
      <c r="C63" s="11">
        <v>0</v>
      </c>
      <c r="D63" s="12">
        <v>2</v>
      </c>
      <c r="E63" s="11">
        <v>0</v>
      </c>
      <c r="F63" s="12">
        <v>118</v>
      </c>
      <c r="G63" s="11">
        <v>0</v>
      </c>
      <c r="H63" s="11">
        <v>5.8999999999999997E-2</v>
      </c>
      <c r="I63" s="10">
        <v>49000</v>
      </c>
      <c r="J63" s="12" t="s">
        <v>3787</v>
      </c>
      <c r="K63" s="12">
        <v>7</v>
      </c>
      <c r="L63" s="12" t="s">
        <v>292</v>
      </c>
      <c r="M63" s="10">
        <v>2113610240</v>
      </c>
      <c r="N63" s="10">
        <v>284751</v>
      </c>
      <c r="O63" s="12">
        <v>85</v>
      </c>
    </row>
    <row r="64" spans="1:15" ht="27" x14ac:dyDescent="0.3">
      <c r="A64" s="9">
        <v>43579</v>
      </c>
      <c r="B64" s="12">
        <v>1</v>
      </c>
      <c r="C64" s="11">
        <v>0</v>
      </c>
      <c r="D64" s="12">
        <v>1</v>
      </c>
      <c r="E64" s="11">
        <v>0</v>
      </c>
      <c r="F64" s="12">
        <v>32</v>
      </c>
      <c r="G64" s="11">
        <v>0</v>
      </c>
      <c r="H64" s="11">
        <v>0.125</v>
      </c>
      <c r="I64" s="10">
        <v>20000</v>
      </c>
      <c r="J64" s="12" t="s">
        <v>1420</v>
      </c>
      <c r="K64" s="12">
        <v>4</v>
      </c>
      <c r="L64" s="12" t="s">
        <v>296</v>
      </c>
      <c r="M64" s="10">
        <v>2113630240</v>
      </c>
      <c r="N64" s="10">
        <v>284755</v>
      </c>
      <c r="O64" s="12">
        <v>93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336E-3AC8-40B3-BE14-06FC928852FC}">
  <dimension ref="A1:O80"/>
  <sheetViews>
    <sheetView workbookViewId="0">
      <selection activeCell="A5" sqref="A5:O7"/>
    </sheetView>
  </sheetViews>
  <sheetFormatPr defaultRowHeight="16.5" x14ac:dyDescent="0.3"/>
  <sheetData>
    <row r="1" spans="1:15" ht="19.5" x14ac:dyDescent="0.3">
      <c r="A1" s="197" t="s">
        <v>3788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43523</v>
      </c>
      <c r="B5" s="12">
        <v>737</v>
      </c>
      <c r="C5" s="11">
        <v>0.111</v>
      </c>
      <c r="D5" s="10">
        <v>2861</v>
      </c>
      <c r="E5" s="11">
        <v>0.14899999999999999</v>
      </c>
      <c r="F5" s="10">
        <v>419455</v>
      </c>
      <c r="G5" s="11">
        <v>0.14099999999999999</v>
      </c>
      <c r="H5" s="11">
        <v>0.23799999999999999</v>
      </c>
      <c r="I5" s="10">
        <v>581266750</v>
      </c>
      <c r="J5" s="12" t="s">
        <v>3789</v>
      </c>
      <c r="K5" s="10">
        <v>99754</v>
      </c>
      <c r="L5" s="12" t="s">
        <v>3790</v>
      </c>
      <c r="M5" s="10">
        <v>609226750</v>
      </c>
      <c r="N5" s="10">
        <v>102744</v>
      </c>
      <c r="O5" s="12">
        <v>3</v>
      </c>
    </row>
    <row r="6" spans="1:15" ht="27" x14ac:dyDescent="0.3">
      <c r="A6" s="9">
        <v>43524</v>
      </c>
      <c r="B6" s="12">
        <v>794</v>
      </c>
      <c r="C6" s="11">
        <v>0.12</v>
      </c>
      <c r="D6" s="10">
        <v>3113</v>
      </c>
      <c r="E6" s="11">
        <v>0.16</v>
      </c>
      <c r="F6" s="10">
        <v>458579</v>
      </c>
      <c r="G6" s="11">
        <v>0.152</v>
      </c>
      <c r="H6" s="11">
        <v>0.17899999999999999</v>
      </c>
      <c r="I6" s="10">
        <v>618389280</v>
      </c>
      <c r="J6" s="12" t="s">
        <v>3791</v>
      </c>
      <c r="K6" s="10">
        <v>82232</v>
      </c>
      <c r="L6" s="12" t="s">
        <v>3792</v>
      </c>
      <c r="M6" s="10">
        <v>1227616030</v>
      </c>
      <c r="N6" s="10">
        <v>184976</v>
      </c>
      <c r="O6" s="12">
        <v>2</v>
      </c>
    </row>
    <row r="7" spans="1:15" ht="40.5" x14ac:dyDescent="0.3">
      <c r="A7" s="9">
        <v>43525</v>
      </c>
      <c r="B7" s="10">
        <v>1052</v>
      </c>
      <c r="C7" s="11">
        <v>0.14399999999999999</v>
      </c>
      <c r="D7" s="10">
        <v>4108</v>
      </c>
      <c r="E7" s="11">
        <v>0.20100000000000001</v>
      </c>
      <c r="F7" s="10">
        <v>644580</v>
      </c>
      <c r="G7" s="11">
        <v>0.20300000000000001</v>
      </c>
      <c r="H7" s="11">
        <v>0.40699999999999997</v>
      </c>
      <c r="I7" s="10">
        <v>2195096671</v>
      </c>
      <c r="J7" s="12" t="s">
        <v>3793</v>
      </c>
      <c r="K7" s="10">
        <v>262491</v>
      </c>
      <c r="L7" s="12" t="s">
        <v>3794</v>
      </c>
      <c r="M7" s="10">
        <v>3422712701</v>
      </c>
      <c r="N7" s="10">
        <v>447467</v>
      </c>
      <c r="O7" s="12">
        <v>1</v>
      </c>
    </row>
    <row r="8" spans="1:15" ht="40.5" x14ac:dyDescent="0.3">
      <c r="A8" s="9">
        <v>43526</v>
      </c>
      <c r="B8" s="10">
        <v>1094</v>
      </c>
      <c r="C8" s="11">
        <v>0.14699999999999999</v>
      </c>
      <c r="D8" s="10">
        <v>4364</v>
      </c>
      <c r="E8" s="11">
        <v>0.216</v>
      </c>
      <c r="F8" s="10">
        <v>700835</v>
      </c>
      <c r="G8" s="11">
        <v>0.223</v>
      </c>
      <c r="H8" s="11">
        <v>0.27</v>
      </c>
      <c r="I8" s="10">
        <v>1601775890</v>
      </c>
      <c r="J8" s="12" t="s">
        <v>3795</v>
      </c>
      <c r="K8" s="10">
        <v>189038</v>
      </c>
      <c r="L8" s="12" t="s">
        <v>3796</v>
      </c>
      <c r="M8" s="10">
        <v>5024488591</v>
      </c>
      <c r="N8" s="10">
        <v>636505</v>
      </c>
      <c r="O8" s="12">
        <v>1</v>
      </c>
    </row>
    <row r="9" spans="1:15" ht="40.5" x14ac:dyDescent="0.3">
      <c r="A9" s="9">
        <v>43527</v>
      </c>
      <c r="B9" s="10">
        <v>1085</v>
      </c>
      <c r="C9" s="11">
        <v>0.15</v>
      </c>
      <c r="D9" s="10">
        <v>4310</v>
      </c>
      <c r="E9" s="11">
        <v>0.22</v>
      </c>
      <c r="F9" s="10">
        <v>701602</v>
      </c>
      <c r="G9" s="11">
        <v>0.22900000000000001</v>
      </c>
      <c r="H9" s="11">
        <v>0.22</v>
      </c>
      <c r="I9" s="10">
        <v>1308784530</v>
      </c>
      <c r="J9" s="12" t="s">
        <v>3797</v>
      </c>
      <c r="K9" s="10">
        <v>154533</v>
      </c>
      <c r="L9" s="12" t="s">
        <v>3798</v>
      </c>
      <c r="M9" s="10">
        <v>6333273121</v>
      </c>
      <c r="N9" s="10">
        <v>791038</v>
      </c>
      <c r="O9" s="12">
        <v>1</v>
      </c>
    </row>
    <row r="10" spans="1:15" ht="40.5" x14ac:dyDescent="0.3">
      <c r="A10" s="9">
        <v>43528</v>
      </c>
      <c r="B10" s="12">
        <v>890</v>
      </c>
      <c r="C10" s="11">
        <v>0.14899999999999999</v>
      </c>
      <c r="D10" s="10">
        <v>3877</v>
      </c>
      <c r="E10" s="11">
        <v>0.22500000000000001</v>
      </c>
      <c r="F10" s="10">
        <v>664126</v>
      </c>
      <c r="G10" s="11">
        <v>0.24299999999999999</v>
      </c>
      <c r="H10" s="11">
        <v>6.6000000000000003E-2</v>
      </c>
      <c r="I10" s="10">
        <v>349631970</v>
      </c>
      <c r="J10" s="12" t="s">
        <v>3799</v>
      </c>
      <c r="K10" s="10">
        <v>44117</v>
      </c>
      <c r="L10" s="12" t="s">
        <v>3800</v>
      </c>
      <c r="M10" s="10">
        <v>6682905091</v>
      </c>
      <c r="N10" s="10">
        <v>835155</v>
      </c>
      <c r="O10" s="12">
        <v>1</v>
      </c>
    </row>
    <row r="11" spans="1:15" ht="27" x14ac:dyDescent="0.3">
      <c r="A11" s="9">
        <v>43529</v>
      </c>
      <c r="B11" s="12">
        <v>900</v>
      </c>
      <c r="C11" s="11">
        <v>0.153</v>
      </c>
      <c r="D11" s="10">
        <v>3790</v>
      </c>
      <c r="E11" s="11">
        <v>0.224</v>
      </c>
      <c r="F11" s="10">
        <v>651233</v>
      </c>
      <c r="G11" s="11">
        <v>0.24199999999999999</v>
      </c>
      <c r="H11" s="11">
        <v>5.3999999999999999E-2</v>
      </c>
      <c r="I11" s="10">
        <v>278161900</v>
      </c>
      <c r="J11" s="12" t="s">
        <v>3801</v>
      </c>
      <c r="K11" s="10">
        <v>35164</v>
      </c>
      <c r="L11" s="12" t="s">
        <v>3802</v>
      </c>
      <c r="M11" s="10">
        <v>6961066991</v>
      </c>
      <c r="N11" s="10">
        <v>870319</v>
      </c>
      <c r="O11" s="12">
        <v>1</v>
      </c>
    </row>
    <row r="12" spans="1:15" ht="40.5" x14ac:dyDescent="0.3">
      <c r="A12" s="9">
        <v>43530</v>
      </c>
      <c r="B12" s="12">
        <v>600</v>
      </c>
      <c r="C12" s="11">
        <v>0.11899999999999999</v>
      </c>
      <c r="D12" s="10">
        <v>1906</v>
      </c>
      <c r="E12" s="11">
        <v>0.105</v>
      </c>
      <c r="F12" s="10">
        <v>236699</v>
      </c>
      <c r="G12" s="11">
        <v>8.3000000000000004E-2</v>
      </c>
      <c r="H12" s="11">
        <v>8.7999999999999995E-2</v>
      </c>
      <c r="I12" s="10">
        <v>163282050</v>
      </c>
      <c r="J12" s="12" t="s">
        <v>3803</v>
      </c>
      <c r="K12" s="10">
        <v>20715</v>
      </c>
      <c r="L12" s="12" t="s">
        <v>3804</v>
      </c>
      <c r="M12" s="10">
        <v>7124349041</v>
      </c>
      <c r="N12" s="10">
        <v>891034</v>
      </c>
      <c r="O12" s="12">
        <v>2</v>
      </c>
    </row>
    <row r="13" spans="1:15" ht="27" x14ac:dyDescent="0.3">
      <c r="A13" s="9">
        <v>43531</v>
      </c>
      <c r="B13" s="12">
        <v>620</v>
      </c>
      <c r="C13" s="11">
        <v>0.11799999999999999</v>
      </c>
      <c r="D13" s="10">
        <v>1829</v>
      </c>
      <c r="E13" s="11">
        <v>0.10199999999999999</v>
      </c>
      <c r="F13" s="10">
        <v>228596</v>
      </c>
      <c r="G13" s="11">
        <v>8.1000000000000003E-2</v>
      </c>
      <c r="H13" s="11">
        <v>8.7999999999999995E-2</v>
      </c>
      <c r="I13" s="10">
        <v>156104950</v>
      </c>
      <c r="J13" s="12" t="s">
        <v>3805</v>
      </c>
      <c r="K13" s="10">
        <v>20085</v>
      </c>
      <c r="L13" s="12" t="s">
        <v>3806</v>
      </c>
      <c r="M13" s="10">
        <v>7280453991</v>
      </c>
      <c r="N13" s="10">
        <v>911119</v>
      </c>
      <c r="O13" s="12">
        <v>2</v>
      </c>
    </row>
    <row r="14" spans="1:15" ht="27" x14ac:dyDescent="0.3">
      <c r="A14" s="9">
        <v>43532</v>
      </c>
      <c r="B14" s="12">
        <v>633</v>
      </c>
      <c r="C14" s="11">
        <v>0.11899999999999999</v>
      </c>
      <c r="D14" s="10">
        <v>1866</v>
      </c>
      <c r="E14" s="11">
        <v>0.10199999999999999</v>
      </c>
      <c r="F14" s="10">
        <v>233735</v>
      </c>
      <c r="G14" s="11">
        <v>8.1000000000000003E-2</v>
      </c>
      <c r="H14" s="11">
        <v>9.9000000000000005E-2</v>
      </c>
      <c r="I14" s="10">
        <v>201266599</v>
      </c>
      <c r="J14" s="12" t="s">
        <v>3807</v>
      </c>
      <c r="K14" s="10">
        <v>23212</v>
      </c>
      <c r="L14" s="12" t="s">
        <v>3808</v>
      </c>
      <c r="M14" s="10">
        <v>7481720590</v>
      </c>
      <c r="N14" s="10">
        <v>934331</v>
      </c>
      <c r="O14" s="12">
        <v>2</v>
      </c>
    </row>
    <row r="15" spans="1:15" ht="27" x14ac:dyDescent="0.3">
      <c r="A15" s="9">
        <v>43533</v>
      </c>
      <c r="B15" s="12">
        <v>633</v>
      </c>
      <c r="C15" s="11">
        <v>0.109</v>
      </c>
      <c r="D15" s="10">
        <v>1789</v>
      </c>
      <c r="E15" s="11">
        <v>9.1999999999999998E-2</v>
      </c>
      <c r="F15" s="10">
        <v>224197</v>
      </c>
      <c r="G15" s="11">
        <v>7.4999999999999997E-2</v>
      </c>
      <c r="H15" s="11">
        <v>0.24399999999999999</v>
      </c>
      <c r="I15" s="10">
        <v>468616701</v>
      </c>
      <c r="J15" s="12" t="s">
        <v>3809</v>
      </c>
      <c r="K15" s="10">
        <v>54780</v>
      </c>
      <c r="L15" s="12" t="s">
        <v>3810</v>
      </c>
      <c r="M15" s="10">
        <v>7950337291</v>
      </c>
      <c r="N15" s="10">
        <v>989111</v>
      </c>
      <c r="O15" s="12">
        <v>2</v>
      </c>
    </row>
    <row r="16" spans="1:15" ht="27" x14ac:dyDescent="0.3">
      <c r="A16" s="9">
        <v>43534</v>
      </c>
      <c r="B16" s="12">
        <v>603</v>
      </c>
      <c r="C16" s="11">
        <v>0.105</v>
      </c>
      <c r="D16" s="10">
        <v>1734</v>
      </c>
      <c r="E16" s="11">
        <v>9.1999999999999998E-2</v>
      </c>
      <c r="F16" s="10">
        <v>218473</v>
      </c>
      <c r="G16" s="11">
        <v>7.3999999999999996E-2</v>
      </c>
      <c r="H16" s="11">
        <v>0.24199999999999999</v>
      </c>
      <c r="I16" s="10">
        <v>454356170</v>
      </c>
      <c r="J16" s="12" t="s">
        <v>3811</v>
      </c>
      <c r="K16" s="10">
        <v>52938</v>
      </c>
      <c r="L16" s="12" t="s">
        <v>3812</v>
      </c>
      <c r="M16" s="10">
        <v>8404693461</v>
      </c>
      <c r="N16" s="10">
        <v>1042049</v>
      </c>
      <c r="O16" s="12">
        <v>2</v>
      </c>
    </row>
    <row r="17" spans="1:15" ht="40.5" x14ac:dyDescent="0.3">
      <c r="A17" s="9">
        <v>43535</v>
      </c>
      <c r="B17" s="12">
        <v>618</v>
      </c>
      <c r="C17" s="11">
        <v>0.123</v>
      </c>
      <c r="D17" s="10">
        <v>1701</v>
      </c>
      <c r="E17" s="11">
        <v>0.1</v>
      </c>
      <c r="F17" s="10">
        <v>217802</v>
      </c>
      <c r="G17" s="11">
        <v>8.1000000000000003E-2</v>
      </c>
      <c r="H17" s="11">
        <v>6.0999999999999999E-2</v>
      </c>
      <c r="I17" s="10">
        <v>107297310</v>
      </c>
      <c r="J17" s="12" t="s">
        <v>3813</v>
      </c>
      <c r="K17" s="10">
        <v>13394</v>
      </c>
      <c r="L17" s="12" t="s">
        <v>3814</v>
      </c>
      <c r="M17" s="10">
        <v>8511990771</v>
      </c>
      <c r="N17" s="10">
        <v>1055443</v>
      </c>
      <c r="O17" s="12">
        <v>2</v>
      </c>
    </row>
    <row r="18" spans="1:15" ht="27" x14ac:dyDescent="0.3">
      <c r="A18" s="9">
        <v>43536</v>
      </c>
      <c r="B18" s="12">
        <v>616</v>
      </c>
      <c r="C18" s="11">
        <v>0.11899999999999999</v>
      </c>
      <c r="D18" s="10">
        <v>1666</v>
      </c>
      <c r="E18" s="11">
        <v>9.8000000000000004E-2</v>
      </c>
      <c r="F18" s="10">
        <v>215703</v>
      </c>
      <c r="G18" s="11">
        <v>8.1000000000000003E-2</v>
      </c>
      <c r="H18" s="11">
        <v>0.06</v>
      </c>
      <c r="I18" s="10">
        <v>100285240</v>
      </c>
      <c r="J18" s="12" t="s">
        <v>3815</v>
      </c>
      <c r="K18" s="10">
        <v>13015</v>
      </c>
      <c r="L18" s="12" t="s">
        <v>3816</v>
      </c>
      <c r="M18" s="10">
        <v>8612276011</v>
      </c>
      <c r="N18" s="10">
        <v>1068458</v>
      </c>
      <c r="O18" s="12">
        <v>2</v>
      </c>
    </row>
    <row r="19" spans="1:15" ht="27" x14ac:dyDescent="0.3">
      <c r="A19" s="9">
        <v>43537</v>
      </c>
      <c r="B19" s="12">
        <v>614</v>
      </c>
      <c r="C19" s="11">
        <v>0.111</v>
      </c>
      <c r="D19" s="10">
        <v>1463</v>
      </c>
      <c r="E19" s="11">
        <v>8.5999999999999993E-2</v>
      </c>
      <c r="F19" s="10">
        <v>182536</v>
      </c>
      <c r="G19" s="11">
        <v>6.8000000000000005E-2</v>
      </c>
      <c r="H19" s="11">
        <v>6.4000000000000001E-2</v>
      </c>
      <c r="I19" s="10">
        <v>88593500</v>
      </c>
      <c r="J19" s="12" t="s">
        <v>3817</v>
      </c>
      <c r="K19" s="10">
        <v>11665</v>
      </c>
      <c r="L19" s="12" t="s">
        <v>3818</v>
      </c>
      <c r="M19" s="10">
        <v>8700869511</v>
      </c>
      <c r="N19" s="10">
        <v>1080123</v>
      </c>
      <c r="O19" s="12">
        <v>3</v>
      </c>
    </row>
    <row r="20" spans="1:15" ht="27" x14ac:dyDescent="0.3">
      <c r="A20" s="9">
        <v>43538</v>
      </c>
      <c r="B20" s="12">
        <v>410</v>
      </c>
      <c r="C20" s="11">
        <v>7.2999999999999995E-2</v>
      </c>
      <c r="D20" s="12">
        <v>839</v>
      </c>
      <c r="E20" s="11">
        <v>4.7E-2</v>
      </c>
      <c r="F20" s="10">
        <v>100568</v>
      </c>
      <c r="G20" s="11">
        <v>3.5999999999999997E-2</v>
      </c>
      <c r="H20" s="11">
        <v>7.0000000000000007E-2</v>
      </c>
      <c r="I20" s="10">
        <v>53092010</v>
      </c>
      <c r="J20" s="12" t="s">
        <v>3819</v>
      </c>
      <c r="K20" s="10">
        <v>7028</v>
      </c>
      <c r="L20" s="12" t="s">
        <v>3820</v>
      </c>
      <c r="M20" s="10">
        <v>8753961521</v>
      </c>
      <c r="N20" s="10">
        <v>1087151</v>
      </c>
      <c r="O20" s="12">
        <v>4</v>
      </c>
    </row>
    <row r="21" spans="1:15" ht="27" x14ac:dyDescent="0.3">
      <c r="A21" s="9">
        <v>43539</v>
      </c>
      <c r="B21" s="12">
        <v>418</v>
      </c>
      <c r="C21" s="11">
        <v>7.3999999999999996E-2</v>
      </c>
      <c r="D21" s="12">
        <v>849</v>
      </c>
      <c r="E21" s="11">
        <v>4.5999999999999999E-2</v>
      </c>
      <c r="F21" s="10">
        <v>101234</v>
      </c>
      <c r="G21" s="11">
        <v>3.5000000000000003E-2</v>
      </c>
      <c r="H21" s="11">
        <v>8.1000000000000003E-2</v>
      </c>
      <c r="I21" s="10">
        <v>66965090</v>
      </c>
      <c r="J21" s="12" t="s">
        <v>3821</v>
      </c>
      <c r="K21" s="10">
        <v>8213</v>
      </c>
      <c r="L21" s="12" t="s">
        <v>3822</v>
      </c>
      <c r="M21" s="10">
        <v>8820926611</v>
      </c>
      <c r="N21" s="10">
        <v>1095364</v>
      </c>
      <c r="O21" s="12">
        <v>4</v>
      </c>
    </row>
    <row r="22" spans="1:15" ht="27" x14ac:dyDescent="0.3">
      <c r="A22" s="9">
        <v>43540</v>
      </c>
      <c r="B22" s="12">
        <v>453</v>
      </c>
      <c r="C22" s="11">
        <v>6.8000000000000005E-2</v>
      </c>
      <c r="D22" s="12">
        <v>860</v>
      </c>
      <c r="E22" s="11">
        <v>4.3999999999999997E-2</v>
      </c>
      <c r="F22" s="10">
        <v>102649</v>
      </c>
      <c r="G22" s="11">
        <v>3.4000000000000002E-2</v>
      </c>
      <c r="H22" s="11">
        <v>0.16500000000000001</v>
      </c>
      <c r="I22" s="10">
        <v>140698920</v>
      </c>
      <c r="J22" s="12" t="s">
        <v>3823</v>
      </c>
      <c r="K22" s="10">
        <v>16972</v>
      </c>
      <c r="L22" s="12" t="s">
        <v>3824</v>
      </c>
      <c r="M22" s="10">
        <v>8961625531</v>
      </c>
      <c r="N22" s="10">
        <v>1112336</v>
      </c>
      <c r="O22" s="12">
        <v>5</v>
      </c>
    </row>
    <row r="23" spans="1:15" ht="27" x14ac:dyDescent="0.3">
      <c r="A23" s="9">
        <v>43541</v>
      </c>
      <c r="B23" s="12">
        <v>453</v>
      </c>
      <c r="C23" s="11">
        <v>6.9000000000000006E-2</v>
      </c>
      <c r="D23" s="12">
        <v>848</v>
      </c>
      <c r="E23" s="11">
        <v>4.4999999999999998E-2</v>
      </c>
      <c r="F23" s="10">
        <v>101773</v>
      </c>
      <c r="G23" s="11">
        <v>3.4000000000000002E-2</v>
      </c>
      <c r="H23" s="11">
        <v>0.16300000000000001</v>
      </c>
      <c r="I23" s="10">
        <v>136427020</v>
      </c>
      <c r="J23" s="12" t="s">
        <v>3825</v>
      </c>
      <c r="K23" s="10">
        <v>16559</v>
      </c>
      <c r="L23" s="12" t="s">
        <v>3826</v>
      </c>
      <c r="M23" s="10">
        <v>9098052551</v>
      </c>
      <c r="N23" s="10">
        <v>1128895</v>
      </c>
      <c r="O23" s="12">
        <v>5</v>
      </c>
    </row>
    <row r="24" spans="1:15" ht="40.5" x14ac:dyDescent="0.3">
      <c r="A24" s="9">
        <v>43542</v>
      </c>
      <c r="B24" s="12">
        <v>406</v>
      </c>
      <c r="C24" s="11">
        <v>7.4999999999999997E-2</v>
      </c>
      <c r="D24" s="12">
        <v>769</v>
      </c>
      <c r="E24" s="11">
        <v>4.5999999999999999E-2</v>
      </c>
      <c r="F24" s="10">
        <v>90236</v>
      </c>
      <c r="G24" s="11">
        <v>3.4000000000000002E-2</v>
      </c>
      <c r="H24" s="11">
        <v>0.05</v>
      </c>
      <c r="I24" s="10">
        <v>33643970</v>
      </c>
      <c r="J24" s="12" t="s">
        <v>3827</v>
      </c>
      <c r="K24" s="10">
        <v>4489</v>
      </c>
      <c r="L24" s="12" t="s">
        <v>3828</v>
      </c>
      <c r="M24" s="10">
        <v>9131696521</v>
      </c>
      <c r="N24" s="10">
        <v>1133384</v>
      </c>
      <c r="O24" s="12">
        <v>6</v>
      </c>
    </row>
    <row r="25" spans="1:15" ht="27" x14ac:dyDescent="0.3">
      <c r="A25" s="9">
        <v>43543</v>
      </c>
      <c r="B25" s="12">
        <v>399</v>
      </c>
      <c r="C25" s="11">
        <v>7.1999999999999995E-2</v>
      </c>
      <c r="D25" s="12">
        <v>751</v>
      </c>
      <c r="E25" s="11">
        <v>4.4999999999999998E-2</v>
      </c>
      <c r="F25" s="10">
        <v>88272</v>
      </c>
      <c r="G25" s="11">
        <v>3.4000000000000002E-2</v>
      </c>
      <c r="H25" s="11">
        <v>0.05</v>
      </c>
      <c r="I25" s="10">
        <v>32572680</v>
      </c>
      <c r="J25" s="12" t="s">
        <v>3829</v>
      </c>
      <c r="K25" s="10">
        <v>4435</v>
      </c>
      <c r="L25" s="12" t="s">
        <v>3830</v>
      </c>
      <c r="M25" s="10">
        <v>9164269201</v>
      </c>
      <c r="N25" s="10">
        <v>1137819</v>
      </c>
      <c r="O25" s="12">
        <v>6</v>
      </c>
    </row>
    <row r="26" spans="1:15" ht="27" x14ac:dyDescent="0.3">
      <c r="A26" s="9">
        <v>43544</v>
      </c>
      <c r="B26" s="12">
        <v>106</v>
      </c>
      <c r="C26" s="11">
        <v>0.02</v>
      </c>
      <c r="D26" s="12">
        <v>119</v>
      </c>
      <c r="E26" s="11">
        <v>7.0000000000000001E-3</v>
      </c>
      <c r="F26" s="10">
        <v>15318</v>
      </c>
      <c r="G26" s="11">
        <v>6.0000000000000001E-3</v>
      </c>
      <c r="H26" s="11">
        <v>8.1000000000000003E-2</v>
      </c>
      <c r="I26" s="10">
        <v>7866480</v>
      </c>
      <c r="J26" s="12" t="s">
        <v>3831</v>
      </c>
      <c r="K26" s="10">
        <v>1243</v>
      </c>
      <c r="L26" s="12" t="s">
        <v>3832</v>
      </c>
      <c r="M26" s="10">
        <v>9172135681</v>
      </c>
      <c r="N26" s="10">
        <v>1139062</v>
      </c>
      <c r="O26" s="12">
        <v>9</v>
      </c>
    </row>
    <row r="27" spans="1:15" ht="27" x14ac:dyDescent="0.3">
      <c r="A27" s="9">
        <v>43545</v>
      </c>
      <c r="B27" s="12">
        <v>69</v>
      </c>
      <c r="C27" s="11">
        <v>1.2999999999999999E-2</v>
      </c>
      <c r="D27" s="12">
        <v>87</v>
      </c>
      <c r="E27" s="11">
        <v>5.0000000000000001E-3</v>
      </c>
      <c r="F27" s="10">
        <v>10319</v>
      </c>
      <c r="G27" s="11">
        <v>4.0000000000000001E-3</v>
      </c>
      <c r="H27" s="11">
        <v>0.19600000000000001</v>
      </c>
      <c r="I27" s="10">
        <v>13573330</v>
      </c>
      <c r="J27" s="12" t="s">
        <v>3833</v>
      </c>
      <c r="K27" s="10">
        <v>2021</v>
      </c>
      <c r="L27" s="12" t="s">
        <v>3834</v>
      </c>
      <c r="M27" s="10">
        <v>9185709011</v>
      </c>
      <c r="N27" s="10">
        <v>1141083</v>
      </c>
      <c r="O27" s="12">
        <v>8</v>
      </c>
    </row>
    <row r="28" spans="1:15" ht="27" x14ac:dyDescent="0.3">
      <c r="A28" s="9">
        <v>43546</v>
      </c>
      <c r="B28" s="12">
        <v>66</v>
      </c>
      <c r="C28" s="11">
        <v>1.2E-2</v>
      </c>
      <c r="D28" s="12">
        <v>86</v>
      </c>
      <c r="E28" s="11">
        <v>5.0000000000000001E-3</v>
      </c>
      <c r="F28" s="10">
        <v>9149</v>
      </c>
      <c r="G28" s="11">
        <v>3.0000000000000001E-3</v>
      </c>
      <c r="H28" s="11">
        <v>7.8E-2</v>
      </c>
      <c r="I28" s="10">
        <v>4977730</v>
      </c>
      <c r="J28" s="12" t="s">
        <v>3835</v>
      </c>
      <c r="K28" s="12">
        <v>710</v>
      </c>
      <c r="L28" s="12" t="s">
        <v>3836</v>
      </c>
      <c r="M28" s="10">
        <v>9190686741</v>
      </c>
      <c r="N28" s="10">
        <v>1141793</v>
      </c>
      <c r="O28" s="12">
        <v>16</v>
      </c>
    </row>
    <row r="29" spans="1:15" ht="27" x14ac:dyDescent="0.3">
      <c r="A29" s="9">
        <v>43547</v>
      </c>
      <c r="B29" s="12">
        <v>71</v>
      </c>
      <c r="C29" s="11">
        <v>1.2E-2</v>
      </c>
      <c r="D29" s="12">
        <v>87</v>
      </c>
      <c r="E29" s="11">
        <v>5.0000000000000001E-3</v>
      </c>
      <c r="F29" s="10">
        <v>9013</v>
      </c>
      <c r="G29" s="11">
        <v>3.0000000000000001E-3</v>
      </c>
      <c r="H29" s="11">
        <v>0.13500000000000001</v>
      </c>
      <c r="I29" s="10">
        <v>9399180</v>
      </c>
      <c r="J29" s="12" t="s">
        <v>3837</v>
      </c>
      <c r="K29" s="10">
        <v>1218</v>
      </c>
      <c r="L29" s="12" t="s">
        <v>3838</v>
      </c>
      <c r="M29" s="10">
        <v>9200085921</v>
      </c>
      <c r="N29" s="10">
        <v>1143011</v>
      </c>
      <c r="O29" s="12">
        <v>13</v>
      </c>
    </row>
    <row r="30" spans="1:15" ht="27" x14ac:dyDescent="0.3">
      <c r="A30" s="9">
        <v>43548</v>
      </c>
      <c r="B30" s="12">
        <v>68</v>
      </c>
      <c r="C30" s="11">
        <v>1.2E-2</v>
      </c>
      <c r="D30" s="12">
        <v>80</v>
      </c>
      <c r="E30" s="11">
        <v>4.0000000000000001E-3</v>
      </c>
      <c r="F30" s="10">
        <v>8513</v>
      </c>
      <c r="G30" s="11">
        <v>3.0000000000000001E-3</v>
      </c>
      <c r="H30" s="11">
        <v>0.113</v>
      </c>
      <c r="I30" s="10">
        <v>7856930</v>
      </c>
      <c r="J30" s="12" t="s">
        <v>3839</v>
      </c>
      <c r="K30" s="12">
        <v>966</v>
      </c>
      <c r="L30" s="12" t="s">
        <v>3840</v>
      </c>
      <c r="M30" s="10">
        <v>9207942851</v>
      </c>
      <c r="N30" s="10">
        <v>1143977</v>
      </c>
      <c r="O30" s="12">
        <v>14</v>
      </c>
    </row>
    <row r="31" spans="1:15" ht="27" x14ac:dyDescent="0.3">
      <c r="A31" s="9">
        <v>43549</v>
      </c>
      <c r="B31" s="12">
        <v>63</v>
      </c>
      <c r="C31" s="11">
        <v>1.2999999999999999E-2</v>
      </c>
      <c r="D31" s="12">
        <v>74</v>
      </c>
      <c r="E31" s="11">
        <v>4.0000000000000001E-3</v>
      </c>
      <c r="F31" s="10">
        <v>8484</v>
      </c>
      <c r="G31" s="11">
        <v>3.0000000000000001E-3</v>
      </c>
      <c r="H31" s="11">
        <v>9.0999999999999998E-2</v>
      </c>
      <c r="I31" s="10">
        <v>4922050</v>
      </c>
      <c r="J31" s="12" t="s">
        <v>3841</v>
      </c>
      <c r="K31" s="12">
        <v>769</v>
      </c>
      <c r="L31" s="12" t="s">
        <v>3842</v>
      </c>
      <c r="M31" s="10">
        <v>9212864901</v>
      </c>
      <c r="N31" s="10">
        <v>1144746</v>
      </c>
      <c r="O31" s="12">
        <v>14</v>
      </c>
    </row>
    <row r="32" spans="1:15" ht="27" x14ac:dyDescent="0.3">
      <c r="A32" s="9">
        <v>43550</v>
      </c>
      <c r="B32" s="12">
        <v>62</v>
      </c>
      <c r="C32" s="11">
        <v>1.2E-2</v>
      </c>
      <c r="D32" s="12">
        <v>73</v>
      </c>
      <c r="E32" s="11">
        <v>4.0000000000000001E-3</v>
      </c>
      <c r="F32" s="10">
        <v>9104</v>
      </c>
      <c r="G32" s="11">
        <v>3.0000000000000001E-3</v>
      </c>
      <c r="H32" s="11">
        <v>4.9000000000000002E-2</v>
      </c>
      <c r="I32" s="10">
        <v>3068400</v>
      </c>
      <c r="J32" s="12" t="s">
        <v>3843</v>
      </c>
      <c r="K32" s="12">
        <v>445</v>
      </c>
      <c r="L32" s="12" t="s">
        <v>3844</v>
      </c>
      <c r="M32" s="10">
        <v>9215933301</v>
      </c>
      <c r="N32" s="10">
        <v>1145191</v>
      </c>
      <c r="O32" s="12">
        <v>23</v>
      </c>
    </row>
    <row r="33" spans="1:15" ht="27" x14ac:dyDescent="0.3">
      <c r="A33" s="9">
        <v>43551</v>
      </c>
      <c r="B33" s="12">
        <v>21</v>
      </c>
      <c r="C33" s="11">
        <v>3.0000000000000001E-3</v>
      </c>
      <c r="D33" s="12">
        <v>23</v>
      </c>
      <c r="E33" s="11">
        <v>1E-3</v>
      </c>
      <c r="F33" s="10">
        <v>2992</v>
      </c>
      <c r="G33" s="11">
        <v>1E-3</v>
      </c>
      <c r="H33" s="11">
        <v>0.47099999999999997</v>
      </c>
      <c r="I33" s="10">
        <v>8078500</v>
      </c>
      <c r="J33" s="12" t="s">
        <v>3845</v>
      </c>
      <c r="K33" s="10">
        <v>1408</v>
      </c>
      <c r="L33" s="12" t="s">
        <v>3846</v>
      </c>
      <c r="M33" s="10">
        <v>9224011801</v>
      </c>
      <c r="N33" s="10">
        <v>1146599</v>
      </c>
      <c r="O33" s="12">
        <v>12</v>
      </c>
    </row>
    <row r="34" spans="1:15" ht="27" x14ac:dyDescent="0.3">
      <c r="A34" s="9">
        <v>43552</v>
      </c>
      <c r="B34" s="12">
        <v>15</v>
      </c>
      <c r="C34" s="11">
        <v>3.0000000000000001E-3</v>
      </c>
      <c r="D34" s="12">
        <v>16</v>
      </c>
      <c r="E34" s="11">
        <v>1E-3</v>
      </c>
      <c r="F34" s="10">
        <v>1843</v>
      </c>
      <c r="G34" s="11">
        <v>1E-3</v>
      </c>
      <c r="H34" s="11">
        <v>0.42199999999999999</v>
      </c>
      <c r="I34" s="10">
        <v>4638600</v>
      </c>
      <c r="J34" s="12" t="s">
        <v>3847</v>
      </c>
      <c r="K34" s="12">
        <v>777</v>
      </c>
      <c r="L34" s="12" t="s">
        <v>3848</v>
      </c>
      <c r="M34" s="10">
        <v>9228650401</v>
      </c>
      <c r="N34" s="10">
        <v>1147376</v>
      </c>
      <c r="O34" s="12">
        <v>21</v>
      </c>
    </row>
    <row r="35" spans="1:15" ht="27" x14ac:dyDescent="0.3">
      <c r="A35" s="9">
        <v>43553</v>
      </c>
      <c r="B35" s="12">
        <v>12</v>
      </c>
      <c r="C35" s="11">
        <v>2E-3</v>
      </c>
      <c r="D35" s="12">
        <v>12</v>
      </c>
      <c r="E35" s="11">
        <v>1E-3</v>
      </c>
      <c r="F35" s="10">
        <v>1619</v>
      </c>
      <c r="G35" s="11">
        <v>1E-3</v>
      </c>
      <c r="H35" s="11">
        <v>0.53900000000000003</v>
      </c>
      <c r="I35" s="10">
        <v>5350200</v>
      </c>
      <c r="J35" s="12" t="s">
        <v>3849</v>
      </c>
      <c r="K35" s="12">
        <v>873</v>
      </c>
      <c r="L35" s="12" t="s">
        <v>3850</v>
      </c>
      <c r="M35" s="10">
        <v>9234000601</v>
      </c>
      <c r="N35" s="10">
        <v>1148249</v>
      </c>
      <c r="O35" s="12">
        <v>16</v>
      </c>
    </row>
    <row r="36" spans="1:15" ht="27" x14ac:dyDescent="0.3">
      <c r="A36" s="9">
        <v>43554</v>
      </c>
      <c r="B36" s="12">
        <v>6</v>
      </c>
      <c r="C36" s="11">
        <v>1E-3</v>
      </c>
      <c r="D36" s="12">
        <v>7</v>
      </c>
      <c r="E36" s="11">
        <v>0</v>
      </c>
      <c r="F36" s="12">
        <v>617</v>
      </c>
      <c r="G36" s="11">
        <v>0</v>
      </c>
      <c r="H36" s="11">
        <v>0.46</v>
      </c>
      <c r="I36" s="10">
        <v>1786000</v>
      </c>
      <c r="J36" s="12" t="s">
        <v>3851</v>
      </c>
      <c r="K36" s="12">
        <v>284</v>
      </c>
      <c r="L36" s="12" t="s">
        <v>3852</v>
      </c>
      <c r="M36" s="10">
        <v>9235786601</v>
      </c>
      <c r="N36" s="10">
        <v>1148533</v>
      </c>
      <c r="O36" s="12">
        <v>30</v>
      </c>
    </row>
    <row r="37" spans="1:15" ht="27" x14ac:dyDescent="0.3">
      <c r="A37" s="9">
        <v>43555</v>
      </c>
      <c r="B37" s="12">
        <v>7</v>
      </c>
      <c r="C37" s="11">
        <v>1E-3</v>
      </c>
      <c r="D37" s="12">
        <v>9</v>
      </c>
      <c r="E37" s="11">
        <v>0</v>
      </c>
      <c r="F37" s="12">
        <v>725</v>
      </c>
      <c r="G37" s="11">
        <v>0</v>
      </c>
      <c r="H37" s="11">
        <v>0.16700000000000001</v>
      </c>
      <c r="I37" s="10">
        <v>779000</v>
      </c>
      <c r="J37" s="12" t="s">
        <v>3853</v>
      </c>
      <c r="K37" s="12">
        <v>121</v>
      </c>
      <c r="L37" s="12" t="s">
        <v>3854</v>
      </c>
      <c r="M37" s="10">
        <v>9236565601</v>
      </c>
      <c r="N37" s="10">
        <v>1148654</v>
      </c>
      <c r="O37" s="12">
        <v>43</v>
      </c>
    </row>
    <row r="38" spans="1:15" ht="27" x14ac:dyDescent="0.3">
      <c r="A38" s="9">
        <v>43556</v>
      </c>
      <c r="B38" s="12">
        <v>5</v>
      </c>
      <c r="C38" s="11">
        <v>1E-3</v>
      </c>
      <c r="D38" s="12">
        <v>6</v>
      </c>
      <c r="E38" s="11">
        <v>0</v>
      </c>
      <c r="F38" s="12">
        <v>348</v>
      </c>
      <c r="G38" s="11">
        <v>0</v>
      </c>
      <c r="H38" s="11">
        <v>0.35599999999999998</v>
      </c>
      <c r="I38" s="10">
        <v>654000</v>
      </c>
      <c r="J38" s="12" t="s">
        <v>3855</v>
      </c>
      <c r="K38" s="12">
        <v>124</v>
      </c>
      <c r="L38" s="12" t="s">
        <v>3856</v>
      </c>
      <c r="M38" s="10">
        <v>9237219601</v>
      </c>
      <c r="N38" s="10">
        <v>1148778</v>
      </c>
      <c r="O38" s="12">
        <v>39</v>
      </c>
    </row>
    <row r="39" spans="1:15" ht="27" x14ac:dyDescent="0.3">
      <c r="A39" s="9">
        <v>43557</v>
      </c>
      <c r="B39" s="12">
        <v>12</v>
      </c>
      <c r="C39" s="11">
        <v>2E-3</v>
      </c>
      <c r="D39" s="12">
        <v>13</v>
      </c>
      <c r="E39" s="11">
        <v>1E-3</v>
      </c>
      <c r="F39" s="10">
        <v>1577</v>
      </c>
      <c r="G39" s="11">
        <v>1E-3</v>
      </c>
      <c r="H39" s="11">
        <v>0.112</v>
      </c>
      <c r="I39" s="10">
        <v>1101300</v>
      </c>
      <c r="J39" s="12" t="s">
        <v>3857</v>
      </c>
      <c r="K39" s="12">
        <v>176</v>
      </c>
      <c r="L39" s="12" t="s">
        <v>3858</v>
      </c>
      <c r="M39" s="10">
        <v>9238320901</v>
      </c>
      <c r="N39" s="10">
        <v>1148954</v>
      </c>
      <c r="O39" s="12">
        <v>32</v>
      </c>
    </row>
    <row r="40" spans="1:15" ht="27" x14ac:dyDescent="0.3">
      <c r="A40" s="9">
        <v>43558</v>
      </c>
      <c r="B40" s="12">
        <v>5</v>
      </c>
      <c r="C40" s="11">
        <v>1E-3</v>
      </c>
      <c r="D40" s="12">
        <v>5</v>
      </c>
      <c r="E40" s="11">
        <v>0</v>
      </c>
      <c r="F40" s="12">
        <v>502</v>
      </c>
      <c r="G40" s="11">
        <v>0</v>
      </c>
      <c r="H40" s="11">
        <v>0.23300000000000001</v>
      </c>
      <c r="I40" s="10">
        <v>602000</v>
      </c>
      <c r="J40" s="12" t="s">
        <v>3859</v>
      </c>
      <c r="K40" s="12">
        <v>117</v>
      </c>
      <c r="L40" s="12" t="s">
        <v>3860</v>
      </c>
      <c r="M40" s="10">
        <v>9238922901</v>
      </c>
      <c r="N40" s="10">
        <v>1149071</v>
      </c>
      <c r="O40" s="12">
        <v>39</v>
      </c>
    </row>
    <row r="41" spans="1:15" ht="27" x14ac:dyDescent="0.3">
      <c r="A41" s="9">
        <v>43559</v>
      </c>
      <c r="B41" s="12">
        <v>7</v>
      </c>
      <c r="C41" s="11">
        <v>1E-3</v>
      </c>
      <c r="D41" s="12">
        <v>7</v>
      </c>
      <c r="E41" s="11">
        <v>0</v>
      </c>
      <c r="F41" s="10">
        <v>1058</v>
      </c>
      <c r="G41" s="11">
        <v>0</v>
      </c>
      <c r="H41" s="11">
        <v>0.55300000000000005</v>
      </c>
      <c r="I41" s="10">
        <v>4096000</v>
      </c>
      <c r="J41" s="12" t="s">
        <v>3861</v>
      </c>
      <c r="K41" s="12">
        <v>585</v>
      </c>
      <c r="L41" s="12" t="s">
        <v>3862</v>
      </c>
      <c r="M41" s="10">
        <v>9243018901</v>
      </c>
      <c r="N41" s="10">
        <v>1149656</v>
      </c>
      <c r="O41" s="12">
        <v>18</v>
      </c>
    </row>
    <row r="42" spans="1:15" ht="27" x14ac:dyDescent="0.3">
      <c r="A42" s="9">
        <v>43560</v>
      </c>
      <c r="B42" s="12">
        <v>7</v>
      </c>
      <c r="C42" s="11">
        <v>1E-3</v>
      </c>
      <c r="D42" s="12">
        <v>7</v>
      </c>
      <c r="E42" s="11">
        <v>0</v>
      </c>
      <c r="F42" s="12">
        <v>963</v>
      </c>
      <c r="G42" s="11">
        <v>0</v>
      </c>
      <c r="H42" s="11">
        <v>0.58499999999999996</v>
      </c>
      <c r="I42" s="10">
        <v>3763500</v>
      </c>
      <c r="J42" s="12" t="s">
        <v>3863</v>
      </c>
      <c r="K42" s="12">
        <v>563</v>
      </c>
      <c r="L42" s="12" t="s">
        <v>3864</v>
      </c>
      <c r="M42" s="10">
        <v>9246782401</v>
      </c>
      <c r="N42" s="10">
        <v>1150219</v>
      </c>
      <c r="O42" s="12">
        <v>16</v>
      </c>
    </row>
    <row r="43" spans="1:15" ht="27" x14ac:dyDescent="0.3">
      <c r="A43" s="9">
        <v>43561</v>
      </c>
      <c r="B43" s="12">
        <v>4</v>
      </c>
      <c r="C43" s="11">
        <v>1E-3</v>
      </c>
      <c r="D43" s="12">
        <v>4</v>
      </c>
      <c r="E43" s="11">
        <v>0</v>
      </c>
      <c r="F43" s="12">
        <v>538</v>
      </c>
      <c r="G43" s="11">
        <v>0</v>
      </c>
      <c r="H43" s="11">
        <v>0.253</v>
      </c>
      <c r="I43" s="10">
        <v>769000</v>
      </c>
      <c r="J43" s="12" t="s">
        <v>3865</v>
      </c>
      <c r="K43" s="12">
        <v>136</v>
      </c>
      <c r="L43" s="12" t="s">
        <v>3866</v>
      </c>
      <c r="M43" s="10">
        <v>9247551401</v>
      </c>
      <c r="N43" s="10">
        <v>1150355</v>
      </c>
      <c r="O43" s="12">
        <v>40</v>
      </c>
    </row>
    <row r="44" spans="1:15" ht="27" x14ac:dyDescent="0.3">
      <c r="A44" s="9">
        <v>43562</v>
      </c>
      <c r="B44" s="12">
        <v>5</v>
      </c>
      <c r="C44" s="11">
        <v>1E-3</v>
      </c>
      <c r="D44" s="12">
        <v>5</v>
      </c>
      <c r="E44" s="11">
        <v>0</v>
      </c>
      <c r="F44" s="12">
        <v>679</v>
      </c>
      <c r="G44" s="11">
        <v>0</v>
      </c>
      <c r="H44" s="11">
        <v>0.20599999999999999</v>
      </c>
      <c r="I44" s="10">
        <v>746500</v>
      </c>
      <c r="J44" s="12" t="s">
        <v>3867</v>
      </c>
      <c r="K44" s="12">
        <v>140</v>
      </c>
      <c r="L44" s="12" t="s">
        <v>3868</v>
      </c>
      <c r="M44" s="10">
        <v>9248297901</v>
      </c>
      <c r="N44" s="10">
        <v>1150495</v>
      </c>
      <c r="O44" s="12">
        <v>31</v>
      </c>
    </row>
    <row r="45" spans="1:15" ht="27" x14ac:dyDescent="0.3">
      <c r="A45" s="9">
        <v>43563</v>
      </c>
      <c r="B45" s="12">
        <v>4</v>
      </c>
      <c r="C45" s="11">
        <v>1E-3</v>
      </c>
      <c r="D45" s="12">
        <v>4</v>
      </c>
      <c r="E45" s="11">
        <v>0</v>
      </c>
      <c r="F45" s="12">
        <v>423</v>
      </c>
      <c r="G45" s="11">
        <v>0</v>
      </c>
      <c r="H45" s="11">
        <v>0.27200000000000002</v>
      </c>
      <c r="I45" s="10">
        <v>595000</v>
      </c>
      <c r="J45" s="12" t="s">
        <v>3869</v>
      </c>
      <c r="K45" s="12">
        <v>115</v>
      </c>
      <c r="L45" s="12" t="s">
        <v>3870</v>
      </c>
      <c r="M45" s="10">
        <v>9248892901</v>
      </c>
      <c r="N45" s="10">
        <v>1150610</v>
      </c>
      <c r="O45" s="12">
        <v>33</v>
      </c>
    </row>
    <row r="46" spans="1:15" ht="27" x14ac:dyDescent="0.3">
      <c r="A46" s="9">
        <v>43564</v>
      </c>
      <c r="B46" s="12">
        <v>7</v>
      </c>
      <c r="C46" s="11">
        <v>1E-3</v>
      </c>
      <c r="D46" s="12">
        <v>7</v>
      </c>
      <c r="E46" s="11">
        <v>0</v>
      </c>
      <c r="F46" s="12">
        <v>742</v>
      </c>
      <c r="G46" s="11">
        <v>0</v>
      </c>
      <c r="H46" s="11">
        <v>0.42899999999999999</v>
      </c>
      <c r="I46" s="10">
        <v>1611000</v>
      </c>
      <c r="J46" s="12" t="s">
        <v>3871</v>
      </c>
      <c r="K46" s="12">
        <v>318</v>
      </c>
      <c r="L46" s="12" t="s">
        <v>3872</v>
      </c>
      <c r="M46" s="10">
        <v>9250503901</v>
      </c>
      <c r="N46" s="10">
        <v>1150928</v>
      </c>
      <c r="O46" s="12">
        <v>19</v>
      </c>
    </row>
    <row r="47" spans="1:15" ht="27" x14ac:dyDescent="0.3">
      <c r="A47" s="9">
        <v>43565</v>
      </c>
      <c r="B47" s="12">
        <v>6</v>
      </c>
      <c r="C47" s="11">
        <v>1E-3</v>
      </c>
      <c r="D47" s="12">
        <v>6</v>
      </c>
      <c r="E47" s="11">
        <v>0</v>
      </c>
      <c r="F47" s="12">
        <v>576</v>
      </c>
      <c r="G47" s="11">
        <v>0</v>
      </c>
      <c r="H47" s="11">
        <v>0.41</v>
      </c>
      <c r="I47" s="10">
        <v>1298600</v>
      </c>
      <c r="J47" s="12" t="s">
        <v>3873</v>
      </c>
      <c r="K47" s="12">
        <v>236</v>
      </c>
      <c r="L47" s="12" t="s">
        <v>3874</v>
      </c>
      <c r="M47" s="10">
        <v>9251802501</v>
      </c>
      <c r="N47" s="10">
        <v>1151164</v>
      </c>
      <c r="O47" s="12">
        <v>29</v>
      </c>
    </row>
    <row r="48" spans="1:15" ht="27" x14ac:dyDescent="0.3">
      <c r="A48" s="9">
        <v>43566</v>
      </c>
      <c r="B48" s="12">
        <v>13</v>
      </c>
      <c r="C48" s="11">
        <v>2E-3</v>
      </c>
      <c r="D48" s="12">
        <v>13</v>
      </c>
      <c r="E48" s="11">
        <v>1E-3</v>
      </c>
      <c r="F48" s="10">
        <v>1672</v>
      </c>
      <c r="G48" s="11">
        <v>1E-3</v>
      </c>
      <c r="H48" s="11">
        <v>0.71099999999999997</v>
      </c>
      <c r="I48" s="10">
        <v>7060300</v>
      </c>
      <c r="J48" s="12" t="s">
        <v>3875</v>
      </c>
      <c r="K48" s="10">
        <v>1188</v>
      </c>
      <c r="L48" s="12" t="s">
        <v>3876</v>
      </c>
      <c r="M48" s="10">
        <v>9258862801</v>
      </c>
      <c r="N48" s="10">
        <v>1152352</v>
      </c>
      <c r="O48" s="12">
        <v>16</v>
      </c>
    </row>
    <row r="49" spans="1:15" ht="27" x14ac:dyDescent="0.3">
      <c r="A49" s="9">
        <v>43567</v>
      </c>
      <c r="B49" s="12">
        <v>4</v>
      </c>
      <c r="C49" s="11">
        <v>1E-3</v>
      </c>
      <c r="D49" s="12">
        <v>4</v>
      </c>
      <c r="E49" s="11">
        <v>0</v>
      </c>
      <c r="F49" s="12">
        <v>408</v>
      </c>
      <c r="G49" s="11">
        <v>0</v>
      </c>
      <c r="H49" s="11">
        <v>0.29399999999999998</v>
      </c>
      <c r="I49" s="10">
        <v>639500</v>
      </c>
      <c r="J49" s="12" t="s">
        <v>3877</v>
      </c>
      <c r="K49" s="12">
        <v>120</v>
      </c>
      <c r="L49" s="12" t="s">
        <v>3878</v>
      </c>
      <c r="M49" s="10">
        <v>9259502301</v>
      </c>
      <c r="N49" s="10">
        <v>1152472</v>
      </c>
      <c r="O49" s="12">
        <v>39</v>
      </c>
    </row>
    <row r="50" spans="1:15" ht="27" x14ac:dyDescent="0.3">
      <c r="A50" s="9">
        <v>43568</v>
      </c>
      <c r="B50" s="12">
        <v>4</v>
      </c>
      <c r="C50" s="11">
        <v>1E-3</v>
      </c>
      <c r="D50" s="12">
        <v>4</v>
      </c>
      <c r="E50" s="11">
        <v>0</v>
      </c>
      <c r="F50" s="12">
        <v>520</v>
      </c>
      <c r="G50" s="11">
        <v>0</v>
      </c>
      <c r="H50" s="11">
        <v>0.27300000000000002</v>
      </c>
      <c r="I50" s="10">
        <v>740000</v>
      </c>
      <c r="J50" s="12" t="s">
        <v>3879</v>
      </c>
      <c r="K50" s="12">
        <v>142</v>
      </c>
      <c r="L50" s="12" t="s">
        <v>3880</v>
      </c>
      <c r="M50" s="10">
        <v>9260242301</v>
      </c>
      <c r="N50" s="10">
        <v>1152614</v>
      </c>
      <c r="O50" s="12">
        <v>39</v>
      </c>
    </row>
    <row r="51" spans="1:15" ht="27" x14ac:dyDescent="0.3">
      <c r="A51" s="9">
        <v>43569</v>
      </c>
      <c r="B51" s="12">
        <v>4</v>
      </c>
      <c r="C51" s="11">
        <v>1E-3</v>
      </c>
      <c r="D51" s="12">
        <v>4</v>
      </c>
      <c r="E51" s="11">
        <v>0</v>
      </c>
      <c r="F51" s="12">
        <v>535</v>
      </c>
      <c r="G51" s="11">
        <v>0</v>
      </c>
      <c r="H51" s="11">
        <v>0.23599999999999999</v>
      </c>
      <c r="I51" s="10">
        <v>671800</v>
      </c>
      <c r="J51" s="12" t="s">
        <v>3881</v>
      </c>
      <c r="K51" s="12">
        <v>126</v>
      </c>
      <c r="L51" s="12" t="s">
        <v>3882</v>
      </c>
      <c r="M51" s="10">
        <v>9260914101</v>
      </c>
      <c r="N51" s="10">
        <v>1152740</v>
      </c>
      <c r="O51" s="12">
        <v>37</v>
      </c>
    </row>
    <row r="52" spans="1:15" ht="27" x14ac:dyDescent="0.3">
      <c r="A52" s="9">
        <v>43570</v>
      </c>
      <c r="B52" s="12">
        <v>8</v>
      </c>
      <c r="C52" s="11">
        <v>1E-3</v>
      </c>
      <c r="D52" s="12">
        <v>9</v>
      </c>
      <c r="E52" s="11">
        <v>1E-3</v>
      </c>
      <c r="F52" s="10">
        <v>1314</v>
      </c>
      <c r="G52" s="11">
        <v>1E-3</v>
      </c>
      <c r="H52" s="11">
        <v>0.30499999999999999</v>
      </c>
      <c r="I52" s="10">
        <v>2731000</v>
      </c>
      <c r="J52" s="12" t="s">
        <v>3883</v>
      </c>
      <c r="K52" s="12">
        <v>401</v>
      </c>
      <c r="L52" s="12" t="s">
        <v>3884</v>
      </c>
      <c r="M52" s="10">
        <v>9263645101</v>
      </c>
      <c r="N52" s="10">
        <v>1153141</v>
      </c>
      <c r="O52" s="12">
        <v>21</v>
      </c>
    </row>
    <row r="53" spans="1:15" ht="27" x14ac:dyDescent="0.3">
      <c r="A53" s="9">
        <v>43571</v>
      </c>
      <c r="B53" s="12">
        <v>4</v>
      </c>
      <c r="C53" s="11">
        <v>1E-3</v>
      </c>
      <c r="D53" s="12">
        <v>4</v>
      </c>
      <c r="E53" s="11">
        <v>0</v>
      </c>
      <c r="F53" s="12">
        <v>270</v>
      </c>
      <c r="G53" s="11">
        <v>0</v>
      </c>
      <c r="H53" s="11">
        <v>0.34399999999999997</v>
      </c>
      <c r="I53" s="10">
        <v>489000</v>
      </c>
      <c r="J53" s="12" t="s">
        <v>3885</v>
      </c>
      <c r="K53" s="12">
        <v>93</v>
      </c>
      <c r="L53" s="12" t="s">
        <v>3886</v>
      </c>
      <c r="M53" s="10">
        <v>9264134101</v>
      </c>
      <c r="N53" s="10">
        <v>1153234</v>
      </c>
      <c r="O53" s="12">
        <v>43</v>
      </c>
    </row>
    <row r="54" spans="1:15" ht="27" x14ac:dyDescent="0.3">
      <c r="A54" s="9">
        <v>43572</v>
      </c>
      <c r="B54" s="12">
        <v>4</v>
      </c>
      <c r="C54" s="11">
        <v>1E-3</v>
      </c>
      <c r="D54" s="12">
        <v>4</v>
      </c>
      <c r="E54" s="11">
        <v>0</v>
      </c>
      <c r="F54" s="12">
        <v>375</v>
      </c>
      <c r="G54" s="11">
        <v>0</v>
      </c>
      <c r="H54" s="11">
        <v>0.432</v>
      </c>
      <c r="I54" s="10">
        <v>894000</v>
      </c>
      <c r="J54" s="12" t="s">
        <v>3887</v>
      </c>
      <c r="K54" s="12">
        <v>162</v>
      </c>
      <c r="L54" s="12" t="s">
        <v>3888</v>
      </c>
      <c r="M54" s="10">
        <v>9265028101</v>
      </c>
      <c r="N54" s="10">
        <v>1153396</v>
      </c>
      <c r="O54" s="12">
        <v>41</v>
      </c>
    </row>
    <row r="55" spans="1:15" ht="27" x14ac:dyDescent="0.3">
      <c r="A55" s="9">
        <v>43573</v>
      </c>
      <c r="B55" s="12">
        <v>4</v>
      </c>
      <c r="C55" s="11">
        <v>1E-3</v>
      </c>
      <c r="D55" s="12">
        <v>4</v>
      </c>
      <c r="E55" s="11">
        <v>0</v>
      </c>
      <c r="F55" s="12">
        <v>474</v>
      </c>
      <c r="G55" s="11">
        <v>0</v>
      </c>
      <c r="H55" s="11">
        <v>0.38</v>
      </c>
      <c r="I55" s="10">
        <v>1065000</v>
      </c>
      <c r="J55" s="12" t="s">
        <v>3889</v>
      </c>
      <c r="K55" s="12">
        <v>180</v>
      </c>
      <c r="L55" s="12" t="s">
        <v>3890</v>
      </c>
      <c r="M55" s="10">
        <v>9266093101</v>
      </c>
      <c r="N55" s="10">
        <v>1153576</v>
      </c>
      <c r="O55" s="12">
        <v>45</v>
      </c>
    </row>
    <row r="56" spans="1:15" ht="27" x14ac:dyDescent="0.3">
      <c r="A56" s="9">
        <v>43574</v>
      </c>
      <c r="B56" s="12">
        <v>2</v>
      </c>
      <c r="C56" s="11">
        <v>0</v>
      </c>
      <c r="D56" s="12">
        <v>2</v>
      </c>
      <c r="E56" s="11">
        <v>0</v>
      </c>
      <c r="F56" s="12">
        <v>317</v>
      </c>
      <c r="G56" s="11">
        <v>0</v>
      </c>
      <c r="H56" s="11">
        <v>0.41599999999999998</v>
      </c>
      <c r="I56" s="10">
        <v>762000</v>
      </c>
      <c r="J56" s="12" t="s">
        <v>3891</v>
      </c>
      <c r="K56" s="12">
        <v>132</v>
      </c>
      <c r="L56" s="12" t="s">
        <v>3892</v>
      </c>
      <c r="M56" s="10">
        <v>9266855101</v>
      </c>
      <c r="N56" s="10">
        <v>1153708</v>
      </c>
      <c r="O56" s="12">
        <v>50</v>
      </c>
    </row>
    <row r="57" spans="1:15" ht="27" x14ac:dyDescent="0.3">
      <c r="A57" s="9">
        <v>43576</v>
      </c>
      <c r="B57" s="12">
        <v>1</v>
      </c>
      <c r="C57" s="11">
        <v>0</v>
      </c>
      <c r="D57" s="12">
        <v>1</v>
      </c>
      <c r="E57" s="11">
        <v>0</v>
      </c>
      <c r="F57" s="12">
        <v>128</v>
      </c>
      <c r="G57" s="11">
        <v>0</v>
      </c>
      <c r="H57" s="11">
        <v>1</v>
      </c>
      <c r="I57" s="10">
        <v>1408000</v>
      </c>
      <c r="J57" s="12" t="s">
        <v>3893</v>
      </c>
      <c r="K57" s="12">
        <v>128</v>
      </c>
      <c r="L57" s="12" t="s">
        <v>3894</v>
      </c>
      <c r="M57" s="10">
        <v>9268263101</v>
      </c>
      <c r="N57" s="10">
        <v>1153836</v>
      </c>
      <c r="O57" s="12">
        <v>49</v>
      </c>
    </row>
    <row r="58" spans="1:15" ht="27" x14ac:dyDescent="0.3">
      <c r="A58" s="9">
        <v>43577</v>
      </c>
      <c r="B58" s="12">
        <v>4</v>
      </c>
      <c r="C58" s="11">
        <v>1E-3</v>
      </c>
      <c r="D58" s="12">
        <v>4</v>
      </c>
      <c r="E58" s="11">
        <v>0</v>
      </c>
      <c r="F58" s="12">
        <v>484</v>
      </c>
      <c r="G58" s="11">
        <v>0</v>
      </c>
      <c r="H58" s="11">
        <v>0.49199999999999999</v>
      </c>
      <c r="I58" s="10">
        <v>1246000</v>
      </c>
      <c r="J58" s="12" t="s">
        <v>3895</v>
      </c>
      <c r="K58" s="12">
        <v>238</v>
      </c>
      <c r="L58" s="12" t="s">
        <v>3896</v>
      </c>
      <c r="M58" s="10">
        <v>9269509101</v>
      </c>
      <c r="N58" s="10">
        <v>1154074</v>
      </c>
      <c r="O58" s="12">
        <v>33</v>
      </c>
    </row>
    <row r="59" spans="1:15" ht="27" x14ac:dyDescent="0.3">
      <c r="A59" s="9">
        <v>43578</v>
      </c>
      <c r="B59" s="12">
        <v>8</v>
      </c>
      <c r="C59" s="11">
        <v>1E-3</v>
      </c>
      <c r="D59" s="12">
        <v>9</v>
      </c>
      <c r="E59" s="11">
        <v>1E-3</v>
      </c>
      <c r="F59" s="12">
        <v>918</v>
      </c>
      <c r="G59" s="11">
        <v>0</v>
      </c>
      <c r="H59" s="11">
        <v>0.33900000000000002</v>
      </c>
      <c r="I59" s="10">
        <v>1570000</v>
      </c>
      <c r="J59" s="12" t="s">
        <v>3897</v>
      </c>
      <c r="K59" s="12">
        <v>311</v>
      </c>
      <c r="L59" s="12" t="s">
        <v>3898</v>
      </c>
      <c r="M59" s="10">
        <v>9271079101</v>
      </c>
      <c r="N59" s="10">
        <v>1154385</v>
      </c>
      <c r="O59" s="12">
        <v>36</v>
      </c>
    </row>
    <row r="60" spans="1:15" ht="27" x14ac:dyDescent="0.3">
      <c r="A60" s="9">
        <v>43579</v>
      </c>
      <c r="B60" s="12">
        <v>1</v>
      </c>
      <c r="C60" s="11">
        <v>0</v>
      </c>
      <c r="D60" s="12">
        <v>1</v>
      </c>
      <c r="E60" s="11">
        <v>0</v>
      </c>
      <c r="F60" s="12">
        <v>141</v>
      </c>
      <c r="G60" s="11">
        <v>0</v>
      </c>
      <c r="H60" s="11">
        <v>0.28399999999999997</v>
      </c>
      <c r="I60" s="10">
        <v>200000</v>
      </c>
      <c r="J60" s="12" t="s">
        <v>3899</v>
      </c>
      <c r="K60" s="12">
        <v>40</v>
      </c>
      <c r="L60" s="12" t="s">
        <v>3900</v>
      </c>
      <c r="M60" s="10">
        <v>9271279101</v>
      </c>
      <c r="N60" s="10">
        <v>1154425</v>
      </c>
      <c r="O60" s="12">
        <v>66</v>
      </c>
    </row>
    <row r="61" spans="1:15" ht="27" x14ac:dyDescent="0.3">
      <c r="A61" s="9">
        <v>43580</v>
      </c>
      <c r="B61" s="12">
        <v>8</v>
      </c>
      <c r="C61" s="11">
        <v>2E-3</v>
      </c>
      <c r="D61" s="12">
        <v>8</v>
      </c>
      <c r="E61" s="11">
        <v>1E-3</v>
      </c>
      <c r="F61" s="12">
        <v>703</v>
      </c>
      <c r="G61" s="11">
        <v>0</v>
      </c>
      <c r="H61" s="11">
        <v>0.46200000000000002</v>
      </c>
      <c r="I61" s="10">
        <v>1712000</v>
      </c>
      <c r="J61" s="12" t="s">
        <v>3901</v>
      </c>
      <c r="K61" s="12">
        <v>325</v>
      </c>
      <c r="L61" s="12" t="s">
        <v>3902</v>
      </c>
      <c r="M61" s="10">
        <v>9272991101</v>
      </c>
      <c r="N61" s="10">
        <v>1154750</v>
      </c>
      <c r="O61" s="12">
        <v>22</v>
      </c>
    </row>
    <row r="62" spans="1:15" ht="27" x14ac:dyDescent="0.3">
      <c r="A62" s="9">
        <v>43581</v>
      </c>
      <c r="B62" s="12">
        <v>1</v>
      </c>
      <c r="C62" s="11">
        <v>0</v>
      </c>
      <c r="D62" s="12">
        <v>1</v>
      </c>
      <c r="E62" s="11">
        <v>0</v>
      </c>
      <c r="F62" s="12">
        <v>146</v>
      </c>
      <c r="G62" s="11">
        <v>0</v>
      </c>
      <c r="H62" s="11">
        <v>0.41799999999999998</v>
      </c>
      <c r="I62" s="10">
        <v>338000</v>
      </c>
      <c r="J62" s="12" t="s">
        <v>3903</v>
      </c>
      <c r="K62" s="12">
        <v>61</v>
      </c>
      <c r="L62" s="12" t="s">
        <v>3904</v>
      </c>
      <c r="M62" s="10">
        <v>9273329101</v>
      </c>
      <c r="N62" s="10">
        <v>1154811</v>
      </c>
      <c r="O62" s="12">
        <v>61</v>
      </c>
    </row>
    <row r="63" spans="1:15" ht="27" x14ac:dyDescent="0.3">
      <c r="A63" s="9">
        <v>43584</v>
      </c>
      <c r="B63" s="12">
        <v>1</v>
      </c>
      <c r="C63" s="11">
        <v>0</v>
      </c>
      <c r="D63" s="12">
        <v>1</v>
      </c>
      <c r="E63" s="11">
        <v>0</v>
      </c>
      <c r="F63" s="12">
        <v>107</v>
      </c>
      <c r="G63" s="11">
        <v>0</v>
      </c>
      <c r="H63" s="11">
        <v>0.86899999999999999</v>
      </c>
      <c r="I63" s="10">
        <v>465000</v>
      </c>
      <c r="J63" s="12" t="s">
        <v>3905</v>
      </c>
      <c r="K63" s="12">
        <v>93</v>
      </c>
      <c r="L63" s="12" t="s">
        <v>3906</v>
      </c>
      <c r="M63" s="10">
        <v>9273794101</v>
      </c>
      <c r="N63" s="10">
        <v>1154904</v>
      </c>
      <c r="O63" s="12">
        <v>49</v>
      </c>
    </row>
    <row r="64" spans="1:15" ht="27" x14ac:dyDescent="0.3">
      <c r="A64" s="9">
        <v>43585</v>
      </c>
      <c r="B64" s="12">
        <v>3</v>
      </c>
      <c r="C64" s="11">
        <v>1E-3</v>
      </c>
      <c r="D64" s="12">
        <v>3</v>
      </c>
      <c r="E64" s="11">
        <v>0</v>
      </c>
      <c r="F64" s="12">
        <v>382</v>
      </c>
      <c r="G64" s="11">
        <v>0</v>
      </c>
      <c r="H64" s="11">
        <v>0.67500000000000004</v>
      </c>
      <c r="I64" s="10">
        <v>1340000</v>
      </c>
      <c r="J64" s="12" t="s">
        <v>3907</v>
      </c>
      <c r="K64" s="12">
        <v>258</v>
      </c>
      <c r="L64" s="12" t="s">
        <v>3908</v>
      </c>
      <c r="M64" s="10">
        <v>9275134101</v>
      </c>
      <c r="N64" s="10">
        <v>1155162</v>
      </c>
      <c r="O64" s="12">
        <v>33</v>
      </c>
    </row>
    <row r="65" spans="1:15" ht="27" x14ac:dyDescent="0.3">
      <c r="A65" s="9">
        <v>43588</v>
      </c>
      <c r="B65" s="12">
        <v>2</v>
      </c>
      <c r="C65" s="11">
        <v>0</v>
      </c>
      <c r="D65" s="12">
        <v>2</v>
      </c>
      <c r="E65" s="11">
        <v>0</v>
      </c>
      <c r="F65" s="12">
        <v>293</v>
      </c>
      <c r="G65" s="11">
        <v>0</v>
      </c>
      <c r="H65" s="11">
        <v>0.437</v>
      </c>
      <c r="I65" s="10">
        <v>896000</v>
      </c>
      <c r="J65" s="12" t="s">
        <v>3909</v>
      </c>
      <c r="K65" s="12">
        <v>128</v>
      </c>
      <c r="L65" s="12" t="s">
        <v>3894</v>
      </c>
      <c r="M65" s="10">
        <v>9276030101</v>
      </c>
      <c r="N65" s="10">
        <v>1155290</v>
      </c>
      <c r="O65" s="12">
        <v>37</v>
      </c>
    </row>
    <row r="66" spans="1:15" ht="27" x14ac:dyDescent="0.3">
      <c r="A66" s="9">
        <v>43592</v>
      </c>
      <c r="B66" s="12">
        <v>1</v>
      </c>
      <c r="C66" s="11">
        <v>0</v>
      </c>
      <c r="D66" s="12">
        <v>1</v>
      </c>
      <c r="E66" s="11">
        <v>0</v>
      </c>
      <c r="F66" s="12">
        <v>155</v>
      </c>
      <c r="G66" s="11">
        <v>0</v>
      </c>
      <c r="H66" s="11">
        <v>0.63200000000000001</v>
      </c>
      <c r="I66" s="10">
        <v>490000</v>
      </c>
      <c r="J66" s="12" t="s">
        <v>484</v>
      </c>
      <c r="K66" s="12">
        <v>98</v>
      </c>
      <c r="L66" s="12" t="s">
        <v>485</v>
      </c>
      <c r="M66" s="10">
        <v>9276520101</v>
      </c>
      <c r="N66" s="10">
        <v>1155388</v>
      </c>
      <c r="O66" s="12">
        <v>36</v>
      </c>
    </row>
    <row r="67" spans="1:15" ht="27" x14ac:dyDescent="0.3">
      <c r="A67" s="9">
        <v>43593</v>
      </c>
      <c r="B67" s="12">
        <v>2</v>
      </c>
      <c r="C67" s="11">
        <v>0</v>
      </c>
      <c r="D67" s="12">
        <v>2</v>
      </c>
      <c r="E67" s="11">
        <v>0</v>
      </c>
      <c r="F67" s="12">
        <v>373</v>
      </c>
      <c r="G67" s="11">
        <v>0</v>
      </c>
      <c r="H67" s="11">
        <v>0.84699999999999998</v>
      </c>
      <c r="I67" s="10">
        <v>1798000</v>
      </c>
      <c r="J67" s="12" t="s">
        <v>3910</v>
      </c>
      <c r="K67" s="12">
        <v>316</v>
      </c>
      <c r="L67" s="12" t="s">
        <v>3911</v>
      </c>
      <c r="M67" s="10">
        <v>9278318101</v>
      </c>
      <c r="N67" s="10">
        <v>1155704</v>
      </c>
      <c r="O67" s="12">
        <v>24</v>
      </c>
    </row>
    <row r="68" spans="1:15" ht="27" x14ac:dyDescent="0.3">
      <c r="A68" s="9">
        <v>43599</v>
      </c>
      <c r="B68" s="12">
        <v>2</v>
      </c>
      <c r="C68" s="11">
        <v>0</v>
      </c>
      <c r="D68" s="12">
        <v>2</v>
      </c>
      <c r="E68" s="11">
        <v>0</v>
      </c>
      <c r="F68" s="12">
        <v>98</v>
      </c>
      <c r="G68" s="11">
        <v>0</v>
      </c>
      <c r="H68" s="11">
        <v>0.70399999999999996</v>
      </c>
      <c r="I68" s="10">
        <v>367000</v>
      </c>
      <c r="J68" s="12" t="s">
        <v>3912</v>
      </c>
      <c r="K68" s="12">
        <v>69</v>
      </c>
      <c r="L68" s="12" t="s">
        <v>3913</v>
      </c>
      <c r="M68" s="10">
        <v>9278685101</v>
      </c>
      <c r="N68" s="10">
        <v>1155773</v>
      </c>
      <c r="O68" s="12">
        <v>47</v>
      </c>
    </row>
    <row r="69" spans="1:15" ht="27" x14ac:dyDescent="0.3">
      <c r="A69" s="9">
        <v>43602</v>
      </c>
      <c r="B69" s="12">
        <v>2</v>
      </c>
      <c r="C69" s="11">
        <v>0</v>
      </c>
      <c r="D69" s="12">
        <v>4</v>
      </c>
      <c r="E69" s="11">
        <v>0</v>
      </c>
      <c r="F69" s="12">
        <v>196</v>
      </c>
      <c r="G69" s="11">
        <v>0</v>
      </c>
      <c r="H69" s="11">
        <v>0.995</v>
      </c>
      <c r="I69" s="10">
        <v>980000</v>
      </c>
      <c r="J69" s="12" t="s">
        <v>3914</v>
      </c>
      <c r="K69" s="12">
        <v>195</v>
      </c>
      <c r="L69" s="12" t="s">
        <v>3915</v>
      </c>
      <c r="M69" s="10">
        <v>9279665101</v>
      </c>
      <c r="N69" s="10">
        <v>1155968</v>
      </c>
      <c r="O69" s="12">
        <v>36</v>
      </c>
    </row>
    <row r="70" spans="1:15" ht="27" x14ac:dyDescent="0.3">
      <c r="A70" s="9">
        <v>43607</v>
      </c>
      <c r="B70" s="12">
        <v>3</v>
      </c>
      <c r="C70" s="11">
        <v>1E-3</v>
      </c>
      <c r="D70" s="12">
        <v>3</v>
      </c>
      <c r="E70" s="11">
        <v>0</v>
      </c>
      <c r="F70" s="12">
        <v>486</v>
      </c>
      <c r="G70" s="11">
        <v>0</v>
      </c>
      <c r="H70" s="11">
        <v>0.81299999999999994</v>
      </c>
      <c r="I70" s="10">
        <v>2300000</v>
      </c>
      <c r="J70" s="12" t="s">
        <v>3916</v>
      </c>
      <c r="K70" s="12">
        <v>395</v>
      </c>
      <c r="L70" s="12" t="s">
        <v>3917</v>
      </c>
      <c r="M70" s="10">
        <v>9281965101</v>
      </c>
      <c r="N70" s="10">
        <v>1156363</v>
      </c>
      <c r="O70" s="12">
        <v>18</v>
      </c>
    </row>
    <row r="71" spans="1:15" ht="27" x14ac:dyDescent="0.3">
      <c r="A71" s="9">
        <v>43615</v>
      </c>
      <c r="B71" s="12">
        <v>1</v>
      </c>
      <c r="C71" s="11">
        <v>0</v>
      </c>
      <c r="D71" s="12">
        <v>1</v>
      </c>
      <c r="E71" s="11">
        <v>0</v>
      </c>
      <c r="F71" s="12">
        <v>147</v>
      </c>
      <c r="G71" s="11">
        <v>0</v>
      </c>
      <c r="H71" s="11">
        <v>0.57799999999999996</v>
      </c>
      <c r="I71" s="10">
        <v>425000</v>
      </c>
      <c r="J71" s="12" t="s">
        <v>3918</v>
      </c>
      <c r="K71" s="12">
        <v>85</v>
      </c>
      <c r="L71" s="12" t="s">
        <v>3919</v>
      </c>
      <c r="M71" s="10">
        <v>9282390101</v>
      </c>
      <c r="N71" s="10">
        <v>1156448</v>
      </c>
      <c r="O71" s="12">
        <v>50</v>
      </c>
    </row>
    <row r="72" spans="1:15" ht="27" x14ac:dyDescent="0.3">
      <c r="A72" s="9">
        <v>43620</v>
      </c>
      <c r="B72" s="12">
        <v>2</v>
      </c>
      <c r="C72" s="11">
        <v>0</v>
      </c>
      <c r="D72" s="12">
        <v>2</v>
      </c>
      <c r="E72" s="11">
        <v>0</v>
      </c>
      <c r="F72" s="12">
        <v>208</v>
      </c>
      <c r="G72" s="11">
        <v>0</v>
      </c>
      <c r="H72" s="11">
        <v>1</v>
      </c>
      <c r="I72" s="10">
        <v>1040000</v>
      </c>
      <c r="J72" s="12" t="s">
        <v>3920</v>
      </c>
      <c r="K72" s="12">
        <v>208</v>
      </c>
      <c r="L72" s="12" t="s">
        <v>3921</v>
      </c>
      <c r="M72" s="10">
        <v>9283430101</v>
      </c>
      <c r="N72" s="10">
        <v>1156656</v>
      </c>
      <c r="O72" s="12">
        <v>27</v>
      </c>
    </row>
    <row r="73" spans="1:15" ht="27" x14ac:dyDescent="0.3">
      <c r="A73" s="9">
        <v>43621</v>
      </c>
      <c r="B73" s="12">
        <v>2</v>
      </c>
      <c r="C73" s="11">
        <v>0</v>
      </c>
      <c r="D73" s="12">
        <v>2</v>
      </c>
      <c r="E73" s="11">
        <v>0</v>
      </c>
      <c r="F73" s="12">
        <v>437</v>
      </c>
      <c r="G73" s="11">
        <v>0</v>
      </c>
      <c r="H73" s="11">
        <v>0.81</v>
      </c>
      <c r="I73" s="10">
        <v>2650000</v>
      </c>
      <c r="J73" s="12" t="s">
        <v>3922</v>
      </c>
      <c r="K73" s="12">
        <v>354</v>
      </c>
      <c r="L73" s="12" t="s">
        <v>3923</v>
      </c>
      <c r="M73" s="10">
        <v>9286080101</v>
      </c>
      <c r="N73" s="10">
        <v>1157010</v>
      </c>
      <c r="O73" s="12">
        <v>22</v>
      </c>
    </row>
    <row r="74" spans="1:15" ht="27" x14ac:dyDescent="0.3">
      <c r="A74" s="9">
        <v>43622</v>
      </c>
      <c r="B74" s="12">
        <v>1</v>
      </c>
      <c r="C74" s="11">
        <v>0</v>
      </c>
      <c r="D74" s="12">
        <v>1</v>
      </c>
      <c r="E74" s="11">
        <v>0</v>
      </c>
      <c r="F74" s="12">
        <v>114</v>
      </c>
      <c r="G74" s="11">
        <v>0</v>
      </c>
      <c r="H74" s="11">
        <v>0.877</v>
      </c>
      <c r="I74" s="10">
        <v>798000</v>
      </c>
      <c r="J74" s="12" t="s">
        <v>3924</v>
      </c>
      <c r="K74" s="12">
        <v>100</v>
      </c>
      <c r="L74" s="12" t="s">
        <v>3925</v>
      </c>
      <c r="M74" s="10">
        <v>9286878101</v>
      </c>
      <c r="N74" s="10">
        <v>1157110</v>
      </c>
      <c r="O74" s="12">
        <v>44</v>
      </c>
    </row>
    <row r="75" spans="1:15" ht="27" x14ac:dyDescent="0.3">
      <c r="A75" s="9">
        <v>43633</v>
      </c>
      <c r="B75" s="12">
        <v>2</v>
      </c>
      <c r="C75" s="11">
        <v>0</v>
      </c>
      <c r="D75" s="12">
        <v>2</v>
      </c>
      <c r="E75" s="11">
        <v>0</v>
      </c>
      <c r="F75" s="12">
        <v>98</v>
      </c>
      <c r="G75" s="11">
        <v>0</v>
      </c>
      <c r="H75" s="11">
        <v>1</v>
      </c>
      <c r="I75" s="10">
        <v>490000</v>
      </c>
      <c r="J75" s="12" t="s">
        <v>484</v>
      </c>
      <c r="K75" s="12">
        <v>98</v>
      </c>
      <c r="L75" s="12" t="s">
        <v>485</v>
      </c>
      <c r="M75" s="10">
        <v>9287368101</v>
      </c>
      <c r="N75" s="10">
        <v>1157208</v>
      </c>
      <c r="O75" s="12">
        <v>40</v>
      </c>
    </row>
    <row r="76" spans="1:15" ht="27" x14ac:dyDescent="0.3">
      <c r="A76" s="9">
        <v>43634</v>
      </c>
      <c r="B76" s="12">
        <v>1</v>
      </c>
      <c r="C76" s="11">
        <v>0</v>
      </c>
      <c r="D76" s="12">
        <v>1</v>
      </c>
      <c r="E76" s="11">
        <v>0</v>
      </c>
      <c r="F76" s="12">
        <v>57</v>
      </c>
      <c r="G76" s="11">
        <v>0</v>
      </c>
      <c r="H76" s="11">
        <v>1</v>
      </c>
      <c r="I76" s="10">
        <v>285000</v>
      </c>
      <c r="J76" s="12" t="s">
        <v>3926</v>
      </c>
      <c r="K76" s="12">
        <v>57</v>
      </c>
      <c r="L76" s="12" t="s">
        <v>3927</v>
      </c>
      <c r="M76" s="10">
        <v>9287653101</v>
      </c>
      <c r="N76" s="10">
        <v>1157265</v>
      </c>
      <c r="O76" s="12">
        <v>50</v>
      </c>
    </row>
    <row r="77" spans="1:15" ht="27" x14ac:dyDescent="0.3">
      <c r="A77" s="9">
        <v>43636</v>
      </c>
      <c r="B77" s="12">
        <v>2</v>
      </c>
      <c r="C77" s="11">
        <v>0</v>
      </c>
      <c r="D77" s="12">
        <v>2</v>
      </c>
      <c r="E77" s="11">
        <v>0</v>
      </c>
      <c r="F77" s="12">
        <v>98</v>
      </c>
      <c r="G77" s="11">
        <v>0</v>
      </c>
      <c r="H77" s="11">
        <v>1</v>
      </c>
      <c r="I77" s="10">
        <v>490000</v>
      </c>
      <c r="J77" s="12" t="s">
        <v>484</v>
      </c>
      <c r="K77" s="12">
        <v>98</v>
      </c>
      <c r="L77" s="12" t="s">
        <v>485</v>
      </c>
      <c r="M77" s="10">
        <v>9288143101</v>
      </c>
      <c r="N77" s="10">
        <v>1157363</v>
      </c>
      <c r="O77" s="12">
        <v>45</v>
      </c>
    </row>
    <row r="78" spans="1:15" ht="27" x14ac:dyDescent="0.3">
      <c r="A78" s="9">
        <v>43641</v>
      </c>
      <c r="B78" s="12">
        <v>1</v>
      </c>
      <c r="C78" s="11">
        <v>0</v>
      </c>
      <c r="D78" s="12">
        <v>2</v>
      </c>
      <c r="E78" s="11">
        <v>0</v>
      </c>
      <c r="F78" s="12">
        <v>82</v>
      </c>
      <c r="G78" s="11">
        <v>0</v>
      </c>
      <c r="H78" s="11">
        <v>1</v>
      </c>
      <c r="I78" s="10">
        <v>410000</v>
      </c>
      <c r="J78" s="12" t="s">
        <v>3928</v>
      </c>
      <c r="K78" s="12">
        <v>82</v>
      </c>
      <c r="L78" s="12" t="s">
        <v>3929</v>
      </c>
      <c r="M78" s="10">
        <v>9288553101</v>
      </c>
      <c r="N78" s="10">
        <v>1157445</v>
      </c>
      <c r="O78" s="12">
        <v>51</v>
      </c>
    </row>
    <row r="79" spans="1:15" ht="27" x14ac:dyDescent="0.3">
      <c r="A79" s="9">
        <v>43642</v>
      </c>
      <c r="B79" s="12">
        <v>2</v>
      </c>
      <c r="C79" s="11">
        <v>0</v>
      </c>
      <c r="D79" s="12">
        <v>3</v>
      </c>
      <c r="E79" s="11">
        <v>0</v>
      </c>
      <c r="F79" s="12">
        <v>139</v>
      </c>
      <c r="G79" s="11">
        <v>0</v>
      </c>
      <c r="H79" s="11">
        <v>0.99299999999999999</v>
      </c>
      <c r="I79" s="10">
        <v>690000</v>
      </c>
      <c r="J79" s="12" t="s">
        <v>3930</v>
      </c>
      <c r="K79" s="12">
        <v>138</v>
      </c>
      <c r="L79" s="12" t="s">
        <v>3931</v>
      </c>
      <c r="M79" s="10">
        <v>9289243101</v>
      </c>
      <c r="N79" s="10">
        <v>1157583</v>
      </c>
      <c r="O79" s="12">
        <v>36</v>
      </c>
    </row>
    <row r="80" spans="1:15" ht="27" x14ac:dyDescent="0.3">
      <c r="A80" s="9">
        <v>43652</v>
      </c>
      <c r="B80" s="12">
        <v>1</v>
      </c>
      <c r="C80" s="11">
        <v>0</v>
      </c>
      <c r="D80" s="12">
        <v>1</v>
      </c>
      <c r="E80" s="11">
        <v>0</v>
      </c>
      <c r="F80" s="12">
        <v>124</v>
      </c>
      <c r="G80" s="11">
        <v>0</v>
      </c>
      <c r="H80" s="11">
        <v>1</v>
      </c>
      <c r="I80" s="10">
        <v>822000</v>
      </c>
      <c r="J80" s="12" t="s">
        <v>3932</v>
      </c>
      <c r="K80" s="12">
        <v>124</v>
      </c>
      <c r="L80" s="12" t="s">
        <v>3933</v>
      </c>
      <c r="M80" s="10">
        <v>9290065101</v>
      </c>
      <c r="N80" s="10">
        <v>1157707</v>
      </c>
      <c r="O80" s="12">
        <v>39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ABAEF-F23F-4B43-807E-8BC359282BA5}">
  <dimension ref="A1:O20"/>
  <sheetViews>
    <sheetView workbookViewId="0">
      <selection activeCell="A5" sqref="A5:XFD5"/>
    </sheetView>
  </sheetViews>
  <sheetFormatPr defaultRowHeight="16.5" x14ac:dyDescent="0.3"/>
  <sheetData>
    <row r="1" spans="1:15" ht="19.5" x14ac:dyDescent="0.3">
      <c r="A1" s="197" t="s">
        <v>3934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43510</v>
      </c>
      <c r="B5" s="12">
        <v>207</v>
      </c>
      <c r="C5" s="11">
        <v>3.4000000000000002E-2</v>
      </c>
      <c r="D5" s="12">
        <v>426</v>
      </c>
      <c r="E5" s="11">
        <v>2.1999999999999999E-2</v>
      </c>
      <c r="F5" s="10">
        <v>58990</v>
      </c>
      <c r="G5" s="11">
        <v>0.02</v>
      </c>
      <c r="H5" s="11">
        <v>0.46700000000000003</v>
      </c>
      <c r="I5" s="10">
        <v>199918600</v>
      </c>
      <c r="J5" s="12" t="s">
        <v>3935</v>
      </c>
      <c r="K5" s="10">
        <v>27534</v>
      </c>
      <c r="L5" s="12" t="s">
        <v>3936</v>
      </c>
      <c r="M5" s="10">
        <v>204814600</v>
      </c>
      <c r="N5" s="10">
        <v>28146</v>
      </c>
      <c r="O5" s="12">
        <v>6</v>
      </c>
    </row>
    <row r="6" spans="1:15" ht="40.5" x14ac:dyDescent="0.3">
      <c r="A6" s="9">
        <v>43511</v>
      </c>
      <c r="B6" s="12">
        <v>198</v>
      </c>
      <c r="C6" s="11">
        <v>3.2000000000000001E-2</v>
      </c>
      <c r="D6" s="12">
        <v>410</v>
      </c>
      <c r="E6" s="11">
        <v>2.1000000000000001E-2</v>
      </c>
      <c r="F6" s="10">
        <v>56948</v>
      </c>
      <c r="G6" s="11">
        <v>1.9E-2</v>
      </c>
      <c r="H6" s="11">
        <v>0.216</v>
      </c>
      <c r="I6" s="10">
        <v>98198600</v>
      </c>
      <c r="J6" s="12" t="s">
        <v>3937</v>
      </c>
      <c r="K6" s="10">
        <v>12279</v>
      </c>
      <c r="L6" s="12" t="s">
        <v>3938</v>
      </c>
      <c r="M6" s="10">
        <v>303013200</v>
      </c>
      <c r="N6" s="10">
        <v>40425</v>
      </c>
      <c r="O6" s="12">
        <v>8</v>
      </c>
    </row>
    <row r="7" spans="1:15" ht="27" x14ac:dyDescent="0.3">
      <c r="A7" s="9">
        <v>43512</v>
      </c>
      <c r="B7" s="12">
        <v>208</v>
      </c>
      <c r="C7" s="11">
        <v>3.1E-2</v>
      </c>
      <c r="D7" s="12">
        <v>410</v>
      </c>
      <c r="E7" s="11">
        <v>0.02</v>
      </c>
      <c r="F7" s="10">
        <v>56230</v>
      </c>
      <c r="G7" s="11">
        <v>1.7999999999999999E-2</v>
      </c>
      <c r="H7" s="11">
        <v>0.40300000000000002</v>
      </c>
      <c r="I7" s="10">
        <v>179275500</v>
      </c>
      <c r="J7" s="12" t="s">
        <v>3939</v>
      </c>
      <c r="K7" s="10">
        <v>22683</v>
      </c>
      <c r="L7" s="12" t="s">
        <v>3940</v>
      </c>
      <c r="M7" s="10">
        <v>482288700</v>
      </c>
      <c r="N7" s="10">
        <v>63108</v>
      </c>
      <c r="O7" s="12">
        <v>8</v>
      </c>
    </row>
    <row r="8" spans="1:15" ht="27" x14ac:dyDescent="0.3">
      <c r="A8" s="9">
        <v>43513</v>
      </c>
      <c r="B8" s="12">
        <v>213</v>
      </c>
      <c r="C8" s="11">
        <v>3.2000000000000001E-2</v>
      </c>
      <c r="D8" s="12">
        <v>408</v>
      </c>
      <c r="E8" s="11">
        <v>2.1000000000000001E-2</v>
      </c>
      <c r="F8" s="10">
        <v>55884</v>
      </c>
      <c r="G8" s="11">
        <v>1.7999999999999999E-2</v>
      </c>
      <c r="H8" s="11">
        <v>0.36299999999999999</v>
      </c>
      <c r="I8" s="10">
        <v>161075300</v>
      </c>
      <c r="J8" s="12" t="s">
        <v>3941</v>
      </c>
      <c r="K8" s="10">
        <v>20268</v>
      </c>
      <c r="L8" s="12" t="s">
        <v>3942</v>
      </c>
      <c r="M8" s="10">
        <v>643364000</v>
      </c>
      <c r="N8" s="10">
        <v>83376</v>
      </c>
      <c r="O8" s="12">
        <v>8</v>
      </c>
    </row>
    <row r="9" spans="1:15" ht="40.5" x14ac:dyDescent="0.3">
      <c r="A9" s="9">
        <v>43514</v>
      </c>
      <c r="B9" s="12">
        <v>175</v>
      </c>
      <c r="C9" s="11">
        <v>2.9000000000000001E-2</v>
      </c>
      <c r="D9" s="12">
        <v>325</v>
      </c>
      <c r="E9" s="11">
        <v>1.7999999999999999E-2</v>
      </c>
      <c r="F9" s="10">
        <v>44449</v>
      </c>
      <c r="G9" s="11">
        <v>1.4999999999999999E-2</v>
      </c>
      <c r="H9" s="11">
        <v>0.121</v>
      </c>
      <c r="I9" s="10">
        <v>39602400</v>
      </c>
      <c r="J9" s="12" t="s">
        <v>3943</v>
      </c>
      <c r="K9" s="10">
        <v>5377</v>
      </c>
      <c r="L9" s="12" t="s">
        <v>3944</v>
      </c>
      <c r="M9" s="10">
        <v>682966400</v>
      </c>
      <c r="N9" s="10">
        <v>88753</v>
      </c>
      <c r="O9" s="12">
        <v>8</v>
      </c>
    </row>
    <row r="10" spans="1:15" ht="27" x14ac:dyDescent="0.3">
      <c r="A10" s="9">
        <v>43515</v>
      </c>
      <c r="B10" s="12">
        <v>166</v>
      </c>
      <c r="C10" s="11">
        <v>2.7E-2</v>
      </c>
      <c r="D10" s="12">
        <v>307</v>
      </c>
      <c r="E10" s="11">
        <v>1.7000000000000001E-2</v>
      </c>
      <c r="F10" s="10">
        <v>41783</v>
      </c>
      <c r="G10" s="11">
        <v>1.4E-2</v>
      </c>
      <c r="H10" s="11">
        <v>0.113</v>
      </c>
      <c r="I10" s="10">
        <v>34984400</v>
      </c>
      <c r="J10" s="12" t="s">
        <v>3945</v>
      </c>
      <c r="K10" s="10">
        <v>4723</v>
      </c>
      <c r="L10" s="12" t="s">
        <v>3946</v>
      </c>
      <c r="M10" s="10">
        <v>717950800</v>
      </c>
      <c r="N10" s="10">
        <v>93476</v>
      </c>
      <c r="O10" s="12">
        <v>8</v>
      </c>
    </row>
    <row r="11" spans="1:15" ht="27" x14ac:dyDescent="0.3">
      <c r="A11" s="9">
        <v>43516</v>
      </c>
      <c r="B11" s="12">
        <v>118</v>
      </c>
      <c r="C11" s="11">
        <v>1.9E-2</v>
      </c>
      <c r="D11" s="12">
        <v>155</v>
      </c>
      <c r="E11" s="11">
        <v>8.0000000000000002E-3</v>
      </c>
      <c r="F11" s="10">
        <v>18981</v>
      </c>
      <c r="G11" s="11">
        <v>7.0000000000000001E-3</v>
      </c>
      <c r="H11" s="11">
        <v>0.16200000000000001</v>
      </c>
      <c r="I11" s="10">
        <v>22438200</v>
      </c>
      <c r="J11" s="12" t="s">
        <v>3947</v>
      </c>
      <c r="K11" s="10">
        <v>3081</v>
      </c>
      <c r="L11" s="12" t="s">
        <v>3948</v>
      </c>
      <c r="M11" s="10">
        <v>740389000</v>
      </c>
      <c r="N11" s="10">
        <v>96557</v>
      </c>
      <c r="O11" s="12">
        <v>12</v>
      </c>
    </row>
    <row r="12" spans="1:15" ht="27" x14ac:dyDescent="0.3">
      <c r="A12" s="9">
        <v>43517</v>
      </c>
      <c r="B12" s="12">
        <v>105</v>
      </c>
      <c r="C12" s="11">
        <v>1.6E-2</v>
      </c>
      <c r="D12" s="12">
        <v>140</v>
      </c>
      <c r="E12" s="11">
        <v>8.0000000000000002E-3</v>
      </c>
      <c r="F12" s="10">
        <v>16924</v>
      </c>
      <c r="G12" s="11">
        <v>6.0000000000000001E-3</v>
      </c>
      <c r="H12" s="11">
        <v>0.16700000000000001</v>
      </c>
      <c r="I12" s="10">
        <v>20758100</v>
      </c>
      <c r="J12" s="12" t="s">
        <v>3949</v>
      </c>
      <c r="K12" s="10">
        <v>2822</v>
      </c>
      <c r="L12" s="12" t="s">
        <v>3950</v>
      </c>
      <c r="M12" s="10">
        <v>761147100</v>
      </c>
      <c r="N12" s="10">
        <v>99379</v>
      </c>
      <c r="O12" s="12">
        <v>13</v>
      </c>
    </row>
    <row r="13" spans="1:15" ht="27" x14ac:dyDescent="0.3">
      <c r="A13" s="9">
        <v>43518</v>
      </c>
      <c r="B13" s="12">
        <v>105</v>
      </c>
      <c r="C13" s="11">
        <v>1.6E-2</v>
      </c>
      <c r="D13" s="12">
        <v>134</v>
      </c>
      <c r="E13" s="11">
        <v>7.0000000000000001E-3</v>
      </c>
      <c r="F13" s="10">
        <v>15870</v>
      </c>
      <c r="G13" s="11">
        <v>5.0000000000000001E-3</v>
      </c>
      <c r="H13" s="11">
        <v>0.14899999999999999</v>
      </c>
      <c r="I13" s="10">
        <v>19065500</v>
      </c>
      <c r="J13" s="12" t="s">
        <v>3951</v>
      </c>
      <c r="K13" s="10">
        <v>2370</v>
      </c>
      <c r="L13" s="12" t="s">
        <v>3952</v>
      </c>
      <c r="M13" s="10">
        <v>780212600</v>
      </c>
      <c r="N13" s="10">
        <v>101749</v>
      </c>
      <c r="O13" s="12">
        <v>14</v>
      </c>
    </row>
    <row r="14" spans="1:15" ht="27" x14ac:dyDescent="0.3">
      <c r="A14" s="9">
        <v>43519</v>
      </c>
      <c r="B14" s="12">
        <v>105</v>
      </c>
      <c r="C14" s="11">
        <v>1.4999999999999999E-2</v>
      </c>
      <c r="D14" s="12">
        <v>130</v>
      </c>
      <c r="E14" s="11">
        <v>7.0000000000000001E-3</v>
      </c>
      <c r="F14" s="10">
        <v>15520</v>
      </c>
      <c r="G14" s="11">
        <v>5.0000000000000001E-3</v>
      </c>
      <c r="H14" s="11">
        <v>0.29799999999999999</v>
      </c>
      <c r="I14" s="10">
        <v>36819900</v>
      </c>
      <c r="J14" s="12" t="s">
        <v>3953</v>
      </c>
      <c r="K14" s="10">
        <v>4622</v>
      </c>
      <c r="L14" s="12" t="s">
        <v>3954</v>
      </c>
      <c r="M14" s="10">
        <v>817032500</v>
      </c>
      <c r="N14" s="10">
        <v>106371</v>
      </c>
      <c r="O14" s="12">
        <v>12</v>
      </c>
    </row>
    <row r="15" spans="1:15" ht="27" x14ac:dyDescent="0.3">
      <c r="A15" s="9">
        <v>43520</v>
      </c>
      <c r="B15" s="12">
        <v>102</v>
      </c>
      <c r="C15" s="11">
        <v>1.4999999999999999E-2</v>
      </c>
      <c r="D15" s="12">
        <v>129</v>
      </c>
      <c r="E15" s="11">
        <v>7.0000000000000001E-3</v>
      </c>
      <c r="F15" s="10">
        <v>15435</v>
      </c>
      <c r="G15" s="11">
        <v>5.0000000000000001E-3</v>
      </c>
      <c r="H15" s="11">
        <v>0.33</v>
      </c>
      <c r="I15" s="10">
        <v>41051500</v>
      </c>
      <c r="J15" s="12" t="s">
        <v>3955</v>
      </c>
      <c r="K15" s="10">
        <v>5100</v>
      </c>
      <c r="L15" s="12" t="s">
        <v>3956</v>
      </c>
      <c r="M15" s="10">
        <v>858084000</v>
      </c>
      <c r="N15" s="10">
        <v>111471</v>
      </c>
      <c r="O15" s="12">
        <v>12</v>
      </c>
    </row>
    <row r="16" spans="1:15" ht="27" x14ac:dyDescent="0.3">
      <c r="A16" s="9">
        <v>43521</v>
      </c>
      <c r="B16" s="12">
        <v>98</v>
      </c>
      <c r="C16" s="11">
        <v>1.6E-2</v>
      </c>
      <c r="D16" s="12">
        <v>127</v>
      </c>
      <c r="E16" s="11">
        <v>7.0000000000000001E-3</v>
      </c>
      <c r="F16" s="10">
        <v>15395</v>
      </c>
      <c r="G16" s="11">
        <v>5.0000000000000001E-3</v>
      </c>
      <c r="H16" s="11">
        <v>0.11799999999999999</v>
      </c>
      <c r="I16" s="10">
        <v>13324800</v>
      </c>
      <c r="J16" s="12" t="s">
        <v>3957</v>
      </c>
      <c r="K16" s="10">
        <v>1823</v>
      </c>
      <c r="L16" s="12" t="s">
        <v>3958</v>
      </c>
      <c r="M16" s="10">
        <v>871408800</v>
      </c>
      <c r="N16" s="10">
        <v>113294</v>
      </c>
      <c r="O16" s="12">
        <v>14</v>
      </c>
    </row>
    <row r="17" spans="1:15" ht="27" x14ac:dyDescent="0.3">
      <c r="A17" s="9">
        <v>43522</v>
      </c>
      <c r="B17" s="12">
        <v>97</v>
      </c>
      <c r="C17" s="11">
        <v>1.4999999999999999E-2</v>
      </c>
      <c r="D17" s="12">
        <v>124</v>
      </c>
      <c r="E17" s="11">
        <v>7.0000000000000001E-3</v>
      </c>
      <c r="F17" s="10">
        <v>14960</v>
      </c>
      <c r="G17" s="11">
        <v>5.0000000000000001E-3</v>
      </c>
      <c r="H17" s="11">
        <v>0.152</v>
      </c>
      <c r="I17" s="10">
        <v>16437100</v>
      </c>
      <c r="J17" s="12" t="s">
        <v>3959</v>
      </c>
      <c r="K17" s="10">
        <v>2268</v>
      </c>
      <c r="L17" s="12" t="s">
        <v>3960</v>
      </c>
      <c r="M17" s="10">
        <v>887845900</v>
      </c>
      <c r="N17" s="10">
        <v>115562</v>
      </c>
      <c r="O17" s="12">
        <v>14</v>
      </c>
    </row>
    <row r="18" spans="1:15" ht="27" x14ac:dyDescent="0.3">
      <c r="A18" s="9">
        <v>43523</v>
      </c>
      <c r="B18" s="12">
        <v>1</v>
      </c>
      <c r="C18" s="11">
        <v>0</v>
      </c>
      <c r="D18" s="12">
        <v>1</v>
      </c>
      <c r="E18" s="11">
        <v>0</v>
      </c>
      <c r="F18" s="12">
        <v>94</v>
      </c>
      <c r="G18" s="11">
        <v>0</v>
      </c>
      <c r="H18" s="11">
        <v>0.20200000000000001</v>
      </c>
      <c r="I18" s="10">
        <v>133000</v>
      </c>
      <c r="J18" s="12" t="s">
        <v>3961</v>
      </c>
      <c r="K18" s="12">
        <v>19</v>
      </c>
      <c r="L18" s="12" t="s">
        <v>3962</v>
      </c>
      <c r="M18" s="10">
        <v>887978900</v>
      </c>
      <c r="N18" s="10">
        <v>115581</v>
      </c>
      <c r="O18" s="12">
        <v>80</v>
      </c>
    </row>
    <row r="19" spans="1:15" ht="27" x14ac:dyDescent="0.3">
      <c r="A19" s="9">
        <v>43528</v>
      </c>
      <c r="B19" s="12">
        <v>20</v>
      </c>
      <c r="C19" s="11">
        <v>3.0000000000000001E-3</v>
      </c>
      <c r="D19" s="12">
        <v>20</v>
      </c>
      <c r="E19" s="11">
        <v>1E-3</v>
      </c>
      <c r="F19" s="10">
        <v>2811</v>
      </c>
      <c r="G19" s="11">
        <v>1E-3</v>
      </c>
      <c r="H19" s="11">
        <v>0.14799999999999999</v>
      </c>
      <c r="I19" s="10">
        <v>2129000</v>
      </c>
      <c r="J19" s="12" t="s">
        <v>3963</v>
      </c>
      <c r="K19" s="12">
        <v>416</v>
      </c>
      <c r="L19" s="12" t="s">
        <v>3964</v>
      </c>
      <c r="M19" s="10">
        <v>890107900</v>
      </c>
      <c r="N19" s="10">
        <v>115997</v>
      </c>
      <c r="O19" s="12">
        <v>19</v>
      </c>
    </row>
    <row r="20" spans="1:15" ht="27" x14ac:dyDescent="0.3">
      <c r="A20" s="9">
        <v>43529</v>
      </c>
      <c r="B20" s="12">
        <v>5</v>
      </c>
      <c r="C20" s="11">
        <v>1E-3</v>
      </c>
      <c r="D20" s="12">
        <v>5</v>
      </c>
      <c r="E20" s="11">
        <v>0</v>
      </c>
      <c r="F20" s="12">
        <v>645</v>
      </c>
      <c r="G20" s="11">
        <v>0</v>
      </c>
      <c r="H20" s="11">
        <v>9.6000000000000002E-2</v>
      </c>
      <c r="I20" s="10">
        <v>584500</v>
      </c>
      <c r="J20" s="12" t="s">
        <v>3965</v>
      </c>
      <c r="K20" s="12">
        <v>62</v>
      </c>
      <c r="L20" s="12" t="s">
        <v>3966</v>
      </c>
      <c r="M20" s="10">
        <v>890692400</v>
      </c>
      <c r="N20" s="10">
        <v>116059</v>
      </c>
      <c r="O20" s="12">
        <v>46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64004-B90F-4233-A0E4-C1BAE4AF7E77}">
  <dimension ref="A1:O28"/>
  <sheetViews>
    <sheetView workbookViewId="0">
      <selection activeCell="A5" sqref="A5"/>
    </sheetView>
  </sheetViews>
  <sheetFormatPr defaultRowHeight="16.5" x14ac:dyDescent="0.3"/>
  <sheetData>
    <row r="1" spans="1:15" ht="19.5" x14ac:dyDescent="0.3">
      <c r="A1" s="197" t="s">
        <v>3967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43514</v>
      </c>
      <c r="B5" s="12">
        <v>1</v>
      </c>
      <c r="C5" s="11">
        <v>0</v>
      </c>
      <c r="D5" s="12">
        <v>1</v>
      </c>
      <c r="E5" s="11">
        <v>0</v>
      </c>
      <c r="F5" s="12">
        <v>112</v>
      </c>
      <c r="G5" s="11">
        <v>0</v>
      </c>
      <c r="H5" s="11">
        <v>1</v>
      </c>
      <c r="I5" s="10">
        <v>896000</v>
      </c>
      <c r="J5" s="12" t="s">
        <v>3909</v>
      </c>
      <c r="K5" s="12">
        <v>112</v>
      </c>
      <c r="L5" s="12" t="s">
        <v>3968</v>
      </c>
      <c r="M5" s="10">
        <v>896000</v>
      </c>
      <c r="N5" s="12">
        <v>112</v>
      </c>
      <c r="O5" s="12">
        <v>36</v>
      </c>
    </row>
    <row r="6" spans="1:15" ht="27" x14ac:dyDescent="0.3">
      <c r="A6" s="9">
        <v>43515</v>
      </c>
      <c r="B6" s="12">
        <v>33</v>
      </c>
      <c r="C6" s="11">
        <v>5.0000000000000001E-3</v>
      </c>
      <c r="D6" s="12">
        <v>34</v>
      </c>
      <c r="E6" s="11">
        <v>2E-3</v>
      </c>
      <c r="F6" s="10">
        <v>4296</v>
      </c>
      <c r="G6" s="11">
        <v>1E-3</v>
      </c>
      <c r="H6" s="11">
        <v>0.90600000000000003</v>
      </c>
      <c r="I6" s="10">
        <v>38208000</v>
      </c>
      <c r="J6" s="12" t="s">
        <v>3969</v>
      </c>
      <c r="K6" s="10">
        <v>3892</v>
      </c>
      <c r="L6" s="12" t="s">
        <v>3970</v>
      </c>
      <c r="M6" s="10">
        <v>39104000</v>
      </c>
      <c r="N6" s="10">
        <v>4004</v>
      </c>
      <c r="O6" s="12">
        <v>9</v>
      </c>
    </row>
    <row r="7" spans="1:15" ht="27" x14ac:dyDescent="0.3">
      <c r="A7" s="9">
        <v>43516</v>
      </c>
      <c r="B7" s="12">
        <v>33</v>
      </c>
      <c r="C7" s="11">
        <v>5.0000000000000001E-3</v>
      </c>
      <c r="D7" s="12">
        <v>203</v>
      </c>
      <c r="E7" s="11">
        <v>1.0999999999999999E-2</v>
      </c>
      <c r="F7" s="10">
        <v>25624</v>
      </c>
      <c r="G7" s="11">
        <v>8.9999999999999993E-3</v>
      </c>
      <c r="H7" s="11">
        <v>0.60199999999999998</v>
      </c>
      <c r="I7" s="10">
        <v>120858500</v>
      </c>
      <c r="J7" s="12" t="s">
        <v>3971</v>
      </c>
      <c r="K7" s="10">
        <v>15433</v>
      </c>
      <c r="L7" s="12" t="s">
        <v>3972</v>
      </c>
      <c r="M7" s="10">
        <v>159962500</v>
      </c>
      <c r="N7" s="10">
        <v>19437</v>
      </c>
      <c r="O7" s="12">
        <v>5</v>
      </c>
    </row>
    <row r="8" spans="1:15" ht="27" x14ac:dyDescent="0.3">
      <c r="A8" s="9">
        <v>43517</v>
      </c>
      <c r="B8" s="12">
        <v>33</v>
      </c>
      <c r="C8" s="11">
        <v>5.0000000000000001E-3</v>
      </c>
      <c r="D8" s="12">
        <v>199</v>
      </c>
      <c r="E8" s="11">
        <v>1.0999999999999999E-2</v>
      </c>
      <c r="F8" s="10">
        <v>25204</v>
      </c>
      <c r="G8" s="11">
        <v>8.9999999999999993E-3</v>
      </c>
      <c r="H8" s="11">
        <v>0.53700000000000003</v>
      </c>
      <c r="I8" s="10">
        <v>106441000</v>
      </c>
      <c r="J8" s="12" t="s">
        <v>3973</v>
      </c>
      <c r="K8" s="10">
        <v>13537</v>
      </c>
      <c r="L8" s="12" t="s">
        <v>3974</v>
      </c>
      <c r="M8" s="10">
        <v>266403500</v>
      </c>
      <c r="N8" s="10">
        <v>32974</v>
      </c>
      <c r="O8" s="12">
        <v>5</v>
      </c>
    </row>
    <row r="9" spans="1:15" ht="27" x14ac:dyDescent="0.3">
      <c r="A9" s="9">
        <v>43518</v>
      </c>
      <c r="B9" s="12">
        <v>33</v>
      </c>
      <c r="C9" s="11">
        <v>5.0000000000000001E-3</v>
      </c>
      <c r="D9" s="12">
        <v>203</v>
      </c>
      <c r="E9" s="11">
        <v>1.0999999999999999E-2</v>
      </c>
      <c r="F9" s="10">
        <v>25600</v>
      </c>
      <c r="G9" s="11">
        <v>8.9999999999999993E-3</v>
      </c>
      <c r="H9" s="11">
        <v>0.53600000000000003</v>
      </c>
      <c r="I9" s="10">
        <v>127519000</v>
      </c>
      <c r="J9" s="12" t="s">
        <v>3975</v>
      </c>
      <c r="K9" s="10">
        <v>13715</v>
      </c>
      <c r="L9" s="12" t="s">
        <v>3976</v>
      </c>
      <c r="M9" s="10">
        <v>393922500</v>
      </c>
      <c r="N9" s="10">
        <v>46689</v>
      </c>
      <c r="O9" s="12">
        <v>6</v>
      </c>
    </row>
    <row r="10" spans="1:15" ht="27" x14ac:dyDescent="0.3">
      <c r="A10" s="9">
        <v>43519</v>
      </c>
      <c r="B10" s="12">
        <v>33</v>
      </c>
      <c r="C10" s="11">
        <v>5.0000000000000001E-3</v>
      </c>
      <c r="D10" s="12">
        <v>213</v>
      </c>
      <c r="E10" s="11">
        <v>1.0999999999999999E-2</v>
      </c>
      <c r="F10" s="10">
        <v>26892</v>
      </c>
      <c r="G10" s="11">
        <v>8.9999999999999993E-3</v>
      </c>
      <c r="H10" s="11">
        <v>0.63800000000000001</v>
      </c>
      <c r="I10" s="10">
        <v>160158500</v>
      </c>
      <c r="J10" s="12" t="s">
        <v>3977</v>
      </c>
      <c r="K10" s="10">
        <v>17148</v>
      </c>
      <c r="L10" s="12" t="s">
        <v>3978</v>
      </c>
      <c r="M10" s="10">
        <v>554081000</v>
      </c>
      <c r="N10" s="10">
        <v>63837</v>
      </c>
      <c r="O10" s="12">
        <v>8</v>
      </c>
    </row>
    <row r="11" spans="1:15" ht="27" x14ac:dyDescent="0.3">
      <c r="A11" s="9">
        <v>43520</v>
      </c>
      <c r="B11" s="12">
        <v>33</v>
      </c>
      <c r="C11" s="11">
        <v>5.0000000000000001E-3</v>
      </c>
      <c r="D11" s="12">
        <v>201</v>
      </c>
      <c r="E11" s="11">
        <v>0.01</v>
      </c>
      <c r="F11" s="10">
        <v>25384</v>
      </c>
      <c r="G11" s="11">
        <v>8.9999999999999993E-3</v>
      </c>
      <c r="H11" s="11">
        <v>0.60899999999999999</v>
      </c>
      <c r="I11" s="10">
        <v>141914000</v>
      </c>
      <c r="J11" s="12" t="s">
        <v>3979</v>
      </c>
      <c r="K11" s="10">
        <v>15464</v>
      </c>
      <c r="L11" s="12" t="s">
        <v>3980</v>
      </c>
      <c r="M11" s="10">
        <v>695995000</v>
      </c>
      <c r="N11" s="10">
        <v>79301</v>
      </c>
      <c r="O11" s="12">
        <v>8</v>
      </c>
    </row>
    <row r="12" spans="1:15" ht="27" x14ac:dyDescent="0.3">
      <c r="A12" s="9">
        <v>43521</v>
      </c>
      <c r="B12" s="12">
        <v>33</v>
      </c>
      <c r="C12" s="11">
        <v>5.0000000000000001E-3</v>
      </c>
      <c r="D12" s="12">
        <v>191</v>
      </c>
      <c r="E12" s="11">
        <v>1.0999999999999999E-2</v>
      </c>
      <c r="F12" s="10">
        <v>24132</v>
      </c>
      <c r="G12" s="11">
        <v>8.9999999999999993E-3</v>
      </c>
      <c r="H12" s="11">
        <v>0.315</v>
      </c>
      <c r="I12" s="10">
        <v>60433000</v>
      </c>
      <c r="J12" s="12" t="s">
        <v>3981</v>
      </c>
      <c r="K12" s="10">
        <v>7600</v>
      </c>
      <c r="L12" s="12" t="s">
        <v>3982</v>
      </c>
      <c r="M12" s="10">
        <v>756428000</v>
      </c>
      <c r="N12" s="10">
        <v>86901</v>
      </c>
      <c r="O12" s="12">
        <v>7</v>
      </c>
    </row>
    <row r="13" spans="1:15" ht="27" x14ac:dyDescent="0.3">
      <c r="A13" s="9">
        <v>43522</v>
      </c>
      <c r="B13" s="12">
        <v>33</v>
      </c>
      <c r="C13" s="11">
        <v>5.0000000000000001E-3</v>
      </c>
      <c r="D13" s="12">
        <v>192</v>
      </c>
      <c r="E13" s="11">
        <v>1.0999999999999999E-2</v>
      </c>
      <c r="F13" s="10">
        <v>24276</v>
      </c>
      <c r="G13" s="11">
        <v>8.9999999999999993E-3</v>
      </c>
      <c r="H13" s="11">
        <v>0.28999999999999998</v>
      </c>
      <c r="I13" s="10">
        <v>55938500</v>
      </c>
      <c r="J13" s="12" t="s">
        <v>3983</v>
      </c>
      <c r="K13" s="10">
        <v>7034</v>
      </c>
      <c r="L13" s="12" t="s">
        <v>3984</v>
      </c>
      <c r="M13" s="10">
        <v>812366500</v>
      </c>
      <c r="N13" s="10">
        <v>93935</v>
      </c>
      <c r="O13" s="12">
        <v>8</v>
      </c>
    </row>
    <row r="14" spans="1:15" ht="27" x14ac:dyDescent="0.3">
      <c r="A14" s="9">
        <v>43523</v>
      </c>
      <c r="B14" s="12">
        <v>33</v>
      </c>
      <c r="C14" s="11">
        <v>5.0000000000000001E-3</v>
      </c>
      <c r="D14" s="12">
        <v>195</v>
      </c>
      <c r="E14" s="11">
        <v>0.01</v>
      </c>
      <c r="F14" s="10">
        <v>24628</v>
      </c>
      <c r="G14" s="11">
        <v>8.0000000000000002E-3</v>
      </c>
      <c r="H14" s="11">
        <v>0.35199999999999998</v>
      </c>
      <c r="I14" s="10">
        <v>64189500</v>
      </c>
      <c r="J14" s="12" t="s">
        <v>3985</v>
      </c>
      <c r="K14" s="10">
        <v>8661</v>
      </c>
      <c r="L14" s="12" t="s">
        <v>3986</v>
      </c>
      <c r="M14" s="10">
        <v>876556000</v>
      </c>
      <c r="N14" s="10">
        <v>102596</v>
      </c>
      <c r="O14" s="12">
        <v>9</v>
      </c>
    </row>
    <row r="15" spans="1:15" ht="27" x14ac:dyDescent="0.3">
      <c r="A15" s="9">
        <v>43524</v>
      </c>
      <c r="B15" s="12">
        <v>33</v>
      </c>
      <c r="C15" s="11">
        <v>5.0000000000000001E-3</v>
      </c>
      <c r="D15" s="12">
        <v>198</v>
      </c>
      <c r="E15" s="11">
        <v>0.01</v>
      </c>
      <c r="F15" s="10">
        <v>25084</v>
      </c>
      <c r="G15" s="11">
        <v>8.0000000000000002E-3</v>
      </c>
      <c r="H15" s="11">
        <v>0.23899999999999999</v>
      </c>
      <c r="I15" s="10">
        <v>48396500</v>
      </c>
      <c r="J15" s="12" t="s">
        <v>3987</v>
      </c>
      <c r="K15" s="10">
        <v>5984</v>
      </c>
      <c r="L15" s="12" t="s">
        <v>3988</v>
      </c>
      <c r="M15" s="10">
        <v>924952500</v>
      </c>
      <c r="N15" s="10">
        <v>108580</v>
      </c>
      <c r="O15" s="12">
        <v>12</v>
      </c>
    </row>
    <row r="16" spans="1:15" ht="27" x14ac:dyDescent="0.3">
      <c r="A16" s="9">
        <v>43525</v>
      </c>
      <c r="B16" s="12">
        <v>33</v>
      </c>
      <c r="C16" s="11">
        <v>5.0000000000000001E-3</v>
      </c>
      <c r="D16" s="12">
        <v>200</v>
      </c>
      <c r="E16" s="11">
        <v>0.01</v>
      </c>
      <c r="F16" s="10">
        <v>25352</v>
      </c>
      <c r="G16" s="11">
        <v>8.0000000000000002E-3</v>
      </c>
      <c r="H16" s="11">
        <v>0.40300000000000002</v>
      </c>
      <c r="I16" s="10">
        <v>96101000</v>
      </c>
      <c r="J16" s="12" t="s">
        <v>3989</v>
      </c>
      <c r="K16" s="10">
        <v>10225</v>
      </c>
      <c r="L16" s="12" t="s">
        <v>3990</v>
      </c>
      <c r="M16" s="10">
        <v>1021053500</v>
      </c>
      <c r="N16" s="10">
        <v>118805</v>
      </c>
      <c r="O16" s="12">
        <v>12</v>
      </c>
    </row>
    <row r="17" spans="1:15" ht="27" x14ac:dyDescent="0.3">
      <c r="A17" s="9">
        <v>43526</v>
      </c>
      <c r="B17" s="12">
        <v>33</v>
      </c>
      <c r="C17" s="11">
        <v>4.0000000000000001E-3</v>
      </c>
      <c r="D17" s="12">
        <v>199</v>
      </c>
      <c r="E17" s="11">
        <v>0.01</v>
      </c>
      <c r="F17" s="10">
        <v>25256</v>
      </c>
      <c r="G17" s="11">
        <v>8.0000000000000002E-3</v>
      </c>
      <c r="H17" s="11">
        <v>0.315</v>
      </c>
      <c r="I17" s="10">
        <v>75782000</v>
      </c>
      <c r="J17" s="12" t="s">
        <v>3991</v>
      </c>
      <c r="K17" s="10">
        <v>7953</v>
      </c>
      <c r="L17" s="12" t="s">
        <v>3992</v>
      </c>
      <c r="M17" s="10">
        <v>1096835500</v>
      </c>
      <c r="N17" s="10">
        <v>126758</v>
      </c>
      <c r="O17" s="12">
        <v>12</v>
      </c>
    </row>
    <row r="18" spans="1:15" ht="27" x14ac:dyDescent="0.3">
      <c r="A18" s="9">
        <v>43527</v>
      </c>
      <c r="B18" s="12">
        <v>33</v>
      </c>
      <c r="C18" s="11">
        <v>5.0000000000000001E-3</v>
      </c>
      <c r="D18" s="12">
        <v>193</v>
      </c>
      <c r="E18" s="11">
        <v>0.01</v>
      </c>
      <c r="F18" s="10">
        <v>24368</v>
      </c>
      <c r="G18" s="11">
        <v>8.0000000000000002E-3</v>
      </c>
      <c r="H18" s="11">
        <v>0.249</v>
      </c>
      <c r="I18" s="10">
        <v>57846000</v>
      </c>
      <c r="J18" s="12" t="s">
        <v>3993</v>
      </c>
      <c r="K18" s="10">
        <v>6072</v>
      </c>
      <c r="L18" s="12" t="s">
        <v>3994</v>
      </c>
      <c r="M18" s="10">
        <v>1154681500</v>
      </c>
      <c r="N18" s="10">
        <v>132830</v>
      </c>
      <c r="O18" s="12">
        <v>13</v>
      </c>
    </row>
    <row r="19" spans="1:15" ht="27" x14ac:dyDescent="0.3">
      <c r="A19" s="9">
        <v>43528</v>
      </c>
      <c r="B19" s="12">
        <v>33</v>
      </c>
      <c r="C19" s="11">
        <v>6.0000000000000001E-3</v>
      </c>
      <c r="D19" s="12">
        <v>168</v>
      </c>
      <c r="E19" s="11">
        <v>0.01</v>
      </c>
      <c r="F19" s="10">
        <v>21424</v>
      </c>
      <c r="G19" s="11">
        <v>8.0000000000000002E-3</v>
      </c>
      <c r="H19" s="11">
        <v>8.3000000000000004E-2</v>
      </c>
      <c r="I19" s="10">
        <v>15332000</v>
      </c>
      <c r="J19" s="12" t="s">
        <v>3995</v>
      </c>
      <c r="K19" s="10">
        <v>1779</v>
      </c>
      <c r="L19" s="12" t="s">
        <v>3996</v>
      </c>
      <c r="M19" s="10">
        <v>1170013500</v>
      </c>
      <c r="N19" s="10">
        <v>134609</v>
      </c>
      <c r="O19" s="12">
        <v>12</v>
      </c>
    </row>
    <row r="20" spans="1:15" ht="27" x14ac:dyDescent="0.3">
      <c r="A20" s="9">
        <v>43529</v>
      </c>
      <c r="B20" s="12">
        <v>33</v>
      </c>
      <c r="C20" s="11">
        <v>6.0000000000000001E-3</v>
      </c>
      <c r="D20" s="12">
        <v>172</v>
      </c>
      <c r="E20" s="11">
        <v>0.01</v>
      </c>
      <c r="F20" s="10">
        <v>21992</v>
      </c>
      <c r="G20" s="11">
        <v>8.0000000000000002E-3</v>
      </c>
      <c r="H20" s="11">
        <v>8.1000000000000003E-2</v>
      </c>
      <c r="I20" s="10">
        <v>15544500</v>
      </c>
      <c r="J20" s="12" t="s">
        <v>3997</v>
      </c>
      <c r="K20" s="10">
        <v>1787</v>
      </c>
      <c r="L20" s="12" t="s">
        <v>3998</v>
      </c>
      <c r="M20" s="10">
        <v>1185558000</v>
      </c>
      <c r="N20" s="10">
        <v>136396</v>
      </c>
      <c r="O20" s="12">
        <v>11</v>
      </c>
    </row>
    <row r="21" spans="1:15" ht="27" x14ac:dyDescent="0.3">
      <c r="A21" s="9">
        <v>43530</v>
      </c>
      <c r="B21" s="12">
        <v>5</v>
      </c>
      <c r="C21" s="11">
        <v>1E-3</v>
      </c>
      <c r="D21" s="12">
        <v>9</v>
      </c>
      <c r="E21" s="11">
        <v>0</v>
      </c>
      <c r="F21" s="10">
        <v>1336</v>
      </c>
      <c r="G21" s="11">
        <v>0</v>
      </c>
      <c r="H21" s="11">
        <v>0.109</v>
      </c>
      <c r="I21" s="10">
        <v>1156000</v>
      </c>
      <c r="J21" s="12" t="s">
        <v>3999</v>
      </c>
      <c r="K21" s="12">
        <v>145</v>
      </c>
      <c r="L21" s="12" t="s">
        <v>4000</v>
      </c>
      <c r="M21" s="10">
        <v>1186714000</v>
      </c>
      <c r="N21" s="10">
        <v>136541</v>
      </c>
      <c r="O21" s="12">
        <v>27</v>
      </c>
    </row>
    <row r="22" spans="1:15" ht="27" x14ac:dyDescent="0.3">
      <c r="A22" s="9">
        <v>43531</v>
      </c>
      <c r="B22" s="12">
        <v>5</v>
      </c>
      <c r="C22" s="11">
        <v>1E-3</v>
      </c>
      <c r="D22" s="12">
        <v>10</v>
      </c>
      <c r="E22" s="11">
        <v>1E-3</v>
      </c>
      <c r="F22" s="10">
        <v>1504</v>
      </c>
      <c r="G22" s="11">
        <v>1E-3</v>
      </c>
      <c r="H22" s="11">
        <v>0.129</v>
      </c>
      <c r="I22" s="10">
        <v>1576000</v>
      </c>
      <c r="J22" s="12" t="s">
        <v>4001</v>
      </c>
      <c r="K22" s="12">
        <v>194</v>
      </c>
      <c r="L22" s="12" t="s">
        <v>4002</v>
      </c>
      <c r="M22" s="10">
        <v>1188290000</v>
      </c>
      <c r="N22" s="10">
        <v>136735</v>
      </c>
      <c r="O22" s="12">
        <v>30</v>
      </c>
    </row>
    <row r="23" spans="1:15" ht="27" x14ac:dyDescent="0.3">
      <c r="A23" s="9">
        <v>43532</v>
      </c>
      <c r="B23" s="12">
        <v>5</v>
      </c>
      <c r="C23" s="11">
        <v>1E-3</v>
      </c>
      <c r="D23" s="12">
        <v>11</v>
      </c>
      <c r="E23" s="11">
        <v>1E-3</v>
      </c>
      <c r="F23" s="10">
        <v>1672</v>
      </c>
      <c r="G23" s="11">
        <v>1E-3</v>
      </c>
      <c r="H23" s="11">
        <v>0.19400000000000001</v>
      </c>
      <c r="I23" s="10">
        <v>3036000</v>
      </c>
      <c r="J23" s="12" t="s">
        <v>4003</v>
      </c>
      <c r="K23" s="12">
        <v>324</v>
      </c>
      <c r="L23" s="12" t="s">
        <v>4004</v>
      </c>
      <c r="M23" s="10">
        <v>1191326000</v>
      </c>
      <c r="N23" s="10">
        <v>137059</v>
      </c>
      <c r="O23" s="12">
        <v>17</v>
      </c>
    </row>
    <row r="24" spans="1:15" ht="27" x14ac:dyDescent="0.3">
      <c r="A24" s="9">
        <v>43533</v>
      </c>
      <c r="B24" s="12">
        <v>4</v>
      </c>
      <c r="C24" s="11">
        <v>1E-3</v>
      </c>
      <c r="D24" s="12">
        <v>6</v>
      </c>
      <c r="E24" s="11">
        <v>0</v>
      </c>
      <c r="F24" s="12">
        <v>752</v>
      </c>
      <c r="G24" s="11">
        <v>0</v>
      </c>
      <c r="H24" s="11">
        <v>0.315</v>
      </c>
      <c r="I24" s="10">
        <v>2296000</v>
      </c>
      <c r="J24" s="12" t="s">
        <v>4005</v>
      </c>
      <c r="K24" s="12">
        <v>237</v>
      </c>
      <c r="L24" s="12" t="s">
        <v>4006</v>
      </c>
      <c r="M24" s="10">
        <v>1193622000</v>
      </c>
      <c r="N24" s="10">
        <v>137296</v>
      </c>
      <c r="O24" s="12">
        <v>25</v>
      </c>
    </row>
    <row r="25" spans="1:15" ht="27" x14ac:dyDescent="0.3">
      <c r="A25" s="9">
        <v>43534</v>
      </c>
      <c r="B25" s="12">
        <v>4</v>
      </c>
      <c r="C25" s="11">
        <v>1E-3</v>
      </c>
      <c r="D25" s="12">
        <v>6</v>
      </c>
      <c r="E25" s="11">
        <v>0</v>
      </c>
      <c r="F25" s="12">
        <v>752</v>
      </c>
      <c r="G25" s="11">
        <v>0</v>
      </c>
      <c r="H25" s="11">
        <v>0.33500000000000002</v>
      </c>
      <c r="I25" s="10">
        <v>2419000</v>
      </c>
      <c r="J25" s="12" t="s">
        <v>4007</v>
      </c>
      <c r="K25" s="12">
        <v>252</v>
      </c>
      <c r="L25" s="12" t="s">
        <v>4008</v>
      </c>
      <c r="M25" s="10">
        <v>1196041000</v>
      </c>
      <c r="N25" s="10">
        <v>137548</v>
      </c>
      <c r="O25" s="12">
        <v>25</v>
      </c>
    </row>
    <row r="26" spans="1:15" ht="27" x14ac:dyDescent="0.3">
      <c r="A26" s="9">
        <v>43535</v>
      </c>
      <c r="B26" s="12">
        <v>2</v>
      </c>
      <c r="C26" s="11">
        <v>0</v>
      </c>
      <c r="D26" s="12">
        <v>4</v>
      </c>
      <c r="E26" s="11">
        <v>0</v>
      </c>
      <c r="F26" s="12">
        <v>464</v>
      </c>
      <c r="G26" s="11">
        <v>0</v>
      </c>
      <c r="H26" s="11">
        <v>0.17699999999999999</v>
      </c>
      <c r="I26" s="10">
        <v>723000</v>
      </c>
      <c r="J26" s="12" t="s">
        <v>4009</v>
      </c>
      <c r="K26" s="12">
        <v>82</v>
      </c>
      <c r="L26" s="12" t="s">
        <v>4010</v>
      </c>
      <c r="M26" s="10">
        <v>1196764000</v>
      </c>
      <c r="N26" s="10">
        <v>137630</v>
      </c>
      <c r="O26" s="12">
        <v>32</v>
      </c>
    </row>
    <row r="27" spans="1:15" ht="27" x14ac:dyDescent="0.3">
      <c r="A27" s="9">
        <v>43536</v>
      </c>
      <c r="B27" s="12">
        <v>2</v>
      </c>
      <c r="C27" s="11">
        <v>0</v>
      </c>
      <c r="D27" s="12">
        <v>4</v>
      </c>
      <c r="E27" s="11">
        <v>0</v>
      </c>
      <c r="F27" s="12">
        <v>464</v>
      </c>
      <c r="G27" s="11">
        <v>0</v>
      </c>
      <c r="H27" s="11">
        <v>0.125</v>
      </c>
      <c r="I27" s="10">
        <v>511000</v>
      </c>
      <c r="J27" s="12" t="s">
        <v>4011</v>
      </c>
      <c r="K27" s="12">
        <v>58</v>
      </c>
      <c r="L27" s="12" t="s">
        <v>4012</v>
      </c>
      <c r="M27" s="10">
        <v>1197275000</v>
      </c>
      <c r="N27" s="10">
        <v>137688</v>
      </c>
      <c r="O27" s="12">
        <v>40</v>
      </c>
    </row>
    <row r="28" spans="1:15" ht="27" x14ac:dyDescent="0.3">
      <c r="A28" s="9">
        <v>43537</v>
      </c>
      <c r="B28" s="12">
        <v>2</v>
      </c>
      <c r="C28" s="11">
        <v>0</v>
      </c>
      <c r="D28" s="12">
        <v>4</v>
      </c>
      <c r="E28" s="11">
        <v>0</v>
      </c>
      <c r="F28" s="12">
        <v>464</v>
      </c>
      <c r="G28" s="11">
        <v>0</v>
      </c>
      <c r="H28" s="11">
        <v>0.216</v>
      </c>
      <c r="I28" s="10">
        <v>876000</v>
      </c>
      <c r="J28" s="12" t="s">
        <v>4013</v>
      </c>
      <c r="K28" s="12">
        <v>100</v>
      </c>
      <c r="L28" s="12" t="s">
        <v>4014</v>
      </c>
      <c r="M28" s="10">
        <v>1198151000</v>
      </c>
      <c r="N28" s="10">
        <v>137788</v>
      </c>
      <c r="O28" s="12">
        <v>35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EA021-5CA5-491E-A299-EA8497604A61}">
  <dimension ref="A1:O82"/>
  <sheetViews>
    <sheetView workbookViewId="0">
      <selection activeCell="A6" activeCellId="1" sqref="A5:XFD5 A6:XFD6"/>
    </sheetView>
  </sheetViews>
  <sheetFormatPr defaultRowHeight="16.5" x14ac:dyDescent="0.3"/>
  <sheetData>
    <row r="1" spans="1:15" ht="19.5" x14ac:dyDescent="0.3">
      <c r="A1" s="197" t="s">
        <v>4015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43516</v>
      </c>
      <c r="B5" s="12">
        <v>480</v>
      </c>
      <c r="C5" s="11">
        <v>7.8E-2</v>
      </c>
      <c r="D5" s="10">
        <v>1433</v>
      </c>
      <c r="E5" s="11">
        <v>7.6999999999999999E-2</v>
      </c>
      <c r="F5" s="10">
        <v>187171</v>
      </c>
      <c r="G5" s="11">
        <v>6.4000000000000001E-2</v>
      </c>
      <c r="H5" s="11">
        <v>0.106</v>
      </c>
      <c r="I5" s="10">
        <v>153887290</v>
      </c>
      <c r="J5" s="12" t="s">
        <v>4016</v>
      </c>
      <c r="K5" s="10">
        <v>19775</v>
      </c>
      <c r="L5" s="12" t="s">
        <v>4017</v>
      </c>
      <c r="M5" s="10">
        <v>156125290</v>
      </c>
      <c r="N5" s="10">
        <v>20062</v>
      </c>
      <c r="O5" s="12">
        <v>4</v>
      </c>
    </row>
    <row r="6" spans="1:15" ht="27" x14ac:dyDescent="0.3">
      <c r="A6" s="9">
        <v>43517</v>
      </c>
      <c r="B6" s="12">
        <v>479</v>
      </c>
      <c r="C6" s="11">
        <v>7.4999999999999997E-2</v>
      </c>
      <c r="D6" s="10">
        <v>1246</v>
      </c>
      <c r="E6" s="11">
        <v>6.7000000000000004E-2</v>
      </c>
      <c r="F6" s="10">
        <v>163255</v>
      </c>
      <c r="G6" s="11">
        <v>5.7000000000000002E-2</v>
      </c>
      <c r="H6" s="11">
        <v>8.1000000000000003E-2</v>
      </c>
      <c r="I6" s="10">
        <v>101522620</v>
      </c>
      <c r="J6" s="12" t="s">
        <v>4018</v>
      </c>
      <c r="K6" s="10">
        <v>13161</v>
      </c>
      <c r="L6" s="12" t="s">
        <v>4019</v>
      </c>
      <c r="M6" s="10">
        <v>257647910</v>
      </c>
      <c r="N6" s="10">
        <v>33223</v>
      </c>
      <c r="O6" s="12">
        <v>7</v>
      </c>
    </row>
    <row r="7" spans="1:15" ht="27" x14ac:dyDescent="0.3">
      <c r="A7" s="9">
        <v>43518</v>
      </c>
      <c r="B7" s="12">
        <v>470</v>
      </c>
      <c r="C7" s="11">
        <v>7.1999999999999995E-2</v>
      </c>
      <c r="D7" s="10">
        <v>1137</v>
      </c>
      <c r="E7" s="11">
        <v>0.06</v>
      </c>
      <c r="F7" s="10">
        <v>148100</v>
      </c>
      <c r="G7" s="11">
        <v>5.0999999999999997E-2</v>
      </c>
      <c r="H7" s="11">
        <v>0.08</v>
      </c>
      <c r="I7" s="10">
        <v>101628702</v>
      </c>
      <c r="J7" s="12" t="s">
        <v>4020</v>
      </c>
      <c r="K7" s="10">
        <v>11867</v>
      </c>
      <c r="L7" s="12" t="s">
        <v>4021</v>
      </c>
      <c r="M7" s="10">
        <v>359276612</v>
      </c>
      <c r="N7" s="10">
        <v>45090</v>
      </c>
      <c r="O7" s="12">
        <v>7</v>
      </c>
    </row>
    <row r="8" spans="1:15" ht="27" x14ac:dyDescent="0.3">
      <c r="A8" s="9">
        <v>43519</v>
      </c>
      <c r="B8" s="12">
        <v>467</v>
      </c>
      <c r="C8" s="11">
        <v>6.8000000000000005E-2</v>
      </c>
      <c r="D8" s="12">
        <v>931</v>
      </c>
      <c r="E8" s="11">
        <v>4.8000000000000001E-2</v>
      </c>
      <c r="F8" s="10">
        <v>115357</v>
      </c>
      <c r="G8" s="11">
        <v>3.7999999999999999E-2</v>
      </c>
      <c r="H8" s="11">
        <v>0.153</v>
      </c>
      <c r="I8" s="10">
        <v>151641195</v>
      </c>
      <c r="J8" s="12" t="s">
        <v>4022</v>
      </c>
      <c r="K8" s="10">
        <v>17615</v>
      </c>
      <c r="L8" s="12" t="s">
        <v>4023</v>
      </c>
      <c r="M8" s="10">
        <v>510917807</v>
      </c>
      <c r="N8" s="10">
        <v>62705</v>
      </c>
      <c r="O8" s="12">
        <v>6</v>
      </c>
    </row>
    <row r="9" spans="1:15" ht="27" x14ac:dyDescent="0.3">
      <c r="A9" s="9">
        <v>43520</v>
      </c>
      <c r="B9" s="12">
        <v>470</v>
      </c>
      <c r="C9" s="11">
        <v>6.9000000000000006E-2</v>
      </c>
      <c r="D9" s="12">
        <v>883</v>
      </c>
      <c r="E9" s="11">
        <v>4.5999999999999999E-2</v>
      </c>
      <c r="F9" s="10">
        <v>108787</v>
      </c>
      <c r="G9" s="11">
        <v>3.6999999999999998E-2</v>
      </c>
      <c r="H9" s="11">
        <v>0.14299999999999999</v>
      </c>
      <c r="I9" s="10">
        <v>134168180</v>
      </c>
      <c r="J9" s="12" t="s">
        <v>4024</v>
      </c>
      <c r="K9" s="10">
        <v>15598</v>
      </c>
      <c r="L9" s="12" t="s">
        <v>4025</v>
      </c>
      <c r="M9" s="10">
        <v>645085987</v>
      </c>
      <c r="N9" s="10">
        <v>78303</v>
      </c>
      <c r="O9" s="12">
        <v>7</v>
      </c>
    </row>
    <row r="10" spans="1:15" ht="27" x14ac:dyDescent="0.3">
      <c r="A10" s="9">
        <v>43521</v>
      </c>
      <c r="B10" s="12">
        <v>441</v>
      </c>
      <c r="C10" s="11">
        <v>7.0000000000000007E-2</v>
      </c>
      <c r="D10" s="12">
        <v>865</v>
      </c>
      <c r="E10" s="11">
        <v>4.8000000000000001E-2</v>
      </c>
      <c r="F10" s="10">
        <v>114139</v>
      </c>
      <c r="G10" s="11">
        <v>0.04</v>
      </c>
      <c r="H10" s="11">
        <v>5.5E-2</v>
      </c>
      <c r="I10" s="10">
        <v>48834260</v>
      </c>
      <c r="J10" s="12" t="s">
        <v>4026</v>
      </c>
      <c r="K10" s="10">
        <v>6281</v>
      </c>
      <c r="L10" s="12" t="s">
        <v>4027</v>
      </c>
      <c r="M10" s="10">
        <v>693920247</v>
      </c>
      <c r="N10" s="10">
        <v>84584</v>
      </c>
      <c r="O10" s="12">
        <v>9</v>
      </c>
    </row>
    <row r="11" spans="1:15" ht="27" x14ac:dyDescent="0.3">
      <c r="A11" s="9">
        <v>43522</v>
      </c>
      <c r="B11" s="12">
        <v>432</v>
      </c>
      <c r="C11" s="11">
        <v>6.8000000000000005E-2</v>
      </c>
      <c r="D11" s="12">
        <v>842</v>
      </c>
      <c r="E11" s="11">
        <v>4.5999999999999999E-2</v>
      </c>
      <c r="F11" s="10">
        <v>109937</v>
      </c>
      <c r="G11" s="11">
        <v>3.9E-2</v>
      </c>
      <c r="H11" s="11">
        <v>5.1999999999999998E-2</v>
      </c>
      <c r="I11" s="10">
        <v>43740420</v>
      </c>
      <c r="J11" s="12" t="s">
        <v>4028</v>
      </c>
      <c r="K11" s="10">
        <v>5721</v>
      </c>
      <c r="L11" s="12" t="s">
        <v>4029</v>
      </c>
      <c r="M11" s="10">
        <v>737660667</v>
      </c>
      <c r="N11" s="10">
        <v>90305</v>
      </c>
      <c r="O11" s="12">
        <v>10</v>
      </c>
    </row>
    <row r="12" spans="1:15" ht="27" x14ac:dyDescent="0.3">
      <c r="A12" s="9">
        <v>43523</v>
      </c>
      <c r="B12" s="12">
        <v>52</v>
      </c>
      <c r="C12" s="11">
        <v>8.0000000000000002E-3</v>
      </c>
      <c r="D12" s="12">
        <v>62</v>
      </c>
      <c r="E12" s="11">
        <v>3.0000000000000001E-3</v>
      </c>
      <c r="F12" s="10">
        <v>7415</v>
      </c>
      <c r="G12" s="11">
        <v>2E-3</v>
      </c>
      <c r="H12" s="11">
        <v>0.10100000000000001</v>
      </c>
      <c r="I12" s="10">
        <v>4847800</v>
      </c>
      <c r="J12" s="12" t="s">
        <v>4030</v>
      </c>
      <c r="K12" s="12">
        <v>748</v>
      </c>
      <c r="L12" s="12" t="s">
        <v>4031</v>
      </c>
      <c r="M12" s="10">
        <v>742508467</v>
      </c>
      <c r="N12" s="10">
        <v>91053</v>
      </c>
      <c r="O12" s="12">
        <v>23</v>
      </c>
    </row>
    <row r="13" spans="1:15" ht="27" x14ac:dyDescent="0.3">
      <c r="A13" s="9">
        <v>43524</v>
      </c>
      <c r="B13" s="12">
        <v>47</v>
      </c>
      <c r="C13" s="11">
        <v>7.0000000000000001E-3</v>
      </c>
      <c r="D13" s="12">
        <v>57</v>
      </c>
      <c r="E13" s="11">
        <v>3.0000000000000001E-3</v>
      </c>
      <c r="F13" s="10">
        <v>6629</v>
      </c>
      <c r="G13" s="11">
        <v>2E-3</v>
      </c>
      <c r="H13" s="11">
        <v>6.5000000000000002E-2</v>
      </c>
      <c r="I13" s="10">
        <v>3326800</v>
      </c>
      <c r="J13" s="12" t="s">
        <v>4032</v>
      </c>
      <c r="K13" s="12">
        <v>429</v>
      </c>
      <c r="L13" s="12" t="s">
        <v>4033</v>
      </c>
      <c r="M13" s="10">
        <v>745835267</v>
      </c>
      <c r="N13" s="10">
        <v>91482</v>
      </c>
      <c r="O13" s="12">
        <v>31</v>
      </c>
    </row>
    <row r="14" spans="1:15" ht="27" x14ac:dyDescent="0.3">
      <c r="A14" s="9">
        <v>43525</v>
      </c>
      <c r="B14" s="12">
        <v>35</v>
      </c>
      <c r="C14" s="11">
        <v>5.0000000000000001E-3</v>
      </c>
      <c r="D14" s="12">
        <v>42</v>
      </c>
      <c r="E14" s="11">
        <v>2E-3</v>
      </c>
      <c r="F14" s="10">
        <v>4666</v>
      </c>
      <c r="G14" s="11">
        <v>1E-3</v>
      </c>
      <c r="H14" s="11">
        <v>0.16400000000000001</v>
      </c>
      <c r="I14" s="10">
        <v>6418000</v>
      </c>
      <c r="J14" s="12" t="s">
        <v>4034</v>
      </c>
      <c r="K14" s="12">
        <v>764</v>
      </c>
      <c r="L14" s="12" t="s">
        <v>4035</v>
      </c>
      <c r="M14" s="10">
        <v>752253267</v>
      </c>
      <c r="N14" s="10">
        <v>92246</v>
      </c>
      <c r="O14" s="12">
        <v>24</v>
      </c>
    </row>
    <row r="15" spans="1:15" ht="27" x14ac:dyDescent="0.3">
      <c r="A15" s="9">
        <v>43526</v>
      </c>
      <c r="B15" s="12">
        <v>36</v>
      </c>
      <c r="C15" s="11">
        <v>5.0000000000000001E-3</v>
      </c>
      <c r="D15" s="12">
        <v>43</v>
      </c>
      <c r="E15" s="11">
        <v>2E-3</v>
      </c>
      <c r="F15" s="10">
        <v>4768</v>
      </c>
      <c r="G15" s="11">
        <v>2E-3</v>
      </c>
      <c r="H15" s="11">
        <v>0.11</v>
      </c>
      <c r="I15" s="10">
        <v>4535580</v>
      </c>
      <c r="J15" s="12" t="s">
        <v>4036</v>
      </c>
      <c r="K15" s="12">
        <v>526</v>
      </c>
      <c r="L15" s="12" t="s">
        <v>4037</v>
      </c>
      <c r="M15" s="10">
        <v>756788847</v>
      </c>
      <c r="N15" s="10">
        <v>92772</v>
      </c>
      <c r="O15" s="12">
        <v>26</v>
      </c>
    </row>
    <row r="16" spans="1:15" ht="27" x14ac:dyDescent="0.3">
      <c r="A16" s="9">
        <v>43527</v>
      </c>
      <c r="B16" s="12">
        <v>36</v>
      </c>
      <c r="C16" s="11">
        <v>5.0000000000000001E-3</v>
      </c>
      <c r="D16" s="12">
        <v>42</v>
      </c>
      <c r="E16" s="11">
        <v>2E-3</v>
      </c>
      <c r="F16" s="10">
        <v>4539</v>
      </c>
      <c r="G16" s="11">
        <v>1E-3</v>
      </c>
      <c r="H16" s="11">
        <v>0.11600000000000001</v>
      </c>
      <c r="I16" s="10">
        <v>4360860</v>
      </c>
      <c r="J16" s="12" t="s">
        <v>4038</v>
      </c>
      <c r="K16" s="12">
        <v>528</v>
      </c>
      <c r="L16" s="12" t="s">
        <v>4039</v>
      </c>
      <c r="M16" s="10">
        <v>761149707</v>
      </c>
      <c r="N16" s="10">
        <v>93300</v>
      </c>
      <c r="O16" s="12">
        <v>23</v>
      </c>
    </row>
    <row r="17" spans="1:15" ht="27" x14ac:dyDescent="0.3">
      <c r="A17" s="9">
        <v>43528</v>
      </c>
      <c r="B17" s="12">
        <v>33</v>
      </c>
      <c r="C17" s="11">
        <v>6.0000000000000001E-3</v>
      </c>
      <c r="D17" s="12">
        <v>36</v>
      </c>
      <c r="E17" s="11">
        <v>2E-3</v>
      </c>
      <c r="F17" s="10">
        <v>4217</v>
      </c>
      <c r="G17" s="11">
        <v>2E-3</v>
      </c>
      <c r="H17" s="11">
        <v>4.2999999999999997E-2</v>
      </c>
      <c r="I17" s="10">
        <v>1264900</v>
      </c>
      <c r="J17" s="12" t="s">
        <v>4040</v>
      </c>
      <c r="K17" s="12">
        <v>180</v>
      </c>
      <c r="L17" s="12" t="s">
        <v>4041</v>
      </c>
      <c r="M17" s="10">
        <v>762414607</v>
      </c>
      <c r="N17" s="10">
        <v>93480</v>
      </c>
      <c r="O17" s="12">
        <v>27</v>
      </c>
    </row>
    <row r="18" spans="1:15" ht="27" x14ac:dyDescent="0.3">
      <c r="A18" s="9">
        <v>43529</v>
      </c>
      <c r="B18" s="12">
        <v>37</v>
      </c>
      <c r="C18" s="11">
        <v>6.0000000000000001E-3</v>
      </c>
      <c r="D18" s="12">
        <v>42</v>
      </c>
      <c r="E18" s="11">
        <v>2E-3</v>
      </c>
      <c r="F18" s="10">
        <v>4896</v>
      </c>
      <c r="G18" s="11">
        <v>2E-3</v>
      </c>
      <c r="H18" s="11">
        <v>0.04</v>
      </c>
      <c r="I18" s="10">
        <v>1369000</v>
      </c>
      <c r="J18" s="12" t="s">
        <v>4042</v>
      </c>
      <c r="K18" s="12">
        <v>196</v>
      </c>
      <c r="L18" s="12" t="s">
        <v>4043</v>
      </c>
      <c r="M18" s="10">
        <v>763783607</v>
      </c>
      <c r="N18" s="10">
        <v>93676</v>
      </c>
      <c r="O18" s="12">
        <v>31</v>
      </c>
    </row>
    <row r="19" spans="1:15" ht="27" x14ac:dyDescent="0.3">
      <c r="A19" s="9">
        <v>43530</v>
      </c>
      <c r="B19" s="12">
        <v>5</v>
      </c>
      <c r="C19" s="11">
        <v>1E-3</v>
      </c>
      <c r="D19" s="12">
        <v>7</v>
      </c>
      <c r="E19" s="11">
        <v>0</v>
      </c>
      <c r="F19" s="12">
        <v>624</v>
      </c>
      <c r="G19" s="11">
        <v>0</v>
      </c>
      <c r="H19" s="11">
        <v>9.0999999999999998E-2</v>
      </c>
      <c r="I19" s="10">
        <v>334000</v>
      </c>
      <c r="J19" s="12" t="s">
        <v>4044</v>
      </c>
      <c r="K19" s="12">
        <v>57</v>
      </c>
      <c r="L19" s="12" t="s">
        <v>4045</v>
      </c>
      <c r="M19" s="10">
        <v>764117607</v>
      </c>
      <c r="N19" s="10">
        <v>93733</v>
      </c>
      <c r="O19" s="12">
        <v>43</v>
      </c>
    </row>
    <row r="20" spans="1:15" ht="27" x14ac:dyDescent="0.3">
      <c r="A20" s="9">
        <v>43531</v>
      </c>
      <c r="B20" s="12">
        <v>5</v>
      </c>
      <c r="C20" s="11">
        <v>1E-3</v>
      </c>
      <c r="D20" s="12">
        <v>5</v>
      </c>
      <c r="E20" s="11">
        <v>0</v>
      </c>
      <c r="F20" s="12">
        <v>428</v>
      </c>
      <c r="G20" s="11">
        <v>0</v>
      </c>
      <c r="H20" s="11">
        <v>8.4000000000000005E-2</v>
      </c>
      <c r="I20" s="10">
        <v>224000</v>
      </c>
      <c r="J20" s="12" t="s">
        <v>4046</v>
      </c>
      <c r="K20" s="12">
        <v>36</v>
      </c>
      <c r="L20" s="12" t="s">
        <v>4047</v>
      </c>
      <c r="M20" s="10">
        <v>764341607</v>
      </c>
      <c r="N20" s="10">
        <v>93769</v>
      </c>
      <c r="O20" s="12">
        <v>49</v>
      </c>
    </row>
    <row r="21" spans="1:15" ht="27" x14ac:dyDescent="0.3">
      <c r="A21" s="9">
        <v>43532</v>
      </c>
      <c r="B21" s="12">
        <v>6</v>
      </c>
      <c r="C21" s="11">
        <v>1E-3</v>
      </c>
      <c r="D21" s="12">
        <v>6</v>
      </c>
      <c r="E21" s="11">
        <v>0</v>
      </c>
      <c r="F21" s="12">
        <v>526</v>
      </c>
      <c r="G21" s="11">
        <v>0</v>
      </c>
      <c r="H21" s="11">
        <v>0.13500000000000001</v>
      </c>
      <c r="I21" s="10">
        <v>481000</v>
      </c>
      <c r="J21" s="12" t="s">
        <v>4048</v>
      </c>
      <c r="K21" s="12">
        <v>71</v>
      </c>
      <c r="L21" s="12" t="s">
        <v>4049</v>
      </c>
      <c r="M21" s="10">
        <v>764822607</v>
      </c>
      <c r="N21" s="10">
        <v>93840</v>
      </c>
      <c r="O21" s="12">
        <v>41</v>
      </c>
    </row>
    <row r="22" spans="1:15" ht="27" x14ac:dyDescent="0.3">
      <c r="A22" s="9">
        <v>43533</v>
      </c>
      <c r="B22" s="12">
        <v>4</v>
      </c>
      <c r="C22" s="11">
        <v>1E-3</v>
      </c>
      <c r="D22" s="12">
        <v>4</v>
      </c>
      <c r="E22" s="11">
        <v>0</v>
      </c>
      <c r="F22" s="12">
        <v>390</v>
      </c>
      <c r="G22" s="11">
        <v>0</v>
      </c>
      <c r="H22" s="11">
        <v>0.10299999999999999</v>
      </c>
      <c r="I22" s="10">
        <v>303000</v>
      </c>
      <c r="J22" s="12" t="s">
        <v>4050</v>
      </c>
      <c r="K22" s="12">
        <v>40</v>
      </c>
      <c r="L22" s="12" t="s">
        <v>4051</v>
      </c>
      <c r="M22" s="10">
        <v>765125607</v>
      </c>
      <c r="N22" s="10">
        <v>93880</v>
      </c>
      <c r="O22" s="12">
        <v>53</v>
      </c>
    </row>
    <row r="23" spans="1:15" ht="27" x14ac:dyDescent="0.3">
      <c r="A23" s="9">
        <v>43534</v>
      </c>
      <c r="B23" s="12">
        <v>6</v>
      </c>
      <c r="C23" s="11">
        <v>1E-3</v>
      </c>
      <c r="D23" s="12">
        <v>6</v>
      </c>
      <c r="E23" s="11">
        <v>0</v>
      </c>
      <c r="F23" s="12">
        <v>504</v>
      </c>
      <c r="G23" s="11">
        <v>0</v>
      </c>
      <c r="H23" s="11">
        <v>0.127</v>
      </c>
      <c r="I23" s="10">
        <v>456000</v>
      </c>
      <c r="J23" s="12" t="s">
        <v>4052</v>
      </c>
      <c r="K23" s="12">
        <v>64</v>
      </c>
      <c r="L23" s="12" t="s">
        <v>4053</v>
      </c>
      <c r="M23" s="10">
        <v>765581607</v>
      </c>
      <c r="N23" s="10">
        <v>93944</v>
      </c>
      <c r="O23" s="12">
        <v>42</v>
      </c>
    </row>
    <row r="24" spans="1:15" ht="27" x14ac:dyDescent="0.3">
      <c r="A24" s="9">
        <v>43535</v>
      </c>
      <c r="B24" s="12">
        <v>3</v>
      </c>
      <c r="C24" s="11">
        <v>1E-3</v>
      </c>
      <c r="D24" s="12">
        <v>3</v>
      </c>
      <c r="E24" s="11">
        <v>0</v>
      </c>
      <c r="F24" s="12">
        <v>332</v>
      </c>
      <c r="G24" s="11">
        <v>0</v>
      </c>
      <c r="H24" s="11">
        <v>3.9E-2</v>
      </c>
      <c r="I24" s="10">
        <v>93000</v>
      </c>
      <c r="J24" s="12" t="s">
        <v>4054</v>
      </c>
      <c r="K24" s="12">
        <v>13</v>
      </c>
      <c r="L24" s="12" t="s">
        <v>4055</v>
      </c>
      <c r="M24" s="10">
        <v>765674607</v>
      </c>
      <c r="N24" s="10">
        <v>93957</v>
      </c>
      <c r="O24" s="12">
        <v>52</v>
      </c>
    </row>
    <row r="25" spans="1:15" ht="27" x14ac:dyDescent="0.3">
      <c r="A25" s="9">
        <v>43536</v>
      </c>
      <c r="B25" s="12">
        <v>3</v>
      </c>
      <c r="C25" s="11">
        <v>1E-3</v>
      </c>
      <c r="D25" s="12">
        <v>3</v>
      </c>
      <c r="E25" s="11">
        <v>0</v>
      </c>
      <c r="F25" s="12">
        <v>291</v>
      </c>
      <c r="G25" s="11">
        <v>0</v>
      </c>
      <c r="H25" s="11">
        <v>5.1999999999999998E-2</v>
      </c>
      <c r="I25" s="10">
        <v>103000</v>
      </c>
      <c r="J25" s="12" t="s">
        <v>4056</v>
      </c>
      <c r="K25" s="12">
        <v>15</v>
      </c>
      <c r="L25" s="12" t="s">
        <v>4057</v>
      </c>
      <c r="M25" s="10">
        <v>765777607</v>
      </c>
      <c r="N25" s="10">
        <v>93972</v>
      </c>
      <c r="O25" s="12">
        <v>63</v>
      </c>
    </row>
    <row r="26" spans="1:15" ht="27" x14ac:dyDescent="0.3">
      <c r="A26" s="9">
        <v>43537</v>
      </c>
      <c r="B26" s="12">
        <v>3</v>
      </c>
      <c r="C26" s="11">
        <v>1E-3</v>
      </c>
      <c r="D26" s="12">
        <v>3</v>
      </c>
      <c r="E26" s="11">
        <v>0</v>
      </c>
      <c r="F26" s="12">
        <v>272</v>
      </c>
      <c r="G26" s="11">
        <v>0</v>
      </c>
      <c r="H26" s="11">
        <v>6.3E-2</v>
      </c>
      <c r="I26" s="10">
        <v>121000</v>
      </c>
      <c r="J26" s="12" t="s">
        <v>4058</v>
      </c>
      <c r="K26" s="12">
        <v>17</v>
      </c>
      <c r="L26" s="12" t="s">
        <v>4059</v>
      </c>
      <c r="M26" s="10">
        <v>765898607</v>
      </c>
      <c r="N26" s="10">
        <v>93989</v>
      </c>
      <c r="O26" s="12">
        <v>61</v>
      </c>
    </row>
    <row r="27" spans="1:15" ht="27" x14ac:dyDescent="0.3">
      <c r="A27" s="9">
        <v>43538</v>
      </c>
      <c r="B27" s="12">
        <v>2</v>
      </c>
      <c r="C27" s="11">
        <v>0</v>
      </c>
      <c r="D27" s="12">
        <v>2</v>
      </c>
      <c r="E27" s="11">
        <v>0</v>
      </c>
      <c r="F27" s="12">
        <v>404</v>
      </c>
      <c r="G27" s="11">
        <v>0</v>
      </c>
      <c r="H27" s="11">
        <v>3.5000000000000003E-2</v>
      </c>
      <c r="I27" s="10">
        <v>106000</v>
      </c>
      <c r="J27" s="12" t="s">
        <v>4060</v>
      </c>
      <c r="K27" s="12">
        <v>14</v>
      </c>
      <c r="L27" s="12" t="s">
        <v>4061</v>
      </c>
      <c r="M27" s="10">
        <v>766004607</v>
      </c>
      <c r="N27" s="10">
        <v>94003</v>
      </c>
      <c r="O27" s="12">
        <v>71</v>
      </c>
    </row>
    <row r="28" spans="1:15" ht="27" x14ac:dyDescent="0.3">
      <c r="A28" s="9">
        <v>43539</v>
      </c>
      <c r="B28" s="12">
        <v>3</v>
      </c>
      <c r="C28" s="11">
        <v>1E-3</v>
      </c>
      <c r="D28" s="12">
        <v>3</v>
      </c>
      <c r="E28" s="11">
        <v>0</v>
      </c>
      <c r="F28" s="12">
        <v>602</v>
      </c>
      <c r="G28" s="11">
        <v>0</v>
      </c>
      <c r="H28" s="11">
        <v>1.2999999999999999E-2</v>
      </c>
      <c r="I28" s="10">
        <v>68000</v>
      </c>
      <c r="J28" s="12" t="s">
        <v>4062</v>
      </c>
      <c r="K28" s="12">
        <v>8</v>
      </c>
      <c r="L28" s="12" t="s">
        <v>4063</v>
      </c>
      <c r="M28" s="10">
        <v>766072607</v>
      </c>
      <c r="N28" s="10">
        <v>94011</v>
      </c>
      <c r="O28" s="12">
        <v>75</v>
      </c>
    </row>
    <row r="29" spans="1:15" ht="27" x14ac:dyDescent="0.3">
      <c r="A29" s="9">
        <v>43540</v>
      </c>
      <c r="B29" s="12">
        <v>4</v>
      </c>
      <c r="C29" s="11">
        <v>1E-3</v>
      </c>
      <c r="D29" s="12">
        <v>4</v>
      </c>
      <c r="E29" s="11">
        <v>0</v>
      </c>
      <c r="F29" s="12">
        <v>468</v>
      </c>
      <c r="G29" s="11">
        <v>0</v>
      </c>
      <c r="H29" s="11">
        <v>4.9000000000000002E-2</v>
      </c>
      <c r="I29" s="10">
        <v>195000</v>
      </c>
      <c r="J29" s="12" t="s">
        <v>4064</v>
      </c>
      <c r="K29" s="12">
        <v>23</v>
      </c>
      <c r="L29" s="12" t="s">
        <v>4065</v>
      </c>
      <c r="M29" s="10">
        <v>766267607</v>
      </c>
      <c r="N29" s="10">
        <v>94034</v>
      </c>
      <c r="O29" s="12">
        <v>78</v>
      </c>
    </row>
    <row r="30" spans="1:15" ht="27" x14ac:dyDescent="0.3">
      <c r="A30" s="9">
        <v>43541</v>
      </c>
      <c r="B30" s="12">
        <v>2</v>
      </c>
      <c r="C30" s="11">
        <v>0</v>
      </c>
      <c r="D30" s="12">
        <v>3</v>
      </c>
      <c r="E30" s="11">
        <v>0</v>
      </c>
      <c r="F30" s="12">
        <v>372</v>
      </c>
      <c r="G30" s="11">
        <v>0</v>
      </c>
      <c r="H30" s="11">
        <v>0.33600000000000002</v>
      </c>
      <c r="I30" s="10">
        <v>288000</v>
      </c>
      <c r="J30" s="12" t="s">
        <v>4066</v>
      </c>
      <c r="K30" s="12">
        <v>125</v>
      </c>
      <c r="L30" s="12" t="s">
        <v>4067</v>
      </c>
      <c r="M30" s="10">
        <v>766555607</v>
      </c>
      <c r="N30" s="10">
        <v>94159</v>
      </c>
      <c r="O30" s="12">
        <v>39</v>
      </c>
    </row>
    <row r="31" spans="1:15" ht="27" x14ac:dyDescent="0.3">
      <c r="A31" s="9">
        <v>43542</v>
      </c>
      <c r="B31" s="12">
        <v>2</v>
      </c>
      <c r="C31" s="11">
        <v>0</v>
      </c>
      <c r="D31" s="12">
        <v>4</v>
      </c>
      <c r="E31" s="11">
        <v>0</v>
      </c>
      <c r="F31" s="12">
        <v>631</v>
      </c>
      <c r="G31" s="11">
        <v>0</v>
      </c>
      <c r="H31" s="11">
        <v>0.32600000000000001</v>
      </c>
      <c r="I31" s="10">
        <v>239000</v>
      </c>
      <c r="J31" s="12" t="s">
        <v>4068</v>
      </c>
      <c r="K31" s="12">
        <v>206</v>
      </c>
      <c r="L31" s="12" t="s">
        <v>4069</v>
      </c>
      <c r="M31" s="10">
        <v>766794607</v>
      </c>
      <c r="N31" s="10">
        <v>94365</v>
      </c>
      <c r="O31" s="12">
        <v>25</v>
      </c>
    </row>
    <row r="32" spans="1:15" ht="27" x14ac:dyDescent="0.3">
      <c r="A32" s="9">
        <v>43543</v>
      </c>
      <c r="B32" s="12">
        <v>2</v>
      </c>
      <c r="C32" s="11">
        <v>0</v>
      </c>
      <c r="D32" s="12">
        <v>3</v>
      </c>
      <c r="E32" s="11">
        <v>0</v>
      </c>
      <c r="F32" s="12">
        <v>525</v>
      </c>
      <c r="G32" s="11">
        <v>0</v>
      </c>
      <c r="H32" s="11">
        <v>0.19400000000000001</v>
      </c>
      <c r="I32" s="10">
        <v>111000</v>
      </c>
      <c r="J32" s="12" t="s">
        <v>4070</v>
      </c>
      <c r="K32" s="12">
        <v>102</v>
      </c>
      <c r="L32" s="12" t="s">
        <v>4071</v>
      </c>
      <c r="M32" s="10">
        <v>766905607</v>
      </c>
      <c r="N32" s="10">
        <v>94467</v>
      </c>
      <c r="O32" s="12">
        <v>34</v>
      </c>
    </row>
    <row r="33" spans="1:15" ht="27" x14ac:dyDescent="0.3">
      <c r="A33" s="9">
        <v>43544</v>
      </c>
      <c r="B33" s="12">
        <v>3</v>
      </c>
      <c r="C33" s="11">
        <v>1E-3</v>
      </c>
      <c r="D33" s="12">
        <v>4</v>
      </c>
      <c r="E33" s="11">
        <v>0</v>
      </c>
      <c r="F33" s="12">
        <v>493</v>
      </c>
      <c r="G33" s="11">
        <v>0</v>
      </c>
      <c r="H33" s="11">
        <v>0.61699999999999999</v>
      </c>
      <c r="I33" s="10">
        <v>321000</v>
      </c>
      <c r="J33" s="12" t="s">
        <v>4072</v>
      </c>
      <c r="K33" s="12">
        <v>304</v>
      </c>
      <c r="L33" s="12" t="s">
        <v>4073</v>
      </c>
      <c r="M33" s="10">
        <v>767226607</v>
      </c>
      <c r="N33" s="10">
        <v>94771</v>
      </c>
      <c r="O33" s="12">
        <v>25</v>
      </c>
    </row>
    <row r="34" spans="1:15" ht="27" x14ac:dyDescent="0.3">
      <c r="A34" s="9">
        <v>43545</v>
      </c>
      <c r="B34" s="12">
        <v>2</v>
      </c>
      <c r="C34" s="11">
        <v>0</v>
      </c>
      <c r="D34" s="12">
        <v>3</v>
      </c>
      <c r="E34" s="11">
        <v>0</v>
      </c>
      <c r="F34" s="12">
        <v>412</v>
      </c>
      <c r="G34" s="11">
        <v>0</v>
      </c>
      <c r="H34" s="11">
        <v>0.72099999999999997</v>
      </c>
      <c r="I34" s="10">
        <v>302000</v>
      </c>
      <c r="J34" s="12" t="s">
        <v>4074</v>
      </c>
      <c r="K34" s="12">
        <v>297</v>
      </c>
      <c r="L34" s="12" t="s">
        <v>4075</v>
      </c>
      <c r="M34" s="10">
        <v>767528607</v>
      </c>
      <c r="N34" s="10">
        <v>95068</v>
      </c>
      <c r="O34" s="12">
        <v>27</v>
      </c>
    </row>
    <row r="35" spans="1:15" ht="27" x14ac:dyDescent="0.3">
      <c r="A35" s="9">
        <v>43546</v>
      </c>
      <c r="B35" s="12">
        <v>2</v>
      </c>
      <c r="C35" s="11">
        <v>0</v>
      </c>
      <c r="D35" s="12">
        <v>3</v>
      </c>
      <c r="E35" s="11">
        <v>0</v>
      </c>
      <c r="F35" s="12">
        <v>412</v>
      </c>
      <c r="G35" s="11">
        <v>0</v>
      </c>
      <c r="H35" s="11">
        <v>0.73099999999999998</v>
      </c>
      <c r="I35" s="10">
        <v>306000</v>
      </c>
      <c r="J35" s="12" t="s">
        <v>4076</v>
      </c>
      <c r="K35" s="12">
        <v>301</v>
      </c>
      <c r="L35" s="12" t="s">
        <v>4077</v>
      </c>
      <c r="M35" s="10">
        <v>767834607</v>
      </c>
      <c r="N35" s="10">
        <v>95369</v>
      </c>
      <c r="O35" s="12">
        <v>25</v>
      </c>
    </row>
    <row r="36" spans="1:15" x14ac:dyDescent="0.3">
      <c r="A36" s="9">
        <v>43547</v>
      </c>
      <c r="B36" s="12">
        <v>2</v>
      </c>
      <c r="C36" s="11">
        <v>0</v>
      </c>
      <c r="D36" s="12">
        <v>3</v>
      </c>
      <c r="E36" s="11">
        <v>0</v>
      </c>
      <c r="F36" s="12">
        <v>412</v>
      </c>
      <c r="G36" s="11">
        <v>0</v>
      </c>
      <c r="H36" s="11">
        <v>0.73099999999999998</v>
      </c>
      <c r="I36" s="10">
        <v>306000</v>
      </c>
      <c r="J36" s="12" t="s">
        <v>292</v>
      </c>
      <c r="K36" s="12">
        <v>301</v>
      </c>
      <c r="L36" s="12" t="s">
        <v>292</v>
      </c>
      <c r="M36" s="10">
        <v>768140607</v>
      </c>
      <c r="N36" s="10">
        <v>95670</v>
      </c>
      <c r="O36" s="12">
        <v>30</v>
      </c>
    </row>
    <row r="37" spans="1:15" x14ac:dyDescent="0.3">
      <c r="A37" s="9">
        <v>43548</v>
      </c>
      <c r="B37" s="12">
        <v>2</v>
      </c>
      <c r="C37" s="11">
        <v>0</v>
      </c>
      <c r="D37" s="12">
        <v>3</v>
      </c>
      <c r="E37" s="11">
        <v>0</v>
      </c>
      <c r="F37" s="12">
        <v>412</v>
      </c>
      <c r="G37" s="11">
        <v>0</v>
      </c>
      <c r="H37" s="11">
        <v>0.73099999999999998</v>
      </c>
      <c r="I37" s="10">
        <v>306000</v>
      </c>
      <c r="J37" s="12" t="s">
        <v>292</v>
      </c>
      <c r="K37" s="12">
        <v>301</v>
      </c>
      <c r="L37" s="12" t="s">
        <v>292</v>
      </c>
      <c r="M37" s="10">
        <v>768446607</v>
      </c>
      <c r="N37" s="10">
        <v>95971</v>
      </c>
      <c r="O37" s="12">
        <v>27</v>
      </c>
    </row>
    <row r="38" spans="1:15" ht="27" x14ac:dyDescent="0.3">
      <c r="A38" s="9">
        <v>43549</v>
      </c>
      <c r="B38" s="12">
        <v>3</v>
      </c>
      <c r="C38" s="11">
        <v>1E-3</v>
      </c>
      <c r="D38" s="12">
        <v>4</v>
      </c>
      <c r="E38" s="11">
        <v>0</v>
      </c>
      <c r="F38" s="12">
        <v>471</v>
      </c>
      <c r="G38" s="11">
        <v>0</v>
      </c>
      <c r="H38" s="11">
        <v>0.53700000000000003</v>
      </c>
      <c r="I38" s="10">
        <v>276000</v>
      </c>
      <c r="J38" s="12" t="s">
        <v>4078</v>
      </c>
      <c r="K38" s="12">
        <v>253</v>
      </c>
      <c r="L38" s="12" t="s">
        <v>4079</v>
      </c>
      <c r="M38" s="10">
        <v>768722607</v>
      </c>
      <c r="N38" s="10">
        <v>96224</v>
      </c>
      <c r="O38" s="12">
        <v>27</v>
      </c>
    </row>
    <row r="39" spans="1:15" ht="27" x14ac:dyDescent="0.3">
      <c r="A39" s="9">
        <v>43550</v>
      </c>
      <c r="B39" s="12">
        <v>2</v>
      </c>
      <c r="C39" s="11">
        <v>0</v>
      </c>
      <c r="D39" s="12">
        <v>3</v>
      </c>
      <c r="E39" s="11">
        <v>0</v>
      </c>
      <c r="F39" s="12">
        <v>412</v>
      </c>
      <c r="G39" s="11">
        <v>0</v>
      </c>
      <c r="H39" s="11">
        <v>0.60899999999999999</v>
      </c>
      <c r="I39" s="10">
        <v>256000</v>
      </c>
      <c r="J39" s="12" t="s">
        <v>4080</v>
      </c>
      <c r="K39" s="12">
        <v>251</v>
      </c>
      <c r="L39" s="12" t="s">
        <v>4081</v>
      </c>
      <c r="M39" s="10">
        <v>768978607</v>
      </c>
      <c r="N39" s="10">
        <v>96475</v>
      </c>
      <c r="O39" s="12">
        <v>29</v>
      </c>
    </row>
    <row r="40" spans="1:15" x14ac:dyDescent="0.3">
      <c r="A40" s="9">
        <v>43551</v>
      </c>
      <c r="B40" s="12">
        <v>2</v>
      </c>
      <c r="C40" s="11">
        <v>0</v>
      </c>
      <c r="D40" s="12">
        <v>3</v>
      </c>
      <c r="E40" s="11">
        <v>0</v>
      </c>
      <c r="F40" s="12">
        <v>412</v>
      </c>
      <c r="G40" s="11">
        <v>0</v>
      </c>
      <c r="H40" s="11">
        <v>0.60899999999999999</v>
      </c>
      <c r="I40" s="10">
        <v>256000</v>
      </c>
      <c r="J40" s="12" t="s">
        <v>292</v>
      </c>
      <c r="K40" s="12">
        <v>251</v>
      </c>
      <c r="L40" s="12" t="s">
        <v>292</v>
      </c>
      <c r="M40" s="10">
        <v>769234607</v>
      </c>
      <c r="N40" s="10">
        <v>96726</v>
      </c>
      <c r="O40" s="12">
        <v>37</v>
      </c>
    </row>
    <row r="41" spans="1:15" ht="27" x14ac:dyDescent="0.3">
      <c r="A41" s="9">
        <v>43552</v>
      </c>
      <c r="B41" s="12">
        <v>2</v>
      </c>
      <c r="C41" s="11">
        <v>0</v>
      </c>
      <c r="D41" s="12">
        <v>3</v>
      </c>
      <c r="E41" s="11">
        <v>0</v>
      </c>
      <c r="F41" s="12">
        <v>412</v>
      </c>
      <c r="G41" s="11">
        <v>0</v>
      </c>
      <c r="H41" s="11">
        <v>0.73099999999999998</v>
      </c>
      <c r="I41" s="10">
        <v>306000</v>
      </c>
      <c r="J41" s="12" t="s">
        <v>4082</v>
      </c>
      <c r="K41" s="12">
        <v>301</v>
      </c>
      <c r="L41" s="12" t="s">
        <v>4083</v>
      </c>
      <c r="M41" s="10">
        <v>769540607</v>
      </c>
      <c r="N41" s="10">
        <v>97027</v>
      </c>
      <c r="O41" s="12">
        <v>34</v>
      </c>
    </row>
    <row r="42" spans="1:15" ht="27" x14ac:dyDescent="0.3">
      <c r="A42" s="9">
        <v>43553</v>
      </c>
      <c r="B42" s="12">
        <v>2</v>
      </c>
      <c r="C42" s="11">
        <v>0</v>
      </c>
      <c r="D42" s="12">
        <v>2</v>
      </c>
      <c r="E42" s="11">
        <v>0</v>
      </c>
      <c r="F42" s="12">
        <v>259</v>
      </c>
      <c r="G42" s="11">
        <v>0</v>
      </c>
      <c r="H42" s="11">
        <v>0.96899999999999997</v>
      </c>
      <c r="I42" s="10">
        <v>756000</v>
      </c>
      <c r="J42" s="12" t="s">
        <v>4084</v>
      </c>
      <c r="K42" s="12">
        <v>251</v>
      </c>
      <c r="L42" s="12" t="s">
        <v>4085</v>
      </c>
      <c r="M42" s="10">
        <v>770296607</v>
      </c>
      <c r="N42" s="10">
        <v>97278</v>
      </c>
      <c r="O42" s="12">
        <v>29</v>
      </c>
    </row>
    <row r="43" spans="1:15" ht="27" x14ac:dyDescent="0.3">
      <c r="A43" s="9">
        <v>43554</v>
      </c>
      <c r="B43" s="12">
        <v>2</v>
      </c>
      <c r="C43" s="11">
        <v>0</v>
      </c>
      <c r="D43" s="12">
        <v>2</v>
      </c>
      <c r="E43" s="11">
        <v>0</v>
      </c>
      <c r="F43" s="12">
        <v>259</v>
      </c>
      <c r="G43" s="11">
        <v>0</v>
      </c>
      <c r="H43" s="11">
        <v>0.58299999999999996</v>
      </c>
      <c r="I43" s="10">
        <v>156000</v>
      </c>
      <c r="J43" s="12" t="s">
        <v>4086</v>
      </c>
      <c r="K43" s="12">
        <v>151</v>
      </c>
      <c r="L43" s="12" t="s">
        <v>4087</v>
      </c>
      <c r="M43" s="10">
        <v>770452607</v>
      </c>
      <c r="N43" s="10">
        <v>97429</v>
      </c>
      <c r="O43" s="12">
        <v>43</v>
      </c>
    </row>
    <row r="44" spans="1:15" ht="27" x14ac:dyDescent="0.3">
      <c r="A44" s="9">
        <v>43555</v>
      </c>
      <c r="B44" s="12">
        <v>2</v>
      </c>
      <c r="C44" s="11">
        <v>0</v>
      </c>
      <c r="D44" s="12">
        <v>3</v>
      </c>
      <c r="E44" s="11">
        <v>0</v>
      </c>
      <c r="F44" s="12">
        <v>365</v>
      </c>
      <c r="G44" s="11">
        <v>0</v>
      </c>
      <c r="H44" s="11">
        <v>0.69</v>
      </c>
      <c r="I44" s="10">
        <v>270000</v>
      </c>
      <c r="J44" s="12" t="s">
        <v>4088</v>
      </c>
      <c r="K44" s="12">
        <v>252</v>
      </c>
      <c r="L44" s="12" t="s">
        <v>4089</v>
      </c>
      <c r="M44" s="10">
        <v>770722607</v>
      </c>
      <c r="N44" s="10">
        <v>97681</v>
      </c>
      <c r="O44" s="12">
        <v>28</v>
      </c>
    </row>
    <row r="45" spans="1:15" ht="27" x14ac:dyDescent="0.3">
      <c r="A45" s="9">
        <v>43556</v>
      </c>
      <c r="B45" s="12">
        <v>4</v>
      </c>
      <c r="C45" s="11">
        <v>1E-3</v>
      </c>
      <c r="D45" s="12">
        <v>6</v>
      </c>
      <c r="E45" s="11">
        <v>0</v>
      </c>
      <c r="F45" s="12">
        <v>908</v>
      </c>
      <c r="G45" s="11">
        <v>0</v>
      </c>
      <c r="H45" s="11">
        <v>0.81499999999999995</v>
      </c>
      <c r="I45" s="10">
        <v>775000</v>
      </c>
      <c r="J45" s="12" t="s">
        <v>4090</v>
      </c>
      <c r="K45" s="12">
        <v>740</v>
      </c>
      <c r="L45" s="12" t="s">
        <v>4091</v>
      </c>
      <c r="M45" s="10">
        <v>771497607</v>
      </c>
      <c r="N45" s="10">
        <v>98421</v>
      </c>
      <c r="O45" s="12">
        <v>12</v>
      </c>
    </row>
    <row r="46" spans="1:15" ht="27" x14ac:dyDescent="0.3">
      <c r="A46" s="9">
        <v>43557</v>
      </c>
      <c r="B46" s="12">
        <v>4</v>
      </c>
      <c r="C46" s="11">
        <v>1E-3</v>
      </c>
      <c r="D46" s="12">
        <v>6</v>
      </c>
      <c r="E46" s="11">
        <v>0</v>
      </c>
      <c r="F46" s="12">
        <v>908</v>
      </c>
      <c r="G46" s="11">
        <v>0</v>
      </c>
      <c r="H46" s="11">
        <v>0.68</v>
      </c>
      <c r="I46" s="10">
        <v>622000</v>
      </c>
      <c r="J46" s="12" t="s">
        <v>4092</v>
      </c>
      <c r="K46" s="12">
        <v>617</v>
      </c>
      <c r="L46" s="12" t="s">
        <v>4093</v>
      </c>
      <c r="M46" s="10">
        <v>772119607</v>
      </c>
      <c r="N46" s="10">
        <v>99038</v>
      </c>
      <c r="O46" s="12">
        <v>17</v>
      </c>
    </row>
    <row r="47" spans="1:15" ht="27" x14ac:dyDescent="0.3">
      <c r="A47" s="9">
        <v>43558</v>
      </c>
      <c r="B47" s="12">
        <v>4</v>
      </c>
      <c r="C47" s="11">
        <v>1E-3</v>
      </c>
      <c r="D47" s="12">
        <v>6</v>
      </c>
      <c r="E47" s="11">
        <v>0</v>
      </c>
      <c r="F47" s="12">
        <v>810</v>
      </c>
      <c r="G47" s="11">
        <v>0</v>
      </c>
      <c r="H47" s="11">
        <v>0.84</v>
      </c>
      <c r="I47" s="10">
        <v>689000</v>
      </c>
      <c r="J47" s="12" t="s">
        <v>4094</v>
      </c>
      <c r="K47" s="12">
        <v>680</v>
      </c>
      <c r="L47" s="12" t="s">
        <v>4095</v>
      </c>
      <c r="M47" s="10">
        <v>772808607</v>
      </c>
      <c r="N47" s="10">
        <v>99718</v>
      </c>
      <c r="O47" s="12">
        <v>13</v>
      </c>
    </row>
    <row r="48" spans="1:15" ht="27" x14ac:dyDescent="0.3">
      <c r="A48" s="9">
        <v>43559</v>
      </c>
      <c r="B48" s="12">
        <v>4</v>
      </c>
      <c r="C48" s="11">
        <v>1E-3</v>
      </c>
      <c r="D48" s="12">
        <v>4</v>
      </c>
      <c r="E48" s="11">
        <v>0</v>
      </c>
      <c r="F48" s="12">
        <v>557</v>
      </c>
      <c r="G48" s="11">
        <v>0</v>
      </c>
      <c r="H48" s="11">
        <v>0.71099999999999997</v>
      </c>
      <c r="I48" s="10">
        <v>401000</v>
      </c>
      <c r="J48" s="12" t="s">
        <v>4096</v>
      </c>
      <c r="K48" s="12">
        <v>396</v>
      </c>
      <c r="L48" s="12" t="s">
        <v>4097</v>
      </c>
      <c r="M48" s="10">
        <v>773209607</v>
      </c>
      <c r="N48" s="10">
        <v>100114</v>
      </c>
      <c r="O48" s="12">
        <v>23</v>
      </c>
    </row>
    <row r="49" spans="1:15" ht="27" x14ac:dyDescent="0.3">
      <c r="A49" s="9">
        <v>43560</v>
      </c>
      <c r="B49" s="12">
        <v>2</v>
      </c>
      <c r="C49" s="11">
        <v>0</v>
      </c>
      <c r="D49" s="12">
        <v>2</v>
      </c>
      <c r="E49" s="11">
        <v>0</v>
      </c>
      <c r="F49" s="12">
        <v>259</v>
      </c>
      <c r="G49" s="11">
        <v>0</v>
      </c>
      <c r="H49" s="11">
        <v>0.19700000000000001</v>
      </c>
      <c r="I49" s="10">
        <v>56000</v>
      </c>
      <c r="J49" s="12" t="s">
        <v>4098</v>
      </c>
      <c r="K49" s="12">
        <v>51</v>
      </c>
      <c r="L49" s="12" t="s">
        <v>4099</v>
      </c>
      <c r="M49" s="10">
        <v>773265607</v>
      </c>
      <c r="N49" s="10">
        <v>100165</v>
      </c>
      <c r="O49" s="12">
        <v>59</v>
      </c>
    </row>
    <row r="50" spans="1:15" ht="27" x14ac:dyDescent="0.3">
      <c r="A50" s="9">
        <v>43561</v>
      </c>
      <c r="B50" s="12">
        <v>2</v>
      </c>
      <c r="C50" s="11">
        <v>0</v>
      </c>
      <c r="D50" s="12">
        <v>2</v>
      </c>
      <c r="E50" s="11">
        <v>0</v>
      </c>
      <c r="F50" s="12">
        <v>259</v>
      </c>
      <c r="G50" s="11">
        <v>0</v>
      </c>
      <c r="H50" s="11">
        <v>0.58299999999999996</v>
      </c>
      <c r="I50" s="10">
        <v>156000</v>
      </c>
      <c r="J50" s="12" t="s">
        <v>4100</v>
      </c>
      <c r="K50" s="12">
        <v>151</v>
      </c>
      <c r="L50" s="12" t="s">
        <v>4101</v>
      </c>
      <c r="M50" s="10">
        <v>773421607</v>
      </c>
      <c r="N50" s="10">
        <v>100316</v>
      </c>
      <c r="O50" s="12">
        <v>37</v>
      </c>
    </row>
    <row r="51" spans="1:15" ht="27" x14ac:dyDescent="0.3">
      <c r="A51" s="9">
        <v>43562</v>
      </c>
      <c r="B51" s="12">
        <v>1</v>
      </c>
      <c r="C51" s="11">
        <v>0</v>
      </c>
      <c r="D51" s="12">
        <v>1</v>
      </c>
      <c r="E51" s="11">
        <v>0</v>
      </c>
      <c r="F51" s="12">
        <v>106</v>
      </c>
      <c r="G51" s="11">
        <v>0</v>
      </c>
      <c r="H51" s="11">
        <v>8.9999999999999993E-3</v>
      </c>
      <c r="I51" s="10">
        <v>6000</v>
      </c>
      <c r="J51" s="12" t="s">
        <v>4102</v>
      </c>
      <c r="K51" s="12">
        <v>1</v>
      </c>
      <c r="L51" s="12" t="s">
        <v>4103</v>
      </c>
      <c r="M51" s="10">
        <v>773427607</v>
      </c>
      <c r="N51" s="10">
        <v>100317</v>
      </c>
      <c r="O51" s="12">
        <v>101</v>
      </c>
    </row>
    <row r="52" spans="1:15" ht="27" x14ac:dyDescent="0.3">
      <c r="A52" s="9">
        <v>43563</v>
      </c>
      <c r="B52" s="12">
        <v>2</v>
      </c>
      <c r="C52" s="11">
        <v>0</v>
      </c>
      <c r="D52" s="12">
        <v>2</v>
      </c>
      <c r="E52" s="11">
        <v>0</v>
      </c>
      <c r="F52" s="12">
        <v>259</v>
      </c>
      <c r="G52" s="11">
        <v>0</v>
      </c>
      <c r="H52" s="11">
        <v>0.39</v>
      </c>
      <c r="I52" s="10">
        <v>106000</v>
      </c>
      <c r="J52" s="12" t="s">
        <v>4104</v>
      </c>
      <c r="K52" s="12">
        <v>101</v>
      </c>
      <c r="L52" s="12" t="s">
        <v>4105</v>
      </c>
      <c r="M52" s="10">
        <v>773533607</v>
      </c>
      <c r="N52" s="10">
        <v>100418</v>
      </c>
      <c r="O52" s="12">
        <v>37</v>
      </c>
    </row>
    <row r="53" spans="1:15" ht="27" x14ac:dyDescent="0.3">
      <c r="A53" s="9">
        <v>43564</v>
      </c>
      <c r="B53" s="12">
        <v>1</v>
      </c>
      <c r="C53" s="11">
        <v>0</v>
      </c>
      <c r="D53" s="12">
        <v>1</v>
      </c>
      <c r="E53" s="11">
        <v>0</v>
      </c>
      <c r="F53" s="12">
        <v>153</v>
      </c>
      <c r="G53" s="11">
        <v>0</v>
      </c>
      <c r="H53" s="11">
        <v>0.65400000000000003</v>
      </c>
      <c r="I53" s="10">
        <v>100000</v>
      </c>
      <c r="J53" s="12" t="s">
        <v>4106</v>
      </c>
      <c r="K53" s="12">
        <v>100</v>
      </c>
      <c r="L53" s="12" t="s">
        <v>1230</v>
      </c>
      <c r="M53" s="10">
        <v>773633607</v>
      </c>
      <c r="N53" s="10">
        <v>100518</v>
      </c>
      <c r="O53" s="12">
        <v>42</v>
      </c>
    </row>
    <row r="54" spans="1:15" ht="27" x14ac:dyDescent="0.3">
      <c r="A54" s="9">
        <v>43565</v>
      </c>
      <c r="B54" s="12">
        <v>1</v>
      </c>
      <c r="C54" s="11">
        <v>0</v>
      </c>
      <c r="D54" s="12">
        <v>1</v>
      </c>
      <c r="E54" s="11">
        <v>0</v>
      </c>
      <c r="F54" s="12">
        <v>106</v>
      </c>
      <c r="G54" s="11">
        <v>0</v>
      </c>
      <c r="H54" s="11">
        <v>8.9999999999999993E-3</v>
      </c>
      <c r="I54" s="10">
        <v>6000</v>
      </c>
      <c r="J54" s="12" t="s">
        <v>4107</v>
      </c>
      <c r="K54" s="12">
        <v>1</v>
      </c>
      <c r="L54" s="12" t="s">
        <v>4108</v>
      </c>
      <c r="M54" s="10">
        <v>773639607</v>
      </c>
      <c r="N54" s="10">
        <v>100519</v>
      </c>
      <c r="O54" s="12">
        <v>98</v>
      </c>
    </row>
    <row r="55" spans="1:15" ht="27" x14ac:dyDescent="0.3">
      <c r="A55" s="9">
        <v>43566</v>
      </c>
      <c r="B55" s="12">
        <v>1</v>
      </c>
      <c r="C55" s="11">
        <v>0</v>
      </c>
      <c r="D55" s="12">
        <v>2</v>
      </c>
      <c r="E55" s="11">
        <v>0</v>
      </c>
      <c r="F55" s="12">
        <v>212</v>
      </c>
      <c r="G55" s="11">
        <v>0</v>
      </c>
      <c r="H55" s="11">
        <v>0.47599999999999998</v>
      </c>
      <c r="I55" s="10">
        <v>106000</v>
      </c>
      <c r="J55" s="12" t="s">
        <v>4104</v>
      </c>
      <c r="K55" s="12">
        <v>101</v>
      </c>
      <c r="L55" s="12" t="s">
        <v>4105</v>
      </c>
      <c r="M55" s="10">
        <v>773745607</v>
      </c>
      <c r="N55" s="10">
        <v>100620</v>
      </c>
      <c r="O55" s="12">
        <v>46</v>
      </c>
    </row>
    <row r="56" spans="1:15" ht="27" x14ac:dyDescent="0.3">
      <c r="A56" s="9">
        <v>43567</v>
      </c>
      <c r="B56" s="12">
        <v>1</v>
      </c>
      <c r="C56" s="11">
        <v>0</v>
      </c>
      <c r="D56" s="12">
        <v>1</v>
      </c>
      <c r="E56" s="11">
        <v>0</v>
      </c>
      <c r="F56" s="12">
        <v>106</v>
      </c>
      <c r="G56" s="11">
        <v>0</v>
      </c>
      <c r="H56" s="11">
        <v>8.9999999999999993E-3</v>
      </c>
      <c r="I56" s="10">
        <v>6000</v>
      </c>
      <c r="J56" s="12" t="s">
        <v>4109</v>
      </c>
      <c r="K56" s="12">
        <v>1</v>
      </c>
      <c r="L56" s="12" t="s">
        <v>4110</v>
      </c>
      <c r="M56" s="10">
        <v>773751607</v>
      </c>
      <c r="N56" s="10">
        <v>100621</v>
      </c>
      <c r="O56" s="12">
        <v>103</v>
      </c>
    </row>
    <row r="57" spans="1:15" ht="27" x14ac:dyDescent="0.3">
      <c r="A57" s="9">
        <v>43568</v>
      </c>
      <c r="B57" s="12">
        <v>2</v>
      </c>
      <c r="C57" s="11">
        <v>0</v>
      </c>
      <c r="D57" s="12">
        <v>3</v>
      </c>
      <c r="E57" s="11">
        <v>0</v>
      </c>
      <c r="F57" s="12">
        <v>312</v>
      </c>
      <c r="G57" s="11">
        <v>0</v>
      </c>
      <c r="H57" s="11">
        <v>0.32700000000000001</v>
      </c>
      <c r="I57" s="10">
        <v>111000</v>
      </c>
      <c r="J57" s="12" t="s">
        <v>4111</v>
      </c>
      <c r="K57" s="12">
        <v>102</v>
      </c>
      <c r="L57" s="12" t="s">
        <v>4112</v>
      </c>
      <c r="M57" s="10">
        <v>773862607</v>
      </c>
      <c r="N57" s="10">
        <v>100723</v>
      </c>
      <c r="O57" s="12">
        <v>47</v>
      </c>
    </row>
    <row r="58" spans="1:15" ht="27" x14ac:dyDescent="0.3">
      <c r="A58" s="9">
        <v>43569</v>
      </c>
      <c r="B58" s="12">
        <v>2</v>
      </c>
      <c r="C58" s="11">
        <v>0</v>
      </c>
      <c r="D58" s="12">
        <v>2</v>
      </c>
      <c r="E58" s="11">
        <v>0</v>
      </c>
      <c r="F58" s="12">
        <v>206</v>
      </c>
      <c r="G58" s="11">
        <v>0</v>
      </c>
      <c r="H58" s="11">
        <v>0.01</v>
      </c>
      <c r="I58" s="10">
        <v>11000</v>
      </c>
      <c r="J58" s="12" t="s">
        <v>4113</v>
      </c>
      <c r="K58" s="12">
        <v>2</v>
      </c>
      <c r="L58" s="12" t="s">
        <v>4114</v>
      </c>
      <c r="M58" s="10">
        <v>773873607</v>
      </c>
      <c r="N58" s="10">
        <v>100725</v>
      </c>
      <c r="O58" s="12">
        <v>103</v>
      </c>
    </row>
    <row r="59" spans="1:15" ht="27" x14ac:dyDescent="0.3">
      <c r="A59" s="9">
        <v>43570</v>
      </c>
      <c r="B59" s="12">
        <v>2</v>
      </c>
      <c r="C59" s="11">
        <v>0</v>
      </c>
      <c r="D59" s="12">
        <v>3</v>
      </c>
      <c r="E59" s="11">
        <v>0</v>
      </c>
      <c r="F59" s="12">
        <v>312</v>
      </c>
      <c r="G59" s="11">
        <v>0</v>
      </c>
      <c r="H59" s="11">
        <v>0.32700000000000001</v>
      </c>
      <c r="I59" s="10">
        <v>113000</v>
      </c>
      <c r="J59" s="12" t="s">
        <v>4115</v>
      </c>
      <c r="K59" s="12">
        <v>102</v>
      </c>
      <c r="L59" s="12" t="s">
        <v>4116</v>
      </c>
      <c r="M59" s="10">
        <v>773986607</v>
      </c>
      <c r="N59" s="10">
        <v>100827</v>
      </c>
      <c r="O59" s="12">
        <v>41</v>
      </c>
    </row>
    <row r="60" spans="1:15" ht="27" x14ac:dyDescent="0.3">
      <c r="A60" s="9">
        <v>43571</v>
      </c>
      <c r="B60" s="12">
        <v>1</v>
      </c>
      <c r="C60" s="11">
        <v>0</v>
      </c>
      <c r="D60" s="12">
        <v>2</v>
      </c>
      <c r="E60" s="11">
        <v>0</v>
      </c>
      <c r="F60" s="12">
        <v>212</v>
      </c>
      <c r="G60" s="11">
        <v>0</v>
      </c>
      <c r="H60" s="11">
        <v>0.47599999999999998</v>
      </c>
      <c r="I60" s="10">
        <v>106000</v>
      </c>
      <c r="J60" s="12" t="s">
        <v>4117</v>
      </c>
      <c r="K60" s="12">
        <v>101</v>
      </c>
      <c r="L60" s="12" t="s">
        <v>1230</v>
      </c>
      <c r="M60" s="10">
        <v>774092607</v>
      </c>
      <c r="N60" s="10">
        <v>100928</v>
      </c>
      <c r="O60" s="12">
        <v>40</v>
      </c>
    </row>
    <row r="61" spans="1:15" ht="27" x14ac:dyDescent="0.3">
      <c r="A61" s="9">
        <v>43572</v>
      </c>
      <c r="B61" s="12">
        <v>7</v>
      </c>
      <c r="C61" s="11">
        <v>1E-3</v>
      </c>
      <c r="D61" s="12">
        <v>8</v>
      </c>
      <c r="E61" s="11">
        <v>0</v>
      </c>
      <c r="F61" s="10">
        <v>1150</v>
      </c>
      <c r="G61" s="11">
        <v>0</v>
      </c>
      <c r="H61" s="11">
        <v>9.2999999999999999E-2</v>
      </c>
      <c r="I61" s="10">
        <v>115000</v>
      </c>
      <c r="J61" s="12" t="s">
        <v>4118</v>
      </c>
      <c r="K61" s="12">
        <v>107</v>
      </c>
      <c r="L61" s="12" t="s">
        <v>4119</v>
      </c>
      <c r="M61" s="10">
        <v>774207607</v>
      </c>
      <c r="N61" s="10">
        <v>101035</v>
      </c>
      <c r="O61" s="12">
        <v>44</v>
      </c>
    </row>
    <row r="62" spans="1:15" ht="27" x14ac:dyDescent="0.3">
      <c r="A62" s="9">
        <v>43573</v>
      </c>
      <c r="B62" s="12">
        <v>8</v>
      </c>
      <c r="C62" s="11">
        <v>1E-3</v>
      </c>
      <c r="D62" s="12">
        <v>9</v>
      </c>
      <c r="E62" s="11">
        <v>1E-3</v>
      </c>
      <c r="F62" s="10">
        <v>1209</v>
      </c>
      <c r="G62" s="11">
        <v>0</v>
      </c>
      <c r="H62" s="11">
        <v>8.8999999999999996E-2</v>
      </c>
      <c r="I62" s="10">
        <v>113000</v>
      </c>
      <c r="J62" s="12" t="s">
        <v>4120</v>
      </c>
      <c r="K62" s="12">
        <v>108</v>
      </c>
      <c r="L62" s="12" t="s">
        <v>4121</v>
      </c>
      <c r="M62" s="10">
        <v>774320607</v>
      </c>
      <c r="N62" s="10">
        <v>101143</v>
      </c>
      <c r="O62" s="12">
        <v>55</v>
      </c>
    </row>
    <row r="63" spans="1:15" ht="27" x14ac:dyDescent="0.3">
      <c r="A63" s="9">
        <v>43574</v>
      </c>
      <c r="B63" s="12">
        <v>8</v>
      </c>
      <c r="C63" s="11">
        <v>1E-3</v>
      </c>
      <c r="D63" s="12">
        <v>12</v>
      </c>
      <c r="E63" s="11">
        <v>1E-3</v>
      </c>
      <c r="F63" s="10">
        <v>1527</v>
      </c>
      <c r="G63" s="11">
        <v>1E-3</v>
      </c>
      <c r="H63" s="11">
        <v>0.33200000000000002</v>
      </c>
      <c r="I63" s="10">
        <v>3007000</v>
      </c>
      <c r="J63" s="12" t="s">
        <v>4122</v>
      </c>
      <c r="K63" s="12">
        <v>507</v>
      </c>
      <c r="L63" s="12" t="s">
        <v>4123</v>
      </c>
      <c r="M63" s="10">
        <v>777327607</v>
      </c>
      <c r="N63" s="10">
        <v>101650</v>
      </c>
      <c r="O63" s="12">
        <v>31</v>
      </c>
    </row>
    <row r="64" spans="1:15" ht="27" x14ac:dyDescent="0.3">
      <c r="A64" s="9">
        <v>43575</v>
      </c>
      <c r="B64" s="12">
        <v>3</v>
      </c>
      <c r="C64" s="11">
        <v>0</v>
      </c>
      <c r="D64" s="12">
        <v>3</v>
      </c>
      <c r="E64" s="11">
        <v>0</v>
      </c>
      <c r="F64" s="12">
        <v>352</v>
      </c>
      <c r="G64" s="11">
        <v>0</v>
      </c>
      <c r="H64" s="11">
        <v>8.9999999999999993E-3</v>
      </c>
      <c r="I64" s="10">
        <v>8000</v>
      </c>
      <c r="J64" s="12" t="s">
        <v>4124</v>
      </c>
      <c r="K64" s="12">
        <v>3</v>
      </c>
      <c r="L64" s="12" t="s">
        <v>4125</v>
      </c>
      <c r="M64" s="10">
        <v>777335607</v>
      </c>
      <c r="N64" s="10">
        <v>101653</v>
      </c>
      <c r="O64" s="12">
        <v>114</v>
      </c>
    </row>
    <row r="65" spans="1:15" x14ac:dyDescent="0.3">
      <c r="A65" s="9">
        <v>43576</v>
      </c>
      <c r="B65" s="12">
        <v>3</v>
      </c>
      <c r="C65" s="11">
        <v>0</v>
      </c>
      <c r="D65" s="12">
        <v>3</v>
      </c>
      <c r="E65" s="11">
        <v>0</v>
      </c>
      <c r="F65" s="12">
        <v>352</v>
      </c>
      <c r="G65" s="11">
        <v>0</v>
      </c>
      <c r="H65" s="11">
        <v>8.9999999999999993E-3</v>
      </c>
      <c r="I65" s="10">
        <v>8000</v>
      </c>
      <c r="J65" s="12" t="s">
        <v>292</v>
      </c>
      <c r="K65" s="12">
        <v>3</v>
      </c>
      <c r="L65" s="12" t="s">
        <v>292</v>
      </c>
      <c r="M65" s="10">
        <v>777343607</v>
      </c>
      <c r="N65" s="10">
        <v>101656</v>
      </c>
      <c r="O65" s="12">
        <v>113</v>
      </c>
    </row>
    <row r="66" spans="1:15" x14ac:dyDescent="0.3">
      <c r="A66" s="9">
        <v>43577</v>
      </c>
      <c r="B66" s="12">
        <v>3</v>
      </c>
      <c r="C66" s="11">
        <v>0</v>
      </c>
      <c r="D66" s="12">
        <v>3</v>
      </c>
      <c r="E66" s="11">
        <v>0</v>
      </c>
      <c r="F66" s="12">
        <v>352</v>
      </c>
      <c r="G66" s="11">
        <v>0</v>
      </c>
      <c r="H66" s="11">
        <v>8.9999999999999993E-3</v>
      </c>
      <c r="I66" s="10">
        <v>8000</v>
      </c>
      <c r="J66" s="12" t="s">
        <v>292</v>
      </c>
      <c r="K66" s="12">
        <v>3</v>
      </c>
      <c r="L66" s="12" t="s">
        <v>292</v>
      </c>
      <c r="M66" s="10">
        <v>777351607</v>
      </c>
      <c r="N66" s="10">
        <v>101659</v>
      </c>
      <c r="O66" s="12">
        <v>98</v>
      </c>
    </row>
    <row r="67" spans="1:15" ht="27" x14ac:dyDescent="0.3">
      <c r="A67" s="9">
        <v>43578</v>
      </c>
      <c r="B67" s="12">
        <v>2</v>
      </c>
      <c r="C67" s="11">
        <v>0</v>
      </c>
      <c r="D67" s="12">
        <v>2</v>
      </c>
      <c r="E67" s="11">
        <v>0</v>
      </c>
      <c r="F67" s="12">
        <v>246</v>
      </c>
      <c r="G67" s="11">
        <v>0</v>
      </c>
      <c r="H67" s="11">
        <v>8.0000000000000002E-3</v>
      </c>
      <c r="I67" s="10">
        <v>2000</v>
      </c>
      <c r="J67" s="12" t="s">
        <v>4126</v>
      </c>
      <c r="K67" s="12">
        <v>2</v>
      </c>
      <c r="L67" s="12" t="s">
        <v>1422</v>
      </c>
      <c r="M67" s="10">
        <v>777353607</v>
      </c>
      <c r="N67" s="10">
        <v>101661</v>
      </c>
      <c r="O67" s="12">
        <v>117</v>
      </c>
    </row>
    <row r="68" spans="1:15" ht="27" x14ac:dyDescent="0.3">
      <c r="A68" s="9">
        <v>43579</v>
      </c>
      <c r="B68" s="12">
        <v>3</v>
      </c>
      <c r="C68" s="11">
        <v>1E-3</v>
      </c>
      <c r="D68" s="12">
        <v>3</v>
      </c>
      <c r="E68" s="11">
        <v>0</v>
      </c>
      <c r="F68" s="12">
        <v>352</v>
      </c>
      <c r="G68" s="11">
        <v>0</v>
      </c>
      <c r="H68" s="11">
        <v>8.9999999999999993E-3</v>
      </c>
      <c r="I68" s="10">
        <v>8000</v>
      </c>
      <c r="J68" s="12" t="s">
        <v>4127</v>
      </c>
      <c r="K68" s="12">
        <v>3</v>
      </c>
      <c r="L68" s="12" t="s">
        <v>291</v>
      </c>
      <c r="M68" s="10">
        <v>777361607</v>
      </c>
      <c r="N68" s="10">
        <v>101664</v>
      </c>
      <c r="O68" s="12">
        <v>96</v>
      </c>
    </row>
    <row r="69" spans="1:15" ht="27" x14ac:dyDescent="0.3">
      <c r="A69" s="9">
        <v>43580</v>
      </c>
      <c r="B69" s="12">
        <v>2</v>
      </c>
      <c r="C69" s="11">
        <v>0</v>
      </c>
      <c r="D69" s="12">
        <v>2</v>
      </c>
      <c r="E69" s="11">
        <v>0</v>
      </c>
      <c r="F69" s="12">
        <v>246</v>
      </c>
      <c r="G69" s="11">
        <v>0</v>
      </c>
      <c r="H69" s="11">
        <v>8.0000000000000002E-3</v>
      </c>
      <c r="I69" s="10">
        <v>2000</v>
      </c>
      <c r="J69" s="12" t="s">
        <v>4126</v>
      </c>
      <c r="K69" s="12">
        <v>2</v>
      </c>
      <c r="L69" s="12" t="s">
        <v>1422</v>
      </c>
      <c r="M69" s="10">
        <v>777363607</v>
      </c>
      <c r="N69" s="10">
        <v>101666</v>
      </c>
      <c r="O69" s="12">
        <v>99</v>
      </c>
    </row>
    <row r="70" spans="1:15" ht="27" x14ac:dyDescent="0.3">
      <c r="A70" s="9">
        <v>43581</v>
      </c>
      <c r="B70" s="12">
        <v>3</v>
      </c>
      <c r="C70" s="11">
        <v>1E-3</v>
      </c>
      <c r="D70" s="12">
        <v>3</v>
      </c>
      <c r="E70" s="11">
        <v>0</v>
      </c>
      <c r="F70" s="12">
        <v>352</v>
      </c>
      <c r="G70" s="11">
        <v>0</v>
      </c>
      <c r="H70" s="11">
        <v>8.9999999999999993E-3</v>
      </c>
      <c r="I70" s="10">
        <v>8000</v>
      </c>
      <c r="J70" s="12" t="s">
        <v>4127</v>
      </c>
      <c r="K70" s="12">
        <v>3</v>
      </c>
      <c r="L70" s="12" t="s">
        <v>291</v>
      </c>
      <c r="M70" s="10">
        <v>777371607</v>
      </c>
      <c r="N70" s="10">
        <v>101669</v>
      </c>
      <c r="O70" s="12">
        <v>90</v>
      </c>
    </row>
    <row r="71" spans="1:15" x14ac:dyDescent="0.3">
      <c r="A71" s="9">
        <v>43582</v>
      </c>
      <c r="B71" s="12">
        <v>3</v>
      </c>
      <c r="C71" s="11">
        <v>1E-3</v>
      </c>
      <c r="D71" s="12">
        <v>3</v>
      </c>
      <c r="E71" s="11">
        <v>0</v>
      </c>
      <c r="F71" s="12">
        <v>352</v>
      </c>
      <c r="G71" s="11">
        <v>0</v>
      </c>
      <c r="H71" s="11">
        <v>8.9999999999999993E-3</v>
      </c>
      <c r="I71" s="10">
        <v>8000</v>
      </c>
      <c r="J71" s="12" t="s">
        <v>292</v>
      </c>
      <c r="K71" s="12">
        <v>3</v>
      </c>
      <c r="L71" s="12" t="s">
        <v>292</v>
      </c>
      <c r="M71" s="10">
        <v>777379607</v>
      </c>
      <c r="N71" s="10">
        <v>101672</v>
      </c>
      <c r="O71" s="12">
        <v>96</v>
      </c>
    </row>
    <row r="72" spans="1:15" ht="27" x14ac:dyDescent="0.3">
      <c r="A72" s="9">
        <v>43583</v>
      </c>
      <c r="B72" s="12">
        <v>2</v>
      </c>
      <c r="C72" s="11">
        <v>0</v>
      </c>
      <c r="D72" s="12">
        <v>2</v>
      </c>
      <c r="E72" s="11">
        <v>0</v>
      </c>
      <c r="F72" s="12">
        <v>246</v>
      </c>
      <c r="G72" s="11">
        <v>0</v>
      </c>
      <c r="H72" s="11">
        <v>8.0000000000000002E-3</v>
      </c>
      <c r="I72" s="10">
        <v>2000</v>
      </c>
      <c r="J72" s="12" t="s">
        <v>4126</v>
      </c>
      <c r="K72" s="12">
        <v>2</v>
      </c>
      <c r="L72" s="12" t="s">
        <v>1422</v>
      </c>
      <c r="M72" s="10">
        <v>777381607</v>
      </c>
      <c r="N72" s="10">
        <v>101674</v>
      </c>
      <c r="O72" s="12">
        <v>90</v>
      </c>
    </row>
    <row r="73" spans="1:15" x14ac:dyDescent="0.3">
      <c r="A73" s="9">
        <v>43584</v>
      </c>
      <c r="B73" s="12">
        <v>2</v>
      </c>
      <c r="C73" s="11">
        <v>0</v>
      </c>
      <c r="D73" s="12">
        <v>2</v>
      </c>
      <c r="E73" s="11">
        <v>0</v>
      </c>
      <c r="F73" s="12">
        <v>246</v>
      </c>
      <c r="G73" s="11">
        <v>0</v>
      </c>
      <c r="H73" s="11">
        <v>8.0000000000000002E-3</v>
      </c>
      <c r="I73" s="10">
        <v>2000</v>
      </c>
      <c r="J73" s="12" t="s">
        <v>292</v>
      </c>
      <c r="K73" s="12">
        <v>2</v>
      </c>
      <c r="L73" s="12" t="s">
        <v>292</v>
      </c>
      <c r="M73" s="10">
        <v>777383607</v>
      </c>
      <c r="N73" s="10">
        <v>101676</v>
      </c>
      <c r="O73" s="12">
        <v>94</v>
      </c>
    </row>
    <row r="74" spans="1:15" x14ac:dyDescent="0.3">
      <c r="A74" s="9">
        <v>43585</v>
      </c>
      <c r="B74" s="12">
        <v>2</v>
      </c>
      <c r="C74" s="11">
        <v>0</v>
      </c>
      <c r="D74" s="12">
        <v>2</v>
      </c>
      <c r="E74" s="11">
        <v>0</v>
      </c>
      <c r="F74" s="12">
        <v>246</v>
      </c>
      <c r="G74" s="11">
        <v>0</v>
      </c>
      <c r="H74" s="11">
        <v>8.0000000000000002E-3</v>
      </c>
      <c r="I74" s="10">
        <v>2000</v>
      </c>
      <c r="J74" s="12" t="s">
        <v>292</v>
      </c>
      <c r="K74" s="12">
        <v>2</v>
      </c>
      <c r="L74" s="12" t="s">
        <v>292</v>
      </c>
      <c r="M74" s="10">
        <v>777385607</v>
      </c>
      <c r="N74" s="10">
        <v>101678</v>
      </c>
      <c r="O74" s="12">
        <v>108</v>
      </c>
    </row>
    <row r="75" spans="1:15" x14ac:dyDescent="0.3">
      <c r="A75" s="9">
        <v>43586</v>
      </c>
      <c r="B75" s="12">
        <v>2</v>
      </c>
      <c r="C75" s="11">
        <v>0</v>
      </c>
      <c r="D75" s="12">
        <v>2</v>
      </c>
      <c r="E75" s="11">
        <v>0</v>
      </c>
      <c r="F75" s="12">
        <v>246</v>
      </c>
      <c r="G75" s="11">
        <v>0</v>
      </c>
      <c r="H75" s="11">
        <v>8.0000000000000002E-3</v>
      </c>
      <c r="I75" s="10">
        <v>2000</v>
      </c>
      <c r="J75" s="12" t="s">
        <v>292</v>
      </c>
      <c r="K75" s="12">
        <v>2</v>
      </c>
      <c r="L75" s="12" t="s">
        <v>292</v>
      </c>
      <c r="M75" s="10">
        <v>777387607</v>
      </c>
      <c r="N75" s="10">
        <v>101680</v>
      </c>
      <c r="O75" s="12">
        <v>96</v>
      </c>
    </row>
    <row r="76" spans="1:15" x14ac:dyDescent="0.3">
      <c r="A76" s="9">
        <v>43587</v>
      </c>
      <c r="B76" s="12">
        <v>2</v>
      </c>
      <c r="C76" s="11">
        <v>0</v>
      </c>
      <c r="D76" s="12">
        <v>2</v>
      </c>
      <c r="E76" s="11">
        <v>0</v>
      </c>
      <c r="F76" s="12">
        <v>246</v>
      </c>
      <c r="G76" s="11">
        <v>0</v>
      </c>
      <c r="H76" s="11">
        <v>8.0000000000000002E-3</v>
      </c>
      <c r="I76" s="10">
        <v>2000</v>
      </c>
      <c r="J76" s="12" t="s">
        <v>292</v>
      </c>
      <c r="K76" s="12">
        <v>2</v>
      </c>
      <c r="L76" s="12" t="s">
        <v>292</v>
      </c>
      <c r="M76" s="10">
        <v>777389607</v>
      </c>
      <c r="N76" s="10">
        <v>101682</v>
      </c>
      <c r="O76" s="12">
        <v>86</v>
      </c>
    </row>
    <row r="77" spans="1:15" x14ac:dyDescent="0.3">
      <c r="A77" s="9">
        <v>43588</v>
      </c>
      <c r="B77" s="12">
        <v>2</v>
      </c>
      <c r="C77" s="11">
        <v>0</v>
      </c>
      <c r="D77" s="12">
        <v>2</v>
      </c>
      <c r="E77" s="11">
        <v>0</v>
      </c>
      <c r="F77" s="12">
        <v>246</v>
      </c>
      <c r="G77" s="11">
        <v>0</v>
      </c>
      <c r="H77" s="11">
        <v>8.0000000000000002E-3</v>
      </c>
      <c r="I77" s="10">
        <v>2000</v>
      </c>
      <c r="J77" s="12" t="s">
        <v>292</v>
      </c>
      <c r="K77" s="12">
        <v>2</v>
      </c>
      <c r="L77" s="12" t="s">
        <v>292</v>
      </c>
      <c r="M77" s="10">
        <v>777391607</v>
      </c>
      <c r="N77" s="10">
        <v>101684</v>
      </c>
      <c r="O77" s="12">
        <v>89</v>
      </c>
    </row>
    <row r="78" spans="1:15" x14ac:dyDescent="0.3">
      <c r="A78" s="9">
        <v>43589</v>
      </c>
      <c r="B78" s="12">
        <v>2</v>
      </c>
      <c r="C78" s="11">
        <v>0</v>
      </c>
      <c r="D78" s="12">
        <v>2</v>
      </c>
      <c r="E78" s="11">
        <v>0</v>
      </c>
      <c r="F78" s="12">
        <v>246</v>
      </c>
      <c r="G78" s="11">
        <v>0</v>
      </c>
      <c r="H78" s="11">
        <v>8.0000000000000002E-3</v>
      </c>
      <c r="I78" s="10">
        <v>2000</v>
      </c>
      <c r="J78" s="12" t="s">
        <v>292</v>
      </c>
      <c r="K78" s="12">
        <v>2</v>
      </c>
      <c r="L78" s="12" t="s">
        <v>292</v>
      </c>
      <c r="M78" s="10">
        <v>777393607</v>
      </c>
      <c r="N78" s="10">
        <v>101686</v>
      </c>
      <c r="O78" s="12">
        <v>87</v>
      </c>
    </row>
    <row r="79" spans="1:15" x14ac:dyDescent="0.3">
      <c r="A79" s="9">
        <v>43590</v>
      </c>
      <c r="B79" s="12">
        <v>2</v>
      </c>
      <c r="C79" s="11">
        <v>0</v>
      </c>
      <c r="D79" s="12">
        <v>2</v>
      </c>
      <c r="E79" s="11">
        <v>0</v>
      </c>
      <c r="F79" s="12">
        <v>246</v>
      </c>
      <c r="G79" s="11">
        <v>0</v>
      </c>
      <c r="H79" s="11">
        <v>8.0000000000000002E-3</v>
      </c>
      <c r="I79" s="10">
        <v>2000</v>
      </c>
      <c r="J79" s="12" t="s">
        <v>292</v>
      </c>
      <c r="K79" s="12">
        <v>2</v>
      </c>
      <c r="L79" s="12" t="s">
        <v>292</v>
      </c>
      <c r="M79" s="10">
        <v>777395607</v>
      </c>
      <c r="N79" s="10">
        <v>101688</v>
      </c>
      <c r="O79" s="12">
        <v>81</v>
      </c>
    </row>
    <row r="80" spans="1:15" x14ac:dyDescent="0.3">
      <c r="A80" s="9">
        <v>43591</v>
      </c>
      <c r="B80" s="12">
        <v>2</v>
      </c>
      <c r="C80" s="11">
        <v>0</v>
      </c>
      <c r="D80" s="12">
        <v>2</v>
      </c>
      <c r="E80" s="11">
        <v>0</v>
      </c>
      <c r="F80" s="12">
        <v>246</v>
      </c>
      <c r="G80" s="11">
        <v>0</v>
      </c>
      <c r="H80" s="11">
        <v>8.0000000000000002E-3</v>
      </c>
      <c r="I80" s="10">
        <v>2000</v>
      </c>
      <c r="J80" s="12" t="s">
        <v>292</v>
      </c>
      <c r="K80" s="12">
        <v>2</v>
      </c>
      <c r="L80" s="12" t="s">
        <v>292</v>
      </c>
      <c r="M80" s="10">
        <v>777397607</v>
      </c>
      <c r="N80" s="10">
        <v>101690</v>
      </c>
      <c r="O80" s="12">
        <v>81</v>
      </c>
    </row>
    <row r="81" spans="1:15" x14ac:dyDescent="0.3">
      <c r="A81" s="9">
        <v>43592</v>
      </c>
      <c r="B81" s="12">
        <v>2</v>
      </c>
      <c r="C81" s="11">
        <v>0</v>
      </c>
      <c r="D81" s="12">
        <v>2</v>
      </c>
      <c r="E81" s="11">
        <v>0</v>
      </c>
      <c r="F81" s="12">
        <v>246</v>
      </c>
      <c r="G81" s="11">
        <v>0</v>
      </c>
      <c r="H81" s="11">
        <v>8.0000000000000002E-3</v>
      </c>
      <c r="I81" s="10">
        <v>2000</v>
      </c>
      <c r="J81" s="12" t="s">
        <v>292</v>
      </c>
      <c r="K81" s="12">
        <v>2</v>
      </c>
      <c r="L81" s="12" t="s">
        <v>292</v>
      </c>
      <c r="M81" s="10">
        <v>777399607</v>
      </c>
      <c r="N81" s="10">
        <v>101692</v>
      </c>
      <c r="O81" s="12">
        <v>87</v>
      </c>
    </row>
    <row r="82" spans="1:15" x14ac:dyDescent="0.3">
      <c r="A82" s="9">
        <v>43593</v>
      </c>
      <c r="B82" s="12">
        <v>2</v>
      </c>
      <c r="C82" s="11">
        <v>0</v>
      </c>
      <c r="D82" s="12">
        <v>2</v>
      </c>
      <c r="E82" s="11">
        <v>0</v>
      </c>
      <c r="F82" s="12">
        <v>246</v>
      </c>
      <c r="G82" s="11">
        <v>0</v>
      </c>
      <c r="H82" s="11">
        <v>8.0000000000000002E-3</v>
      </c>
      <c r="I82" s="10">
        <v>2000</v>
      </c>
      <c r="J82" s="12" t="s">
        <v>292</v>
      </c>
      <c r="K82" s="12">
        <v>2</v>
      </c>
      <c r="L82" s="12" t="s">
        <v>292</v>
      </c>
      <c r="M82" s="10">
        <v>777401607</v>
      </c>
      <c r="N82" s="10">
        <v>101694</v>
      </c>
      <c r="O82" s="12">
        <v>96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D072A-B78B-4983-A677-4530AA14FF92}">
  <dimension ref="A1:O132"/>
  <sheetViews>
    <sheetView workbookViewId="0">
      <selection activeCell="A5" sqref="A5:O15"/>
    </sheetView>
  </sheetViews>
  <sheetFormatPr defaultRowHeight="16.5" x14ac:dyDescent="0.3"/>
  <sheetData>
    <row r="1" spans="1:15" ht="19.5" x14ac:dyDescent="0.3">
      <c r="A1" s="197" t="s">
        <v>4128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43489</v>
      </c>
      <c r="B5" s="12">
        <v>111</v>
      </c>
      <c r="C5" s="11">
        <v>1.7999999999999999E-2</v>
      </c>
      <c r="D5" s="12">
        <v>196</v>
      </c>
      <c r="E5" s="11">
        <v>1.0999999999999999E-2</v>
      </c>
      <c r="F5" s="10">
        <v>23672</v>
      </c>
      <c r="G5" s="11">
        <v>8.0000000000000002E-3</v>
      </c>
      <c r="H5" s="11">
        <v>0.188</v>
      </c>
      <c r="I5" s="10">
        <v>33522600</v>
      </c>
      <c r="J5" s="12" t="s">
        <v>4129</v>
      </c>
      <c r="K5" s="10">
        <v>4442</v>
      </c>
      <c r="L5" s="12" t="s">
        <v>4130</v>
      </c>
      <c r="M5" s="10">
        <v>54887500</v>
      </c>
      <c r="N5" s="10">
        <v>6831</v>
      </c>
      <c r="O5" s="12">
        <v>8</v>
      </c>
    </row>
    <row r="6" spans="1:15" ht="27" x14ac:dyDescent="0.3">
      <c r="A6" s="9">
        <v>43490</v>
      </c>
      <c r="B6" s="12">
        <v>108</v>
      </c>
      <c r="C6" s="11">
        <v>1.7000000000000001E-2</v>
      </c>
      <c r="D6" s="12">
        <v>196</v>
      </c>
      <c r="E6" s="11">
        <v>0.01</v>
      </c>
      <c r="F6" s="10">
        <v>22856</v>
      </c>
      <c r="G6" s="11">
        <v>8.0000000000000002E-3</v>
      </c>
      <c r="H6" s="11">
        <v>0.156</v>
      </c>
      <c r="I6" s="10">
        <v>30334486</v>
      </c>
      <c r="J6" s="12" t="s">
        <v>4131</v>
      </c>
      <c r="K6" s="10">
        <v>3560</v>
      </c>
      <c r="L6" s="12" t="s">
        <v>4132</v>
      </c>
      <c r="M6" s="10">
        <v>85221986</v>
      </c>
      <c r="N6" s="10">
        <v>10391</v>
      </c>
      <c r="O6" s="12">
        <v>11</v>
      </c>
    </row>
    <row r="7" spans="1:15" ht="27" x14ac:dyDescent="0.3">
      <c r="A7" s="9">
        <v>43491</v>
      </c>
      <c r="B7" s="12">
        <v>105</v>
      </c>
      <c r="C7" s="11">
        <v>1.6E-2</v>
      </c>
      <c r="D7" s="12">
        <v>174</v>
      </c>
      <c r="E7" s="11">
        <v>8.9999999999999993E-3</v>
      </c>
      <c r="F7" s="10">
        <v>19911</v>
      </c>
      <c r="G7" s="11">
        <v>6.0000000000000001E-3</v>
      </c>
      <c r="H7" s="11">
        <v>0.3</v>
      </c>
      <c r="I7" s="10">
        <v>53636240</v>
      </c>
      <c r="J7" s="12" t="s">
        <v>4133</v>
      </c>
      <c r="K7" s="10">
        <v>5975</v>
      </c>
      <c r="L7" s="12" t="s">
        <v>4134</v>
      </c>
      <c r="M7" s="10">
        <v>138858226</v>
      </c>
      <c r="N7" s="10">
        <v>16366</v>
      </c>
      <c r="O7" s="12">
        <v>12</v>
      </c>
    </row>
    <row r="8" spans="1:15" ht="27" x14ac:dyDescent="0.3">
      <c r="A8" s="9">
        <v>43492</v>
      </c>
      <c r="B8" s="12">
        <v>105</v>
      </c>
      <c r="C8" s="11">
        <v>1.6E-2</v>
      </c>
      <c r="D8" s="12">
        <v>175</v>
      </c>
      <c r="E8" s="11">
        <v>8.9999999999999993E-3</v>
      </c>
      <c r="F8" s="10">
        <v>19902</v>
      </c>
      <c r="G8" s="11">
        <v>7.0000000000000001E-3</v>
      </c>
      <c r="H8" s="11">
        <v>0.27700000000000002</v>
      </c>
      <c r="I8" s="10">
        <v>47978630</v>
      </c>
      <c r="J8" s="12" t="s">
        <v>4135</v>
      </c>
      <c r="K8" s="10">
        <v>5503</v>
      </c>
      <c r="L8" s="12" t="s">
        <v>4136</v>
      </c>
      <c r="M8" s="10">
        <v>186836856</v>
      </c>
      <c r="N8" s="10">
        <v>21869</v>
      </c>
      <c r="O8" s="12">
        <v>11</v>
      </c>
    </row>
    <row r="9" spans="1:15" ht="27" x14ac:dyDescent="0.3">
      <c r="A9" s="9">
        <v>43493</v>
      </c>
      <c r="B9" s="12">
        <v>101</v>
      </c>
      <c r="C9" s="11">
        <v>1.7000000000000001E-2</v>
      </c>
      <c r="D9" s="12">
        <v>216</v>
      </c>
      <c r="E9" s="11">
        <v>1.2E-2</v>
      </c>
      <c r="F9" s="10">
        <v>25168</v>
      </c>
      <c r="G9" s="11">
        <v>8.9999999999999993E-3</v>
      </c>
      <c r="H9" s="11">
        <v>0.16200000000000001</v>
      </c>
      <c r="I9" s="10">
        <v>31750180</v>
      </c>
      <c r="J9" s="12" t="s">
        <v>4137</v>
      </c>
      <c r="K9" s="10">
        <v>4067</v>
      </c>
      <c r="L9" s="12" t="s">
        <v>4138</v>
      </c>
      <c r="M9" s="10">
        <v>218587036</v>
      </c>
      <c r="N9" s="10">
        <v>25936</v>
      </c>
      <c r="O9" s="12">
        <v>9</v>
      </c>
    </row>
    <row r="10" spans="1:15" ht="27" x14ac:dyDescent="0.3">
      <c r="A10" s="9">
        <v>43494</v>
      </c>
      <c r="B10" s="12">
        <v>111</v>
      </c>
      <c r="C10" s="11">
        <v>1.7999999999999999E-2</v>
      </c>
      <c r="D10" s="12">
        <v>224</v>
      </c>
      <c r="E10" s="11">
        <v>1.2E-2</v>
      </c>
      <c r="F10" s="10">
        <v>26058</v>
      </c>
      <c r="G10" s="11">
        <v>8.9999999999999993E-3</v>
      </c>
      <c r="H10" s="11">
        <v>0.17199999999999999</v>
      </c>
      <c r="I10" s="10">
        <v>34233630</v>
      </c>
      <c r="J10" s="12" t="s">
        <v>4139</v>
      </c>
      <c r="K10" s="10">
        <v>4470</v>
      </c>
      <c r="L10" s="12" t="s">
        <v>4140</v>
      </c>
      <c r="M10" s="10">
        <v>252820666</v>
      </c>
      <c r="N10" s="10">
        <v>30406</v>
      </c>
      <c r="O10" s="12">
        <v>8</v>
      </c>
    </row>
    <row r="11" spans="1:15" ht="27" x14ac:dyDescent="0.3">
      <c r="A11" s="9">
        <v>43495</v>
      </c>
      <c r="B11" s="12">
        <v>76</v>
      </c>
      <c r="C11" s="11">
        <v>1.4999999999999999E-2</v>
      </c>
      <c r="D11" s="12">
        <v>161</v>
      </c>
      <c r="E11" s="11">
        <v>8.0000000000000002E-3</v>
      </c>
      <c r="F11" s="10">
        <v>18917</v>
      </c>
      <c r="G11" s="11">
        <v>6.0000000000000001E-3</v>
      </c>
      <c r="H11" s="11">
        <v>0.27300000000000002</v>
      </c>
      <c r="I11" s="10">
        <v>32633700</v>
      </c>
      <c r="J11" s="12" t="s">
        <v>4141</v>
      </c>
      <c r="K11" s="10">
        <v>5168</v>
      </c>
      <c r="L11" s="12" t="s">
        <v>4142</v>
      </c>
      <c r="M11" s="10">
        <v>285454366</v>
      </c>
      <c r="N11" s="10">
        <v>35574</v>
      </c>
      <c r="O11" s="12">
        <v>6</v>
      </c>
    </row>
    <row r="12" spans="1:15" ht="27" x14ac:dyDescent="0.3">
      <c r="A12" s="9">
        <v>43496</v>
      </c>
      <c r="B12" s="12">
        <v>64</v>
      </c>
      <c r="C12" s="11">
        <v>1.2E-2</v>
      </c>
      <c r="D12" s="12">
        <v>131</v>
      </c>
      <c r="E12" s="11">
        <v>7.0000000000000001E-3</v>
      </c>
      <c r="F12" s="10">
        <v>15386</v>
      </c>
      <c r="G12" s="11">
        <v>5.0000000000000001E-3</v>
      </c>
      <c r="H12" s="11">
        <v>0.216</v>
      </c>
      <c r="I12" s="10">
        <v>27312300</v>
      </c>
      <c r="J12" s="12" t="s">
        <v>4143</v>
      </c>
      <c r="K12" s="10">
        <v>3329</v>
      </c>
      <c r="L12" s="12" t="s">
        <v>4144</v>
      </c>
      <c r="M12" s="10">
        <v>312766666</v>
      </c>
      <c r="N12" s="10">
        <v>38903</v>
      </c>
      <c r="O12" s="12">
        <v>9</v>
      </c>
    </row>
    <row r="13" spans="1:15" ht="27" x14ac:dyDescent="0.3">
      <c r="A13" s="9">
        <v>43497</v>
      </c>
      <c r="B13" s="12">
        <v>64</v>
      </c>
      <c r="C13" s="11">
        <v>1.2E-2</v>
      </c>
      <c r="D13" s="12">
        <v>134</v>
      </c>
      <c r="E13" s="11">
        <v>7.0000000000000001E-3</v>
      </c>
      <c r="F13" s="10">
        <v>15857</v>
      </c>
      <c r="G13" s="11">
        <v>5.0000000000000001E-3</v>
      </c>
      <c r="H13" s="11">
        <v>0.214</v>
      </c>
      <c r="I13" s="10">
        <v>29876260</v>
      </c>
      <c r="J13" s="12" t="s">
        <v>4145</v>
      </c>
      <c r="K13" s="10">
        <v>3391</v>
      </c>
      <c r="L13" s="12" t="s">
        <v>4146</v>
      </c>
      <c r="M13" s="10">
        <v>342642926</v>
      </c>
      <c r="N13" s="10">
        <v>42294</v>
      </c>
      <c r="O13" s="12">
        <v>9</v>
      </c>
    </row>
    <row r="14" spans="1:15" ht="27" x14ac:dyDescent="0.3">
      <c r="A14" s="9">
        <v>43498</v>
      </c>
      <c r="B14" s="12">
        <v>67</v>
      </c>
      <c r="C14" s="11">
        <v>1.2E-2</v>
      </c>
      <c r="D14" s="12">
        <v>128</v>
      </c>
      <c r="E14" s="11">
        <v>6.0000000000000001E-3</v>
      </c>
      <c r="F14" s="10">
        <v>15662</v>
      </c>
      <c r="G14" s="11">
        <v>5.0000000000000001E-3</v>
      </c>
      <c r="H14" s="11">
        <v>0.35899999999999999</v>
      </c>
      <c r="I14" s="10">
        <v>49959530</v>
      </c>
      <c r="J14" s="12" t="s">
        <v>4147</v>
      </c>
      <c r="K14" s="10">
        <v>5628</v>
      </c>
      <c r="L14" s="12" t="s">
        <v>4148</v>
      </c>
      <c r="M14" s="10">
        <v>392602456</v>
      </c>
      <c r="N14" s="10">
        <v>47922</v>
      </c>
      <c r="O14" s="12">
        <v>8</v>
      </c>
    </row>
    <row r="15" spans="1:15" ht="27" x14ac:dyDescent="0.3">
      <c r="A15" s="9">
        <v>43499</v>
      </c>
      <c r="B15" s="12">
        <v>68</v>
      </c>
      <c r="C15" s="11">
        <v>1.2E-2</v>
      </c>
      <c r="D15" s="12">
        <v>132</v>
      </c>
      <c r="E15" s="11">
        <v>6.0000000000000001E-3</v>
      </c>
      <c r="F15" s="10">
        <v>16575</v>
      </c>
      <c r="G15" s="11">
        <v>5.0000000000000001E-3</v>
      </c>
      <c r="H15" s="11">
        <v>0.36699999999999999</v>
      </c>
      <c r="I15" s="10">
        <v>54111480</v>
      </c>
      <c r="J15" s="12" t="s">
        <v>4149</v>
      </c>
      <c r="K15" s="10">
        <v>6079</v>
      </c>
      <c r="L15" s="12" t="s">
        <v>4150</v>
      </c>
      <c r="M15" s="10">
        <v>446713936</v>
      </c>
      <c r="N15" s="10">
        <v>54001</v>
      </c>
      <c r="O15" s="12">
        <v>8</v>
      </c>
    </row>
    <row r="16" spans="1:15" ht="27" x14ac:dyDescent="0.3">
      <c r="A16" s="9">
        <v>43500</v>
      </c>
      <c r="B16" s="12">
        <v>61</v>
      </c>
      <c r="C16" s="11">
        <v>1.0999999999999999E-2</v>
      </c>
      <c r="D16" s="12">
        <v>134</v>
      </c>
      <c r="E16" s="11">
        <v>6.0000000000000001E-3</v>
      </c>
      <c r="F16" s="10">
        <v>15390</v>
      </c>
      <c r="G16" s="11">
        <v>5.0000000000000001E-3</v>
      </c>
      <c r="H16" s="11">
        <v>0.39600000000000002</v>
      </c>
      <c r="I16" s="10">
        <v>55032660</v>
      </c>
      <c r="J16" s="12" t="s">
        <v>4151</v>
      </c>
      <c r="K16" s="10">
        <v>6102</v>
      </c>
      <c r="L16" s="12" t="s">
        <v>4152</v>
      </c>
      <c r="M16" s="10">
        <v>501746596</v>
      </c>
      <c r="N16" s="10">
        <v>60103</v>
      </c>
      <c r="O16" s="12">
        <v>8</v>
      </c>
    </row>
    <row r="17" spans="1:15" ht="27" x14ac:dyDescent="0.3">
      <c r="A17" s="9">
        <v>43501</v>
      </c>
      <c r="B17" s="12">
        <v>55</v>
      </c>
      <c r="C17" s="11">
        <v>0.01</v>
      </c>
      <c r="D17" s="12">
        <v>124</v>
      </c>
      <c r="E17" s="11">
        <v>6.0000000000000001E-3</v>
      </c>
      <c r="F17" s="10">
        <v>14106</v>
      </c>
      <c r="G17" s="11">
        <v>4.0000000000000001E-3</v>
      </c>
      <c r="H17" s="11">
        <v>0.34200000000000003</v>
      </c>
      <c r="I17" s="10">
        <v>44319760</v>
      </c>
      <c r="J17" s="12" t="s">
        <v>4153</v>
      </c>
      <c r="K17" s="10">
        <v>4827</v>
      </c>
      <c r="L17" s="12" t="s">
        <v>4154</v>
      </c>
      <c r="M17" s="10">
        <v>546066356</v>
      </c>
      <c r="N17" s="10">
        <v>64930</v>
      </c>
      <c r="O17" s="12">
        <v>8</v>
      </c>
    </row>
    <row r="18" spans="1:15" ht="27" x14ac:dyDescent="0.3">
      <c r="A18" s="9">
        <v>43502</v>
      </c>
      <c r="B18" s="12">
        <v>64</v>
      </c>
      <c r="C18" s="11">
        <v>0.01</v>
      </c>
      <c r="D18" s="12">
        <v>129</v>
      </c>
      <c r="E18" s="11">
        <v>6.0000000000000001E-3</v>
      </c>
      <c r="F18" s="10">
        <v>15445</v>
      </c>
      <c r="G18" s="11">
        <v>5.0000000000000001E-3</v>
      </c>
      <c r="H18" s="11">
        <v>0.39900000000000002</v>
      </c>
      <c r="I18" s="10">
        <v>54418470</v>
      </c>
      <c r="J18" s="12" t="s">
        <v>4155</v>
      </c>
      <c r="K18" s="10">
        <v>6168</v>
      </c>
      <c r="L18" s="12" t="s">
        <v>4156</v>
      </c>
      <c r="M18" s="10">
        <v>600484826</v>
      </c>
      <c r="N18" s="10">
        <v>71098</v>
      </c>
      <c r="O18" s="12">
        <v>10</v>
      </c>
    </row>
    <row r="19" spans="1:15" ht="27" x14ac:dyDescent="0.3">
      <c r="A19" s="9">
        <v>43503</v>
      </c>
      <c r="B19" s="12">
        <v>80</v>
      </c>
      <c r="C19" s="11">
        <v>1.4E-2</v>
      </c>
      <c r="D19" s="12">
        <v>137</v>
      </c>
      <c r="E19" s="11">
        <v>7.0000000000000001E-3</v>
      </c>
      <c r="F19" s="10">
        <v>16668</v>
      </c>
      <c r="G19" s="11">
        <v>6.0000000000000001E-3</v>
      </c>
      <c r="H19" s="11">
        <v>0.187</v>
      </c>
      <c r="I19" s="10">
        <v>24548650</v>
      </c>
      <c r="J19" s="12" t="s">
        <v>4157</v>
      </c>
      <c r="K19" s="10">
        <v>3110</v>
      </c>
      <c r="L19" s="12" t="s">
        <v>4158</v>
      </c>
      <c r="M19" s="10">
        <v>625033476</v>
      </c>
      <c r="N19" s="10">
        <v>74208</v>
      </c>
      <c r="O19" s="12">
        <v>9</v>
      </c>
    </row>
    <row r="20" spans="1:15" ht="27" x14ac:dyDescent="0.3">
      <c r="A20" s="9">
        <v>43504</v>
      </c>
      <c r="B20" s="12">
        <v>67</v>
      </c>
      <c r="C20" s="11">
        <v>1.0999999999999999E-2</v>
      </c>
      <c r="D20" s="12">
        <v>126</v>
      </c>
      <c r="E20" s="11">
        <v>6.0000000000000001E-3</v>
      </c>
      <c r="F20" s="10">
        <v>14964</v>
      </c>
      <c r="G20" s="11">
        <v>5.0000000000000001E-3</v>
      </c>
      <c r="H20" s="11">
        <v>0.20300000000000001</v>
      </c>
      <c r="I20" s="10">
        <v>26269330</v>
      </c>
      <c r="J20" s="12" t="s">
        <v>4159</v>
      </c>
      <c r="K20" s="10">
        <v>3042</v>
      </c>
      <c r="L20" s="12" t="s">
        <v>4160</v>
      </c>
      <c r="M20" s="10">
        <v>651302806</v>
      </c>
      <c r="N20" s="10">
        <v>77250</v>
      </c>
      <c r="O20" s="12">
        <v>10</v>
      </c>
    </row>
    <row r="21" spans="1:15" ht="27" x14ac:dyDescent="0.3">
      <c r="A21" s="9">
        <v>43505</v>
      </c>
      <c r="B21" s="12">
        <v>67</v>
      </c>
      <c r="C21" s="11">
        <v>1.0999999999999999E-2</v>
      </c>
      <c r="D21" s="12">
        <v>129</v>
      </c>
      <c r="E21" s="11">
        <v>6.0000000000000001E-3</v>
      </c>
      <c r="F21" s="10">
        <v>15386</v>
      </c>
      <c r="G21" s="11">
        <v>5.0000000000000001E-3</v>
      </c>
      <c r="H21" s="11">
        <v>0.34499999999999997</v>
      </c>
      <c r="I21" s="10">
        <v>46780330</v>
      </c>
      <c r="J21" s="12" t="s">
        <v>4161</v>
      </c>
      <c r="K21" s="10">
        <v>5302</v>
      </c>
      <c r="L21" s="12" t="s">
        <v>4162</v>
      </c>
      <c r="M21" s="10">
        <v>698083136</v>
      </c>
      <c r="N21" s="10">
        <v>82552</v>
      </c>
      <c r="O21" s="12">
        <v>10</v>
      </c>
    </row>
    <row r="22" spans="1:15" ht="27" x14ac:dyDescent="0.3">
      <c r="A22" s="9">
        <v>43506</v>
      </c>
      <c r="B22" s="12">
        <v>79</v>
      </c>
      <c r="C22" s="11">
        <v>1.2999999999999999E-2</v>
      </c>
      <c r="D22" s="12">
        <v>140</v>
      </c>
      <c r="E22" s="11">
        <v>7.0000000000000001E-3</v>
      </c>
      <c r="F22" s="10">
        <v>16588</v>
      </c>
      <c r="G22" s="11">
        <v>5.0000000000000001E-3</v>
      </c>
      <c r="H22" s="11">
        <v>0.316</v>
      </c>
      <c r="I22" s="10">
        <v>45156350</v>
      </c>
      <c r="J22" s="12" t="s">
        <v>4163</v>
      </c>
      <c r="K22" s="10">
        <v>5235</v>
      </c>
      <c r="L22" s="12" t="s">
        <v>4164</v>
      </c>
      <c r="M22" s="10">
        <v>743239486</v>
      </c>
      <c r="N22" s="10">
        <v>87787</v>
      </c>
      <c r="O22" s="12">
        <v>10</v>
      </c>
    </row>
    <row r="23" spans="1:15" ht="27" x14ac:dyDescent="0.3">
      <c r="A23" s="9">
        <v>43507</v>
      </c>
      <c r="B23" s="12">
        <v>68</v>
      </c>
      <c r="C23" s="11">
        <v>1.2999999999999999E-2</v>
      </c>
      <c r="D23" s="12">
        <v>136</v>
      </c>
      <c r="E23" s="11">
        <v>7.0000000000000001E-3</v>
      </c>
      <c r="F23" s="10">
        <v>15859</v>
      </c>
      <c r="G23" s="11">
        <v>5.0000000000000001E-3</v>
      </c>
      <c r="H23" s="11">
        <v>0.14499999999999999</v>
      </c>
      <c r="I23" s="10">
        <v>18120730</v>
      </c>
      <c r="J23" s="12" t="s">
        <v>4165</v>
      </c>
      <c r="K23" s="10">
        <v>2292</v>
      </c>
      <c r="L23" s="12" t="s">
        <v>4166</v>
      </c>
      <c r="M23" s="10">
        <v>761360216</v>
      </c>
      <c r="N23" s="10">
        <v>90079</v>
      </c>
      <c r="O23" s="12">
        <v>8</v>
      </c>
    </row>
    <row r="24" spans="1:15" ht="27" x14ac:dyDescent="0.3">
      <c r="A24" s="9">
        <v>43508</v>
      </c>
      <c r="B24" s="12">
        <v>97</v>
      </c>
      <c r="C24" s="11">
        <v>1.7000000000000001E-2</v>
      </c>
      <c r="D24" s="12">
        <v>166</v>
      </c>
      <c r="E24" s="11">
        <v>8.9999999999999993E-3</v>
      </c>
      <c r="F24" s="10">
        <v>19798</v>
      </c>
      <c r="G24" s="11">
        <v>7.0000000000000001E-3</v>
      </c>
      <c r="H24" s="11">
        <v>0.22500000000000001</v>
      </c>
      <c r="I24" s="10">
        <v>33413130</v>
      </c>
      <c r="J24" s="12" t="s">
        <v>4167</v>
      </c>
      <c r="K24" s="10">
        <v>4446</v>
      </c>
      <c r="L24" s="12" t="s">
        <v>4168</v>
      </c>
      <c r="M24" s="10">
        <v>794773346</v>
      </c>
      <c r="N24" s="10">
        <v>94525</v>
      </c>
      <c r="O24" s="12">
        <v>6</v>
      </c>
    </row>
    <row r="25" spans="1:15" ht="27" x14ac:dyDescent="0.3">
      <c r="A25" s="9">
        <v>43509</v>
      </c>
      <c r="B25" s="12">
        <v>61</v>
      </c>
      <c r="C25" s="11">
        <v>1.2E-2</v>
      </c>
      <c r="D25" s="12">
        <v>124</v>
      </c>
      <c r="E25" s="11">
        <v>7.0000000000000001E-3</v>
      </c>
      <c r="F25" s="10">
        <v>14506</v>
      </c>
      <c r="G25" s="11">
        <v>5.0000000000000001E-3</v>
      </c>
      <c r="H25" s="11">
        <v>0.14899999999999999</v>
      </c>
      <c r="I25" s="10">
        <v>16790550</v>
      </c>
      <c r="J25" s="12" t="s">
        <v>4169</v>
      </c>
      <c r="K25" s="10">
        <v>2167</v>
      </c>
      <c r="L25" s="12" t="s">
        <v>4170</v>
      </c>
      <c r="M25" s="10">
        <v>811563896</v>
      </c>
      <c r="N25" s="10">
        <v>96692</v>
      </c>
      <c r="O25" s="12">
        <v>9</v>
      </c>
    </row>
    <row r="26" spans="1:15" ht="27" x14ac:dyDescent="0.3">
      <c r="A26" s="9">
        <v>43510</v>
      </c>
      <c r="B26" s="12">
        <v>59</v>
      </c>
      <c r="C26" s="11">
        <v>0.01</v>
      </c>
      <c r="D26" s="12">
        <v>110</v>
      </c>
      <c r="E26" s="11">
        <v>6.0000000000000001E-3</v>
      </c>
      <c r="F26" s="10">
        <v>12394</v>
      </c>
      <c r="G26" s="11">
        <v>4.0000000000000001E-3</v>
      </c>
      <c r="H26" s="11">
        <v>0.161</v>
      </c>
      <c r="I26" s="10">
        <v>15628280</v>
      </c>
      <c r="J26" s="12" t="s">
        <v>4171</v>
      </c>
      <c r="K26" s="10">
        <v>1990</v>
      </c>
      <c r="L26" s="12" t="s">
        <v>4172</v>
      </c>
      <c r="M26" s="10">
        <v>827192176</v>
      </c>
      <c r="N26" s="10">
        <v>98682</v>
      </c>
      <c r="O26" s="12">
        <v>13</v>
      </c>
    </row>
    <row r="27" spans="1:15" ht="27" x14ac:dyDescent="0.3">
      <c r="A27" s="9">
        <v>43511</v>
      </c>
      <c r="B27" s="12">
        <v>68</v>
      </c>
      <c r="C27" s="11">
        <v>1.0999999999999999E-2</v>
      </c>
      <c r="D27" s="12">
        <v>113</v>
      </c>
      <c r="E27" s="11">
        <v>6.0000000000000001E-3</v>
      </c>
      <c r="F27" s="10">
        <v>13165</v>
      </c>
      <c r="G27" s="11">
        <v>4.0000000000000001E-3</v>
      </c>
      <c r="H27" s="11">
        <v>0.192</v>
      </c>
      <c r="I27" s="10">
        <v>21798960</v>
      </c>
      <c r="J27" s="12" t="s">
        <v>4173</v>
      </c>
      <c r="K27" s="10">
        <v>2523</v>
      </c>
      <c r="L27" s="12" t="s">
        <v>4174</v>
      </c>
      <c r="M27" s="10">
        <v>848991136</v>
      </c>
      <c r="N27" s="10">
        <v>101205</v>
      </c>
      <c r="O27" s="12">
        <v>13</v>
      </c>
    </row>
    <row r="28" spans="1:15" ht="27" x14ac:dyDescent="0.3">
      <c r="A28" s="9">
        <v>43512</v>
      </c>
      <c r="B28" s="12">
        <v>62</v>
      </c>
      <c r="C28" s="11">
        <v>8.9999999999999993E-3</v>
      </c>
      <c r="D28" s="12">
        <v>115</v>
      </c>
      <c r="E28" s="11">
        <v>6.0000000000000001E-3</v>
      </c>
      <c r="F28" s="10">
        <v>12567</v>
      </c>
      <c r="G28" s="11">
        <v>4.0000000000000001E-3</v>
      </c>
      <c r="H28" s="11">
        <v>0.312</v>
      </c>
      <c r="I28" s="10">
        <v>35210430</v>
      </c>
      <c r="J28" s="12" t="s">
        <v>4175</v>
      </c>
      <c r="K28" s="10">
        <v>3923</v>
      </c>
      <c r="L28" s="12" t="s">
        <v>4176</v>
      </c>
      <c r="M28" s="10">
        <v>884201566</v>
      </c>
      <c r="N28" s="10">
        <v>105128</v>
      </c>
      <c r="O28" s="12">
        <v>13</v>
      </c>
    </row>
    <row r="29" spans="1:15" ht="27" x14ac:dyDescent="0.3">
      <c r="A29" s="9">
        <v>43513</v>
      </c>
      <c r="B29" s="12">
        <v>72</v>
      </c>
      <c r="C29" s="11">
        <v>1.0999999999999999E-2</v>
      </c>
      <c r="D29" s="12">
        <v>113</v>
      </c>
      <c r="E29" s="11">
        <v>6.0000000000000001E-3</v>
      </c>
      <c r="F29" s="10">
        <v>12824</v>
      </c>
      <c r="G29" s="11">
        <v>4.0000000000000001E-3</v>
      </c>
      <c r="H29" s="11">
        <v>0.317</v>
      </c>
      <c r="I29" s="10">
        <v>36262990</v>
      </c>
      <c r="J29" s="12" t="s">
        <v>4177</v>
      </c>
      <c r="K29" s="10">
        <v>4069</v>
      </c>
      <c r="L29" s="12" t="s">
        <v>4178</v>
      </c>
      <c r="M29" s="10">
        <v>920464556</v>
      </c>
      <c r="N29" s="10">
        <v>109197</v>
      </c>
      <c r="O29" s="12">
        <v>13</v>
      </c>
    </row>
    <row r="30" spans="1:15" ht="27" x14ac:dyDescent="0.3">
      <c r="A30" s="9">
        <v>43514</v>
      </c>
      <c r="B30" s="12">
        <v>55</v>
      </c>
      <c r="C30" s="11">
        <v>8.9999999999999993E-3</v>
      </c>
      <c r="D30" s="12">
        <v>106</v>
      </c>
      <c r="E30" s="11">
        <v>6.0000000000000001E-3</v>
      </c>
      <c r="F30" s="10">
        <v>12523</v>
      </c>
      <c r="G30" s="11">
        <v>4.0000000000000001E-3</v>
      </c>
      <c r="H30" s="11">
        <v>0.13800000000000001</v>
      </c>
      <c r="I30" s="10">
        <v>14062400</v>
      </c>
      <c r="J30" s="12" t="s">
        <v>4179</v>
      </c>
      <c r="K30" s="10">
        <v>1724</v>
      </c>
      <c r="L30" s="12" t="s">
        <v>4180</v>
      </c>
      <c r="M30" s="10">
        <v>934526956</v>
      </c>
      <c r="N30" s="10">
        <v>110921</v>
      </c>
      <c r="O30" s="12">
        <v>13</v>
      </c>
    </row>
    <row r="31" spans="1:15" ht="27" x14ac:dyDescent="0.3">
      <c r="A31" s="9">
        <v>43515</v>
      </c>
      <c r="B31" s="12">
        <v>70</v>
      </c>
      <c r="C31" s="11">
        <v>1.0999999999999999E-2</v>
      </c>
      <c r="D31" s="12">
        <v>123</v>
      </c>
      <c r="E31" s="11">
        <v>7.0000000000000001E-3</v>
      </c>
      <c r="F31" s="10">
        <v>14515</v>
      </c>
      <c r="G31" s="11">
        <v>5.0000000000000001E-3</v>
      </c>
      <c r="H31" s="11">
        <v>0.155</v>
      </c>
      <c r="I31" s="10">
        <v>18131270</v>
      </c>
      <c r="J31" s="12" t="s">
        <v>4181</v>
      </c>
      <c r="K31" s="10">
        <v>2253</v>
      </c>
      <c r="L31" s="12" t="s">
        <v>4182</v>
      </c>
      <c r="M31" s="10">
        <v>952658226</v>
      </c>
      <c r="N31" s="10">
        <v>113174</v>
      </c>
      <c r="O31" s="12">
        <v>14</v>
      </c>
    </row>
    <row r="32" spans="1:15" ht="27" x14ac:dyDescent="0.3">
      <c r="A32" s="9">
        <v>43516</v>
      </c>
      <c r="B32" s="12">
        <v>59</v>
      </c>
      <c r="C32" s="11">
        <v>0.01</v>
      </c>
      <c r="D32" s="12">
        <v>110</v>
      </c>
      <c r="E32" s="11">
        <v>6.0000000000000001E-3</v>
      </c>
      <c r="F32" s="10">
        <v>12656</v>
      </c>
      <c r="G32" s="11">
        <v>4.0000000000000001E-3</v>
      </c>
      <c r="H32" s="11">
        <v>0.16</v>
      </c>
      <c r="I32" s="10">
        <v>16211530</v>
      </c>
      <c r="J32" s="12" t="s">
        <v>4183</v>
      </c>
      <c r="K32" s="10">
        <v>2030</v>
      </c>
      <c r="L32" s="12" t="s">
        <v>4184</v>
      </c>
      <c r="M32" s="10">
        <v>968869756</v>
      </c>
      <c r="N32" s="10">
        <v>115204</v>
      </c>
      <c r="O32" s="12">
        <v>14</v>
      </c>
    </row>
    <row r="33" spans="1:15" ht="27" x14ac:dyDescent="0.3">
      <c r="A33" s="9">
        <v>43517</v>
      </c>
      <c r="B33" s="12">
        <v>58</v>
      </c>
      <c r="C33" s="11">
        <v>8.9999999999999993E-3</v>
      </c>
      <c r="D33" s="12">
        <v>73</v>
      </c>
      <c r="E33" s="11">
        <v>4.0000000000000001E-3</v>
      </c>
      <c r="F33" s="10">
        <v>9066</v>
      </c>
      <c r="G33" s="11">
        <v>3.0000000000000001E-3</v>
      </c>
      <c r="H33" s="11">
        <v>0.182</v>
      </c>
      <c r="I33" s="10">
        <v>11607950</v>
      </c>
      <c r="J33" s="12" t="s">
        <v>4185</v>
      </c>
      <c r="K33" s="10">
        <v>1652</v>
      </c>
      <c r="L33" s="12" t="s">
        <v>4186</v>
      </c>
      <c r="M33" s="10">
        <v>980477706</v>
      </c>
      <c r="N33" s="10">
        <v>116856</v>
      </c>
      <c r="O33" s="12">
        <v>16</v>
      </c>
    </row>
    <row r="34" spans="1:15" ht="27" x14ac:dyDescent="0.3">
      <c r="A34" s="9">
        <v>43518</v>
      </c>
      <c r="B34" s="12">
        <v>50</v>
      </c>
      <c r="C34" s="11">
        <v>8.0000000000000002E-3</v>
      </c>
      <c r="D34" s="12">
        <v>66</v>
      </c>
      <c r="E34" s="11">
        <v>4.0000000000000001E-3</v>
      </c>
      <c r="F34" s="10">
        <v>7533</v>
      </c>
      <c r="G34" s="11">
        <v>3.0000000000000001E-3</v>
      </c>
      <c r="H34" s="11">
        <v>0.16600000000000001</v>
      </c>
      <c r="I34" s="10">
        <v>10897710</v>
      </c>
      <c r="J34" s="12" t="s">
        <v>4187</v>
      </c>
      <c r="K34" s="10">
        <v>1248</v>
      </c>
      <c r="L34" s="12" t="s">
        <v>4188</v>
      </c>
      <c r="M34" s="10">
        <v>991375416</v>
      </c>
      <c r="N34" s="10">
        <v>118104</v>
      </c>
      <c r="O34" s="12">
        <v>17</v>
      </c>
    </row>
    <row r="35" spans="1:15" ht="27" x14ac:dyDescent="0.3">
      <c r="A35" s="9">
        <v>43519</v>
      </c>
      <c r="B35" s="12">
        <v>54</v>
      </c>
      <c r="C35" s="11">
        <v>8.0000000000000002E-3</v>
      </c>
      <c r="D35" s="12">
        <v>68</v>
      </c>
      <c r="E35" s="11">
        <v>3.0000000000000001E-3</v>
      </c>
      <c r="F35" s="10">
        <v>8119</v>
      </c>
      <c r="G35" s="11">
        <v>3.0000000000000001E-3</v>
      </c>
      <c r="H35" s="11">
        <v>0.26800000000000002</v>
      </c>
      <c r="I35" s="10">
        <v>18951280</v>
      </c>
      <c r="J35" s="12" t="s">
        <v>4189</v>
      </c>
      <c r="K35" s="10">
        <v>2175</v>
      </c>
      <c r="L35" s="12" t="s">
        <v>4190</v>
      </c>
      <c r="M35" s="10">
        <v>1010326696</v>
      </c>
      <c r="N35" s="10">
        <v>120279</v>
      </c>
      <c r="O35" s="12">
        <v>17</v>
      </c>
    </row>
    <row r="36" spans="1:15" ht="27" x14ac:dyDescent="0.3">
      <c r="A36" s="9">
        <v>43520</v>
      </c>
      <c r="B36" s="12">
        <v>58</v>
      </c>
      <c r="C36" s="11">
        <v>8.0000000000000002E-3</v>
      </c>
      <c r="D36" s="12">
        <v>68</v>
      </c>
      <c r="E36" s="11">
        <v>4.0000000000000001E-3</v>
      </c>
      <c r="F36" s="10">
        <v>8108</v>
      </c>
      <c r="G36" s="11">
        <v>3.0000000000000001E-3</v>
      </c>
      <c r="H36" s="11">
        <v>0.25700000000000001</v>
      </c>
      <c r="I36" s="10">
        <v>17565900</v>
      </c>
      <c r="J36" s="12" t="s">
        <v>4191</v>
      </c>
      <c r="K36" s="10">
        <v>2083</v>
      </c>
      <c r="L36" s="12" t="s">
        <v>4192</v>
      </c>
      <c r="M36" s="10">
        <v>1027892596</v>
      </c>
      <c r="N36" s="10">
        <v>122362</v>
      </c>
      <c r="O36" s="12">
        <v>17</v>
      </c>
    </row>
    <row r="37" spans="1:15" ht="27" x14ac:dyDescent="0.3">
      <c r="A37" s="9">
        <v>43521</v>
      </c>
      <c r="B37" s="12">
        <v>47</v>
      </c>
      <c r="C37" s="11">
        <v>8.0000000000000002E-3</v>
      </c>
      <c r="D37" s="12">
        <v>60</v>
      </c>
      <c r="E37" s="11">
        <v>3.0000000000000001E-3</v>
      </c>
      <c r="F37" s="10">
        <v>7670</v>
      </c>
      <c r="G37" s="11">
        <v>3.0000000000000001E-3</v>
      </c>
      <c r="H37" s="11">
        <v>0.13300000000000001</v>
      </c>
      <c r="I37" s="10">
        <v>8018400</v>
      </c>
      <c r="J37" s="12" t="s">
        <v>4193</v>
      </c>
      <c r="K37" s="10">
        <v>1022</v>
      </c>
      <c r="L37" s="12" t="s">
        <v>4194</v>
      </c>
      <c r="M37" s="10">
        <v>1035910996</v>
      </c>
      <c r="N37" s="10">
        <v>123384</v>
      </c>
      <c r="O37" s="12">
        <v>19</v>
      </c>
    </row>
    <row r="38" spans="1:15" ht="27" x14ac:dyDescent="0.3">
      <c r="A38" s="9">
        <v>43522</v>
      </c>
      <c r="B38" s="12">
        <v>50</v>
      </c>
      <c r="C38" s="11">
        <v>8.0000000000000002E-3</v>
      </c>
      <c r="D38" s="12">
        <v>61</v>
      </c>
      <c r="E38" s="11">
        <v>3.0000000000000001E-3</v>
      </c>
      <c r="F38" s="10">
        <v>8073</v>
      </c>
      <c r="G38" s="11">
        <v>3.0000000000000001E-3</v>
      </c>
      <c r="H38" s="11">
        <v>0.14099999999999999</v>
      </c>
      <c r="I38" s="10">
        <v>8527040</v>
      </c>
      <c r="J38" s="12" t="s">
        <v>4195</v>
      </c>
      <c r="K38" s="10">
        <v>1135</v>
      </c>
      <c r="L38" s="12" t="s">
        <v>4196</v>
      </c>
      <c r="M38" s="10">
        <v>1044438036</v>
      </c>
      <c r="N38" s="10">
        <v>124519</v>
      </c>
      <c r="O38" s="12">
        <v>21</v>
      </c>
    </row>
    <row r="39" spans="1:15" ht="27" x14ac:dyDescent="0.3">
      <c r="A39" s="9">
        <v>43523</v>
      </c>
      <c r="B39" s="12">
        <v>42</v>
      </c>
      <c r="C39" s="11">
        <v>6.0000000000000001E-3</v>
      </c>
      <c r="D39" s="12">
        <v>51</v>
      </c>
      <c r="E39" s="11">
        <v>3.0000000000000001E-3</v>
      </c>
      <c r="F39" s="10">
        <v>6320</v>
      </c>
      <c r="G39" s="11">
        <v>2E-3</v>
      </c>
      <c r="H39" s="11">
        <v>0.19500000000000001</v>
      </c>
      <c r="I39" s="10">
        <v>8225300</v>
      </c>
      <c r="J39" s="12" t="s">
        <v>4197</v>
      </c>
      <c r="K39" s="10">
        <v>1230</v>
      </c>
      <c r="L39" s="12" t="s">
        <v>4198</v>
      </c>
      <c r="M39" s="10">
        <v>1052663336</v>
      </c>
      <c r="N39" s="10">
        <v>125749</v>
      </c>
      <c r="O39" s="12">
        <v>21</v>
      </c>
    </row>
    <row r="40" spans="1:15" ht="27" x14ac:dyDescent="0.3">
      <c r="A40" s="9">
        <v>43524</v>
      </c>
      <c r="B40" s="12">
        <v>31</v>
      </c>
      <c r="C40" s="11">
        <v>5.0000000000000001E-3</v>
      </c>
      <c r="D40" s="12">
        <v>37</v>
      </c>
      <c r="E40" s="11">
        <v>2E-3</v>
      </c>
      <c r="F40" s="10">
        <v>3706</v>
      </c>
      <c r="G40" s="11">
        <v>1E-3</v>
      </c>
      <c r="H40" s="11">
        <v>0.17</v>
      </c>
      <c r="I40" s="10">
        <v>4600850</v>
      </c>
      <c r="J40" s="12" t="s">
        <v>4199</v>
      </c>
      <c r="K40" s="12">
        <v>629</v>
      </c>
      <c r="L40" s="12" t="s">
        <v>4200</v>
      </c>
      <c r="M40" s="10">
        <v>1057264186</v>
      </c>
      <c r="N40" s="10">
        <v>126378</v>
      </c>
      <c r="O40" s="12">
        <v>24</v>
      </c>
    </row>
    <row r="41" spans="1:15" ht="27" x14ac:dyDescent="0.3">
      <c r="A41" s="9">
        <v>43525</v>
      </c>
      <c r="B41" s="12">
        <v>38</v>
      </c>
      <c r="C41" s="11">
        <v>5.0000000000000001E-3</v>
      </c>
      <c r="D41" s="12">
        <v>47</v>
      </c>
      <c r="E41" s="11">
        <v>2E-3</v>
      </c>
      <c r="F41" s="10">
        <v>5511</v>
      </c>
      <c r="G41" s="11">
        <v>2E-3</v>
      </c>
      <c r="H41" s="11">
        <v>0.30099999999999999</v>
      </c>
      <c r="I41" s="10">
        <v>14177767</v>
      </c>
      <c r="J41" s="12" t="s">
        <v>4201</v>
      </c>
      <c r="K41" s="10">
        <v>1661</v>
      </c>
      <c r="L41" s="12" t="s">
        <v>4202</v>
      </c>
      <c r="M41" s="10">
        <v>1071441953</v>
      </c>
      <c r="N41" s="10">
        <v>128039</v>
      </c>
      <c r="O41" s="12">
        <v>20</v>
      </c>
    </row>
    <row r="42" spans="1:15" ht="27" x14ac:dyDescent="0.3">
      <c r="A42" s="9">
        <v>43526</v>
      </c>
      <c r="B42" s="12">
        <v>40</v>
      </c>
      <c r="C42" s="11">
        <v>5.0000000000000001E-3</v>
      </c>
      <c r="D42" s="12">
        <v>46</v>
      </c>
      <c r="E42" s="11">
        <v>2E-3</v>
      </c>
      <c r="F42" s="10">
        <v>4521</v>
      </c>
      <c r="G42" s="11">
        <v>1E-3</v>
      </c>
      <c r="H42" s="11">
        <v>0.33200000000000002</v>
      </c>
      <c r="I42" s="10">
        <v>12190026</v>
      </c>
      <c r="J42" s="12" t="s">
        <v>4203</v>
      </c>
      <c r="K42" s="10">
        <v>1502</v>
      </c>
      <c r="L42" s="12" t="s">
        <v>4204</v>
      </c>
      <c r="M42" s="10">
        <v>1083631979</v>
      </c>
      <c r="N42" s="10">
        <v>129541</v>
      </c>
      <c r="O42" s="12">
        <v>19</v>
      </c>
    </row>
    <row r="43" spans="1:15" ht="27" x14ac:dyDescent="0.3">
      <c r="A43" s="9">
        <v>43527</v>
      </c>
      <c r="B43" s="12">
        <v>32</v>
      </c>
      <c r="C43" s="11">
        <v>4.0000000000000001E-3</v>
      </c>
      <c r="D43" s="12">
        <v>38</v>
      </c>
      <c r="E43" s="11">
        <v>2E-3</v>
      </c>
      <c r="F43" s="10">
        <v>4234</v>
      </c>
      <c r="G43" s="11">
        <v>1E-3</v>
      </c>
      <c r="H43" s="11">
        <v>0.27400000000000002</v>
      </c>
      <c r="I43" s="10">
        <v>9714490</v>
      </c>
      <c r="J43" s="12" t="s">
        <v>4205</v>
      </c>
      <c r="K43" s="10">
        <v>1158</v>
      </c>
      <c r="L43" s="12" t="s">
        <v>4206</v>
      </c>
      <c r="M43" s="10">
        <v>1093346469</v>
      </c>
      <c r="N43" s="10">
        <v>130699</v>
      </c>
      <c r="O43" s="12">
        <v>20</v>
      </c>
    </row>
    <row r="44" spans="1:15" ht="27" x14ac:dyDescent="0.3">
      <c r="A44" s="9">
        <v>43528</v>
      </c>
      <c r="B44" s="12">
        <v>26</v>
      </c>
      <c r="C44" s="11">
        <v>4.0000000000000001E-3</v>
      </c>
      <c r="D44" s="12">
        <v>32</v>
      </c>
      <c r="E44" s="11">
        <v>2E-3</v>
      </c>
      <c r="F44" s="10">
        <v>3483</v>
      </c>
      <c r="G44" s="11">
        <v>1E-3</v>
      </c>
      <c r="H44" s="11">
        <v>0.14399999999999999</v>
      </c>
      <c r="I44" s="10">
        <v>3887900</v>
      </c>
      <c r="J44" s="12" t="s">
        <v>4207</v>
      </c>
      <c r="K44" s="12">
        <v>502</v>
      </c>
      <c r="L44" s="12" t="s">
        <v>4208</v>
      </c>
      <c r="M44" s="10">
        <v>1097234369</v>
      </c>
      <c r="N44" s="10">
        <v>131201</v>
      </c>
      <c r="O44" s="12">
        <v>17</v>
      </c>
    </row>
    <row r="45" spans="1:15" ht="27" x14ac:dyDescent="0.3">
      <c r="A45" s="9">
        <v>43529</v>
      </c>
      <c r="B45" s="12">
        <v>28</v>
      </c>
      <c r="C45" s="11">
        <v>5.0000000000000001E-3</v>
      </c>
      <c r="D45" s="12">
        <v>35</v>
      </c>
      <c r="E45" s="11">
        <v>2E-3</v>
      </c>
      <c r="F45" s="10">
        <v>4399</v>
      </c>
      <c r="G45" s="11">
        <v>2E-3</v>
      </c>
      <c r="H45" s="11">
        <v>0.13400000000000001</v>
      </c>
      <c r="I45" s="10">
        <v>4373200</v>
      </c>
      <c r="J45" s="12" t="s">
        <v>4209</v>
      </c>
      <c r="K45" s="12">
        <v>589</v>
      </c>
      <c r="L45" s="12" t="s">
        <v>4210</v>
      </c>
      <c r="M45" s="10">
        <v>1101607569</v>
      </c>
      <c r="N45" s="10">
        <v>131790</v>
      </c>
      <c r="O45" s="12">
        <v>18</v>
      </c>
    </row>
    <row r="46" spans="1:15" ht="27" x14ac:dyDescent="0.3">
      <c r="A46" s="9">
        <v>43530</v>
      </c>
      <c r="B46" s="12">
        <v>29</v>
      </c>
      <c r="C46" s="11">
        <v>6.0000000000000001E-3</v>
      </c>
      <c r="D46" s="12">
        <v>38</v>
      </c>
      <c r="E46" s="11">
        <v>2E-3</v>
      </c>
      <c r="F46" s="10">
        <v>4567</v>
      </c>
      <c r="G46" s="11">
        <v>2E-3</v>
      </c>
      <c r="H46" s="11">
        <v>0.11700000000000001</v>
      </c>
      <c r="I46" s="10">
        <v>3755100</v>
      </c>
      <c r="J46" s="12" t="s">
        <v>4211</v>
      </c>
      <c r="K46" s="12">
        <v>533</v>
      </c>
      <c r="L46" s="12" t="s">
        <v>4212</v>
      </c>
      <c r="M46" s="10">
        <v>1105362669</v>
      </c>
      <c r="N46" s="10">
        <v>132323</v>
      </c>
      <c r="O46" s="12">
        <v>13</v>
      </c>
    </row>
    <row r="47" spans="1:15" ht="27" x14ac:dyDescent="0.3">
      <c r="A47" s="9">
        <v>43531</v>
      </c>
      <c r="B47" s="12">
        <v>16</v>
      </c>
      <c r="C47" s="11">
        <v>3.0000000000000001E-3</v>
      </c>
      <c r="D47" s="12">
        <v>22</v>
      </c>
      <c r="E47" s="11">
        <v>1E-3</v>
      </c>
      <c r="F47" s="10">
        <v>2909</v>
      </c>
      <c r="G47" s="11">
        <v>1E-3</v>
      </c>
      <c r="H47" s="11">
        <v>0.13</v>
      </c>
      <c r="I47" s="10">
        <v>2778400</v>
      </c>
      <c r="J47" s="12" t="s">
        <v>4213</v>
      </c>
      <c r="K47" s="12">
        <v>377</v>
      </c>
      <c r="L47" s="12" t="s">
        <v>4214</v>
      </c>
      <c r="M47" s="10">
        <v>1108141069</v>
      </c>
      <c r="N47" s="10">
        <v>132700</v>
      </c>
      <c r="O47" s="12">
        <v>21</v>
      </c>
    </row>
    <row r="48" spans="1:15" ht="27" x14ac:dyDescent="0.3">
      <c r="A48" s="9">
        <v>43532</v>
      </c>
      <c r="B48" s="12">
        <v>17</v>
      </c>
      <c r="C48" s="11">
        <v>3.0000000000000001E-3</v>
      </c>
      <c r="D48" s="12">
        <v>22</v>
      </c>
      <c r="E48" s="11">
        <v>1E-3</v>
      </c>
      <c r="F48" s="10">
        <v>2246</v>
      </c>
      <c r="G48" s="11">
        <v>1E-3</v>
      </c>
      <c r="H48" s="11">
        <v>0.159</v>
      </c>
      <c r="I48" s="10">
        <v>3068140</v>
      </c>
      <c r="J48" s="12" t="s">
        <v>4215</v>
      </c>
      <c r="K48" s="12">
        <v>356</v>
      </c>
      <c r="L48" s="12" t="s">
        <v>4216</v>
      </c>
      <c r="M48" s="10">
        <v>1111209209</v>
      </c>
      <c r="N48" s="10">
        <v>133056</v>
      </c>
      <c r="O48" s="12">
        <v>16</v>
      </c>
    </row>
    <row r="49" spans="1:15" ht="27" x14ac:dyDescent="0.3">
      <c r="A49" s="9">
        <v>43533</v>
      </c>
      <c r="B49" s="12">
        <v>22</v>
      </c>
      <c r="C49" s="11">
        <v>4.0000000000000001E-3</v>
      </c>
      <c r="D49" s="12">
        <v>30</v>
      </c>
      <c r="E49" s="11">
        <v>2E-3</v>
      </c>
      <c r="F49" s="10">
        <v>2775</v>
      </c>
      <c r="G49" s="11">
        <v>1E-3</v>
      </c>
      <c r="H49" s="11">
        <v>0.29199999999999998</v>
      </c>
      <c r="I49" s="10">
        <v>6468300</v>
      </c>
      <c r="J49" s="12" t="s">
        <v>4217</v>
      </c>
      <c r="K49" s="12">
        <v>809</v>
      </c>
      <c r="L49" s="12" t="s">
        <v>4218</v>
      </c>
      <c r="M49" s="10">
        <v>1117677509</v>
      </c>
      <c r="N49" s="10">
        <v>133865</v>
      </c>
      <c r="O49" s="12">
        <v>15</v>
      </c>
    </row>
    <row r="50" spans="1:15" ht="27" x14ac:dyDescent="0.3">
      <c r="A50" s="9">
        <v>43534</v>
      </c>
      <c r="B50" s="12">
        <v>24</v>
      </c>
      <c r="C50" s="11">
        <v>4.0000000000000001E-3</v>
      </c>
      <c r="D50" s="12">
        <v>30</v>
      </c>
      <c r="E50" s="11">
        <v>2E-3</v>
      </c>
      <c r="F50" s="10">
        <v>3432</v>
      </c>
      <c r="G50" s="11">
        <v>1E-3</v>
      </c>
      <c r="H50" s="11">
        <v>0.318</v>
      </c>
      <c r="I50" s="10">
        <v>8819000</v>
      </c>
      <c r="J50" s="12" t="s">
        <v>4219</v>
      </c>
      <c r="K50" s="10">
        <v>1091</v>
      </c>
      <c r="L50" s="12" t="s">
        <v>4220</v>
      </c>
      <c r="M50" s="10">
        <v>1126496509</v>
      </c>
      <c r="N50" s="10">
        <v>134956</v>
      </c>
      <c r="O50" s="12">
        <v>14</v>
      </c>
    </row>
    <row r="51" spans="1:15" ht="27" x14ac:dyDescent="0.3">
      <c r="A51" s="9">
        <v>43535</v>
      </c>
      <c r="B51" s="12">
        <v>14</v>
      </c>
      <c r="C51" s="11">
        <v>3.0000000000000001E-3</v>
      </c>
      <c r="D51" s="12">
        <v>20</v>
      </c>
      <c r="E51" s="11">
        <v>1E-3</v>
      </c>
      <c r="F51" s="10">
        <v>2507</v>
      </c>
      <c r="G51" s="11">
        <v>1E-3</v>
      </c>
      <c r="H51" s="11">
        <v>0.121</v>
      </c>
      <c r="I51" s="10">
        <v>2225300</v>
      </c>
      <c r="J51" s="12" t="s">
        <v>4221</v>
      </c>
      <c r="K51" s="12">
        <v>304</v>
      </c>
      <c r="L51" s="12" t="s">
        <v>4222</v>
      </c>
      <c r="M51" s="10">
        <v>1128721809</v>
      </c>
      <c r="N51" s="10">
        <v>135260</v>
      </c>
      <c r="O51" s="12">
        <v>17</v>
      </c>
    </row>
    <row r="52" spans="1:15" ht="27" x14ac:dyDescent="0.3">
      <c r="A52" s="9">
        <v>43536</v>
      </c>
      <c r="B52" s="12">
        <v>17</v>
      </c>
      <c r="C52" s="11">
        <v>3.0000000000000001E-3</v>
      </c>
      <c r="D52" s="12">
        <v>26</v>
      </c>
      <c r="E52" s="11">
        <v>2E-3</v>
      </c>
      <c r="F52" s="10">
        <v>4073</v>
      </c>
      <c r="G52" s="11">
        <v>2E-3</v>
      </c>
      <c r="H52" s="11">
        <v>9.8000000000000004E-2</v>
      </c>
      <c r="I52" s="10">
        <v>2920900</v>
      </c>
      <c r="J52" s="12" t="s">
        <v>4223</v>
      </c>
      <c r="K52" s="12">
        <v>401</v>
      </c>
      <c r="L52" s="12" t="s">
        <v>4224</v>
      </c>
      <c r="M52" s="10">
        <v>1131642709</v>
      </c>
      <c r="N52" s="10">
        <v>135661</v>
      </c>
      <c r="O52" s="12">
        <v>18</v>
      </c>
    </row>
    <row r="53" spans="1:15" ht="27" x14ac:dyDescent="0.3">
      <c r="A53" s="9">
        <v>43537</v>
      </c>
      <c r="B53" s="12">
        <v>21</v>
      </c>
      <c r="C53" s="11">
        <v>4.0000000000000001E-3</v>
      </c>
      <c r="D53" s="12">
        <v>31</v>
      </c>
      <c r="E53" s="11">
        <v>2E-3</v>
      </c>
      <c r="F53" s="10">
        <v>3958</v>
      </c>
      <c r="G53" s="11">
        <v>1E-3</v>
      </c>
      <c r="H53" s="11">
        <v>0.1</v>
      </c>
      <c r="I53" s="10">
        <v>2917180</v>
      </c>
      <c r="J53" s="12" t="s">
        <v>4225</v>
      </c>
      <c r="K53" s="12">
        <v>396</v>
      </c>
      <c r="L53" s="12" t="s">
        <v>4226</v>
      </c>
      <c r="M53" s="10">
        <v>1134559889</v>
      </c>
      <c r="N53" s="10">
        <v>136057</v>
      </c>
      <c r="O53" s="12">
        <v>15</v>
      </c>
    </row>
    <row r="54" spans="1:15" ht="27" x14ac:dyDescent="0.3">
      <c r="A54" s="9">
        <v>43538</v>
      </c>
      <c r="B54" s="12">
        <v>11</v>
      </c>
      <c r="C54" s="11">
        <v>2E-3</v>
      </c>
      <c r="D54" s="12">
        <v>15</v>
      </c>
      <c r="E54" s="11">
        <v>1E-3</v>
      </c>
      <c r="F54" s="10">
        <v>1437</v>
      </c>
      <c r="G54" s="11">
        <v>1E-3</v>
      </c>
      <c r="H54" s="11">
        <v>0.189</v>
      </c>
      <c r="I54" s="10">
        <v>2013550</v>
      </c>
      <c r="J54" s="12" t="s">
        <v>4227</v>
      </c>
      <c r="K54" s="12">
        <v>272</v>
      </c>
      <c r="L54" s="12" t="s">
        <v>4228</v>
      </c>
      <c r="M54" s="10">
        <v>1136573439</v>
      </c>
      <c r="N54" s="10">
        <v>136329</v>
      </c>
      <c r="O54" s="12">
        <v>26</v>
      </c>
    </row>
    <row r="55" spans="1:15" ht="27" x14ac:dyDescent="0.3">
      <c r="A55" s="9">
        <v>43539</v>
      </c>
      <c r="B55" s="12">
        <v>16</v>
      </c>
      <c r="C55" s="11">
        <v>3.0000000000000001E-3</v>
      </c>
      <c r="D55" s="12">
        <v>21</v>
      </c>
      <c r="E55" s="11">
        <v>1E-3</v>
      </c>
      <c r="F55" s="10">
        <v>2996</v>
      </c>
      <c r="G55" s="11">
        <v>1E-3</v>
      </c>
      <c r="H55" s="11">
        <v>0.106</v>
      </c>
      <c r="I55" s="10">
        <v>2547230</v>
      </c>
      <c r="J55" s="12" t="s">
        <v>4229</v>
      </c>
      <c r="K55" s="12">
        <v>317</v>
      </c>
      <c r="L55" s="12" t="s">
        <v>4230</v>
      </c>
      <c r="M55" s="10">
        <v>1139120669</v>
      </c>
      <c r="N55" s="10">
        <v>136646</v>
      </c>
      <c r="O55" s="12">
        <v>25</v>
      </c>
    </row>
    <row r="56" spans="1:15" ht="27" x14ac:dyDescent="0.3">
      <c r="A56" s="9">
        <v>43540</v>
      </c>
      <c r="B56" s="12">
        <v>16</v>
      </c>
      <c r="C56" s="11">
        <v>2E-3</v>
      </c>
      <c r="D56" s="12">
        <v>21</v>
      </c>
      <c r="E56" s="11">
        <v>1E-3</v>
      </c>
      <c r="F56" s="10">
        <v>1743</v>
      </c>
      <c r="G56" s="11">
        <v>1E-3</v>
      </c>
      <c r="H56" s="11">
        <v>0.25600000000000001</v>
      </c>
      <c r="I56" s="10">
        <v>3923100</v>
      </c>
      <c r="J56" s="12" t="s">
        <v>4231</v>
      </c>
      <c r="K56" s="12">
        <v>446</v>
      </c>
      <c r="L56" s="12" t="s">
        <v>4232</v>
      </c>
      <c r="M56" s="10">
        <v>1143043769</v>
      </c>
      <c r="N56" s="10">
        <v>137092</v>
      </c>
      <c r="O56" s="12">
        <v>24</v>
      </c>
    </row>
    <row r="57" spans="1:15" ht="27" x14ac:dyDescent="0.3">
      <c r="A57" s="9">
        <v>43541</v>
      </c>
      <c r="B57" s="12">
        <v>19</v>
      </c>
      <c r="C57" s="11">
        <v>3.0000000000000001E-3</v>
      </c>
      <c r="D57" s="12">
        <v>23</v>
      </c>
      <c r="E57" s="11">
        <v>1E-3</v>
      </c>
      <c r="F57" s="10">
        <v>3075</v>
      </c>
      <c r="G57" s="11">
        <v>1E-3</v>
      </c>
      <c r="H57" s="11">
        <v>0.153</v>
      </c>
      <c r="I57" s="10">
        <v>3710550</v>
      </c>
      <c r="J57" s="12" t="s">
        <v>4233</v>
      </c>
      <c r="K57" s="12">
        <v>472</v>
      </c>
      <c r="L57" s="12" t="s">
        <v>4234</v>
      </c>
      <c r="M57" s="10">
        <v>1146754319</v>
      </c>
      <c r="N57" s="10">
        <v>137564</v>
      </c>
      <c r="O57" s="12">
        <v>23</v>
      </c>
    </row>
    <row r="58" spans="1:15" ht="27" x14ac:dyDescent="0.3">
      <c r="A58" s="9">
        <v>43542</v>
      </c>
      <c r="B58" s="12">
        <v>12</v>
      </c>
      <c r="C58" s="11">
        <v>2E-3</v>
      </c>
      <c r="D58" s="12">
        <v>16</v>
      </c>
      <c r="E58" s="11">
        <v>1E-3</v>
      </c>
      <c r="F58" s="10">
        <v>1759</v>
      </c>
      <c r="G58" s="11">
        <v>1E-3</v>
      </c>
      <c r="H58" s="11">
        <v>0.125</v>
      </c>
      <c r="I58" s="10">
        <v>1612950</v>
      </c>
      <c r="J58" s="12" t="s">
        <v>4235</v>
      </c>
      <c r="K58" s="12">
        <v>220</v>
      </c>
      <c r="L58" s="12" t="s">
        <v>4236</v>
      </c>
      <c r="M58" s="10">
        <v>1148367269</v>
      </c>
      <c r="N58" s="10">
        <v>137784</v>
      </c>
      <c r="O58" s="12">
        <v>23</v>
      </c>
    </row>
    <row r="59" spans="1:15" ht="27" x14ac:dyDescent="0.3">
      <c r="A59" s="9">
        <v>43543</v>
      </c>
      <c r="B59" s="12">
        <v>13</v>
      </c>
      <c r="C59" s="11">
        <v>2E-3</v>
      </c>
      <c r="D59" s="12">
        <v>18</v>
      </c>
      <c r="E59" s="11">
        <v>1E-3</v>
      </c>
      <c r="F59" s="10">
        <v>1899</v>
      </c>
      <c r="G59" s="11">
        <v>1E-3</v>
      </c>
      <c r="H59" s="11">
        <v>8.3000000000000004E-2</v>
      </c>
      <c r="I59" s="10">
        <v>1300600</v>
      </c>
      <c r="J59" s="12" t="s">
        <v>4237</v>
      </c>
      <c r="K59" s="12">
        <v>157</v>
      </c>
      <c r="L59" s="12" t="s">
        <v>4238</v>
      </c>
      <c r="M59" s="10">
        <v>1149667869</v>
      </c>
      <c r="N59" s="10">
        <v>137941</v>
      </c>
      <c r="O59" s="12">
        <v>31</v>
      </c>
    </row>
    <row r="60" spans="1:15" ht="27" x14ac:dyDescent="0.3">
      <c r="A60" s="9">
        <v>43544</v>
      </c>
      <c r="B60" s="12">
        <v>12</v>
      </c>
      <c r="C60" s="11">
        <v>2E-3</v>
      </c>
      <c r="D60" s="12">
        <v>14</v>
      </c>
      <c r="E60" s="11">
        <v>1E-3</v>
      </c>
      <c r="F60" s="10">
        <v>1234</v>
      </c>
      <c r="G60" s="11">
        <v>0</v>
      </c>
      <c r="H60" s="11">
        <v>0.11</v>
      </c>
      <c r="I60" s="10">
        <v>942000</v>
      </c>
      <c r="J60" s="12" t="s">
        <v>4239</v>
      </c>
      <c r="K60" s="12">
        <v>136</v>
      </c>
      <c r="L60" s="12" t="s">
        <v>4240</v>
      </c>
      <c r="M60" s="10">
        <v>1150609869</v>
      </c>
      <c r="N60" s="10">
        <v>138077</v>
      </c>
      <c r="O60" s="12">
        <v>38</v>
      </c>
    </row>
    <row r="61" spans="1:15" ht="27" x14ac:dyDescent="0.3">
      <c r="A61" s="9">
        <v>43545</v>
      </c>
      <c r="B61" s="12">
        <v>11</v>
      </c>
      <c r="C61" s="11">
        <v>2E-3</v>
      </c>
      <c r="D61" s="12">
        <v>17</v>
      </c>
      <c r="E61" s="11">
        <v>1E-3</v>
      </c>
      <c r="F61" s="10">
        <v>1629</v>
      </c>
      <c r="G61" s="11">
        <v>1E-3</v>
      </c>
      <c r="H61" s="11">
        <v>0.13900000000000001</v>
      </c>
      <c r="I61" s="10">
        <v>1602000</v>
      </c>
      <c r="J61" s="12" t="s">
        <v>4241</v>
      </c>
      <c r="K61" s="12">
        <v>227</v>
      </c>
      <c r="L61" s="12" t="s">
        <v>4242</v>
      </c>
      <c r="M61" s="10">
        <v>1152211869</v>
      </c>
      <c r="N61" s="10">
        <v>138304</v>
      </c>
      <c r="O61" s="12">
        <v>31</v>
      </c>
    </row>
    <row r="62" spans="1:15" ht="27" x14ac:dyDescent="0.3">
      <c r="A62" s="9">
        <v>43546</v>
      </c>
      <c r="B62" s="12">
        <v>15</v>
      </c>
      <c r="C62" s="11">
        <v>3.0000000000000001E-3</v>
      </c>
      <c r="D62" s="12">
        <v>20</v>
      </c>
      <c r="E62" s="11">
        <v>1E-3</v>
      </c>
      <c r="F62" s="10">
        <v>2535</v>
      </c>
      <c r="G62" s="11">
        <v>1E-3</v>
      </c>
      <c r="H62" s="11">
        <v>0.13500000000000001</v>
      </c>
      <c r="I62" s="10">
        <v>2862150</v>
      </c>
      <c r="J62" s="12" t="s">
        <v>4243</v>
      </c>
      <c r="K62" s="12">
        <v>341</v>
      </c>
      <c r="L62" s="12" t="s">
        <v>4244</v>
      </c>
      <c r="M62" s="10">
        <v>1155074019</v>
      </c>
      <c r="N62" s="10">
        <v>138645</v>
      </c>
      <c r="O62" s="12">
        <v>22</v>
      </c>
    </row>
    <row r="63" spans="1:15" ht="27" x14ac:dyDescent="0.3">
      <c r="A63" s="9">
        <v>43547</v>
      </c>
      <c r="B63" s="12">
        <v>15</v>
      </c>
      <c r="C63" s="11">
        <v>3.0000000000000001E-3</v>
      </c>
      <c r="D63" s="12">
        <v>20</v>
      </c>
      <c r="E63" s="11">
        <v>1E-3</v>
      </c>
      <c r="F63" s="10">
        <v>2512</v>
      </c>
      <c r="G63" s="11">
        <v>1E-3</v>
      </c>
      <c r="H63" s="11">
        <v>0.14499999999999999</v>
      </c>
      <c r="I63" s="10">
        <v>3138250</v>
      </c>
      <c r="J63" s="12" t="s">
        <v>4245</v>
      </c>
      <c r="K63" s="12">
        <v>365</v>
      </c>
      <c r="L63" s="12" t="s">
        <v>4246</v>
      </c>
      <c r="M63" s="10">
        <v>1158212269</v>
      </c>
      <c r="N63" s="10">
        <v>139010</v>
      </c>
      <c r="O63" s="12">
        <v>25</v>
      </c>
    </row>
    <row r="64" spans="1:15" ht="27" x14ac:dyDescent="0.3">
      <c r="A64" s="9">
        <v>43548</v>
      </c>
      <c r="B64" s="12">
        <v>17</v>
      </c>
      <c r="C64" s="11">
        <v>3.0000000000000001E-3</v>
      </c>
      <c r="D64" s="12">
        <v>21</v>
      </c>
      <c r="E64" s="11">
        <v>1E-3</v>
      </c>
      <c r="F64" s="10">
        <v>1883</v>
      </c>
      <c r="G64" s="11">
        <v>1E-3</v>
      </c>
      <c r="H64" s="11">
        <v>0.192</v>
      </c>
      <c r="I64" s="10">
        <v>2895100</v>
      </c>
      <c r="J64" s="12" t="s">
        <v>4247</v>
      </c>
      <c r="K64" s="12">
        <v>362</v>
      </c>
      <c r="L64" s="12" t="s">
        <v>4248</v>
      </c>
      <c r="M64" s="10">
        <v>1161107369</v>
      </c>
      <c r="N64" s="10">
        <v>139372</v>
      </c>
      <c r="O64" s="12">
        <v>24</v>
      </c>
    </row>
    <row r="65" spans="1:15" ht="27" x14ac:dyDescent="0.3">
      <c r="A65" s="9">
        <v>43549</v>
      </c>
      <c r="B65" s="12">
        <v>11</v>
      </c>
      <c r="C65" s="11">
        <v>2E-3</v>
      </c>
      <c r="D65" s="12">
        <v>14</v>
      </c>
      <c r="E65" s="11">
        <v>1E-3</v>
      </c>
      <c r="F65" s="10">
        <v>1794</v>
      </c>
      <c r="G65" s="11">
        <v>1E-3</v>
      </c>
      <c r="H65" s="11">
        <v>9.0999999999999998E-2</v>
      </c>
      <c r="I65" s="10">
        <v>1308050</v>
      </c>
      <c r="J65" s="12" t="s">
        <v>4249</v>
      </c>
      <c r="K65" s="12">
        <v>164</v>
      </c>
      <c r="L65" s="12" t="s">
        <v>4250</v>
      </c>
      <c r="M65" s="10">
        <v>1162415419</v>
      </c>
      <c r="N65" s="10">
        <v>139536</v>
      </c>
      <c r="O65" s="12">
        <v>30</v>
      </c>
    </row>
    <row r="66" spans="1:15" ht="27" x14ac:dyDescent="0.3">
      <c r="A66" s="9">
        <v>43550</v>
      </c>
      <c r="B66" s="12">
        <v>13</v>
      </c>
      <c r="C66" s="11">
        <v>3.0000000000000001E-3</v>
      </c>
      <c r="D66" s="12">
        <v>17</v>
      </c>
      <c r="E66" s="11">
        <v>1E-3</v>
      </c>
      <c r="F66" s="10">
        <v>2322</v>
      </c>
      <c r="G66" s="11">
        <v>1E-3</v>
      </c>
      <c r="H66" s="11">
        <v>7.5999999999999998E-2</v>
      </c>
      <c r="I66" s="10">
        <v>1268200</v>
      </c>
      <c r="J66" s="12" t="s">
        <v>4251</v>
      </c>
      <c r="K66" s="12">
        <v>176</v>
      </c>
      <c r="L66" s="12" t="s">
        <v>4252</v>
      </c>
      <c r="M66" s="10">
        <v>1163683619</v>
      </c>
      <c r="N66" s="10">
        <v>139712</v>
      </c>
      <c r="O66" s="12">
        <v>38</v>
      </c>
    </row>
    <row r="67" spans="1:15" ht="27" x14ac:dyDescent="0.3">
      <c r="A67" s="9">
        <v>43551</v>
      </c>
      <c r="B67" s="12">
        <v>6</v>
      </c>
      <c r="C67" s="11">
        <v>1E-3</v>
      </c>
      <c r="D67" s="12">
        <v>7</v>
      </c>
      <c r="E67" s="11">
        <v>0</v>
      </c>
      <c r="F67" s="12">
        <v>864</v>
      </c>
      <c r="G67" s="11">
        <v>0</v>
      </c>
      <c r="H67" s="11">
        <v>0.13700000000000001</v>
      </c>
      <c r="I67" s="10">
        <v>603000</v>
      </c>
      <c r="J67" s="12" t="s">
        <v>4253</v>
      </c>
      <c r="K67" s="12">
        <v>118</v>
      </c>
      <c r="L67" s="12" t="s">
        <v>4254</v>
      </c>
      <c r="M67" s="10">
        <v>1164286619</v>
      </c>
      <c r="N67" s="10">
        <v>139830</v>
      </c>
      <c r="O67" s="12">
        <v>58</v>
      </c>
    </row>
    <row r="68" spans="1:15" ht="27" x14ac:dyDescent="0.3">
      <c r="A68" s="9">
        <v>43552</v>
      </c>
      <c r="B68" s="12">
        <v>5</v>
      </c>
      <c r="C68" s="11">
        <v>1E-3</v>
      </c>
      <c r="D68" s="12">
        <v>7</v>
      </c>
      <c r="E68" s="11">
        <v>0</v>
      </c>
      <c r="F68" s="12">
        <v>653</v>
      </c>
      <c r="G68" s="11">
        <v>0</v>
      </c>
      <c r="H68" s="11">
        <v>6.0999999999999999E-2</v>
      </c>
      <c r="I68" s="10">
        <v>305000</v>
      </c>
      <c r="J68" s="12" t="s">
        <v>4255</v>
      </c>
      <c r="K68" s="12">
        <v>40</v>
      </c>
      <c r="L68" s="12" t="s">
        <v>4256</v>
      </c>
      <c r="M68" s="10">
        <v>1164591619</v>
      </c>
      <c r="N68" s="10">
        <v>139870</v>
      </c>
      <c r="O68" s="12">
        <v>72</v>
      </c>
    </row>
    <row r="69" spans="1:15" ht="27" x14ac:dyDescent="0.3">
      <c r="A69" s="9">
        <v>43553</v>
      </c>
      <c r="B69" s="12">
        <v>8</v>
      </c>
      <c r="C69" s="11">
        <v>1E-3</v>
      </c>
      <c r="D69" s="12">
        <v>10</v>
      </c>
      <c r="E69" s="11">
        <v>1E-3</v>
      </c>
      <c r="F69" s="10">
        <v>1036</v>
      </c>
      <c r="G69" s="11">
        <v>0</v>
      </c>
      <c r="H69" s="11">
        <v>0.20799999999999999</v>
      </c>
      <c r="I69" s="10">
        <v>1745000</v>
      </c>
      <c r="J69" s="12" t="s">
        <v>4257</v>
      </c>
      <c r="K69" s="12">
        <v>215</v>
      </c>
      <c r="L69" s="12" t="s">
        <v>4258</v>
      </c>
      <c r="M69" s="10">
        <v>1166336619</v>
      </c>
      <c r="N69" s="10">
        <v>140085</v>
      </c>
      <c r="O69" s="12">
        <v>31</v>
      </c>
    </row>
    <row r="70" spans="1:15" ht="27" x14ac:dyDescent="0.3">
      <c r="A70" s="9">
        <v>43554</v>
      </c>
      <c r="B70" s="12">
        <v>8</v>
      </c>
      <c r="C70" s="11">
        <v>1E-3</v>
      </c>
      <c r="D70" s="12">
        <v>10</v>
      </c>
      <c r="E70" s="11">
        <v>1E-3</v>
      </c>
      <c r="F70" s="12">
        <v>904</v>
      </c>
      <c r="G70" s="11">
        <v>0</v>
      </c>
      <c r="H70" s="11">
        <v>0.22800000000000001</v>
      </c>
      <c r="I70" s="10">
        <v>1582000</v>
      </c>
      <c r="J70" s="12" t="s">
        <v>4259</v>
      </c>
      <c r="K70" s="12">
        <v>206</v>
      </c>
      <c r="L70" s="12" t="s">
        <v>4260</v>
      </c>
      <c r="M70" s="10">
        <v>1167918619</v>
      </c>
      <c r="N70" s="10">
        <v>140291</v>
      </c>
      <c r="O70" s="12">
        <v>36</v>
      </c>
    </row>
    <row r="71" spans="1:15" ht="27" x14ac:dyDescent="0.3">
      <c r="A71" s="9">
        <v>43555</v>
      </c>
      <c r="B71" s="12">
        <v>6</v>
      </c>
      <c r="C71" s="11">
        <v>1E-3</v>
      </c>
      <c r="D71" s="12">
        <v>7</v>
      </c>
      <c r="E71" s="11">
        <v>0</v>
      </c>
      <c r="F71" s="12">
        <v>872</v>
      </c>
      <c r="G71" s="11">
        <v>0</v>
      </c>
      <c r="H71" s="11">
        <v>0.159</v>
      </c>
      <c r="I71" s="10">
        <v>1275000</v>
      </c>
      <c r="J71" s="12" t="s">
        <v>4261</v>
      </c>
      <c r="K71" s="12">
        <v>139</v>
      </c>
      <c r="L71" s="12" t="s">
        <v>4262</v>
      </c>
      <c r="M71" s="10">
        <v>1169193619</v>
      </c>
      <c r="N71" s="10">
        <v>140430</v>
      </c>
      <c r="O71" s="12">
        <v>42</v>
      </c>
    </row>
    <row r="72" spans="1:15" ht="27" x14ac:dyDescent="0.3">
      <c r="A72" s="9">
        <v>43556</v>
      </c>
      <c r="B72" s="12">
        <v>3</v>
      </c>
      <c r="C72" s="11">
        <v>1E-3</v>
      </c>
      <c r="D72" s="12">
        <v>4</v>
      </c>
      <c r="E72" s="11">
        <v>0</v>
      </c>
      <c r="F72" s="12">
        <v>226</v>
      </c>
      <c r="G72" s="11">
        <v>0</v>
      </c>
      <c r="H72" s="11">
        <v>0.13300000000000001</v>
      </c>
      <c r="I72" s="10">
        <v>209000</v>
      </c>
      <c r="J72" s="12" t="s">
        <v>4263</v>
      </c>
      <c r="K72" s="12">
        <v>30</v>
      </c>
      <c r="L72" s="12" t="s">
        <v>4264</v>
      </c>
      <c r="M72" s="10">
        <v>1169402619</v>
      </c>
      <c r="N72" s="10">
        <v>140460</v>
      </c>
      <c r="O72" s="12">
        <v>65</v>
      </c>
    </row>
    <row r="73" spans="1:15" ht="27" x14ac:dyDescent="0.3">
      <c r="A73" s="9">
        <v>43557</v>
      </c>
      <c r="B73" s="12">
        <v>3</v>
      </c>
      <c r="C73" s="11">
        <v>1E-3</v>
      </c>
      <c r="D73" s="12">
        <v>5</v>
      </c>
      <c r="E73" s="11">
        <v>0</v>
      </c>
      <c r="F73" s="12">
        <v>572</v>
      </c>
      <c r="G73" s="11">
        <v>0</v>
      </c>
      <c r="H73" s="11">
        <v>6.0999999999999999E-2</v>
      </c>
      <c r="I73" s="10">
        <v>266400</v>
      </c>
      <c r="J73" s="12" t="s">
        <v>4265</v>
      </c>
      <c r="K73" s="12">
        <v>35</v>
      </c>
      <c r="L73" s="12" t="s">
        <v>4266</v>
      </c>
      <c r="M73" s="10">
        <v>1169669019</v>
      </c>
      <c r="N73" s="10">
        <v>140495</v>
      </c>
      <c r="O73" s="12">
        <v>60</v>
      </c>
    </row>
    <row r="74" spans="1:15" ht="27" x14ac:dyDescent="0.3">
      <c r="A74" s="9">
        <v>43558</v>
      </c>
      <c r="B74" s="12">
        <v>4</v>
      </c>
      <c r="C74" s="11">
        <v>1E-3</v>
      </c>
      <c r="D74" s="12">
        <v>6</v>
      </c>
      <c r="E74" s="11">
        <v>0</v>
      </c>
      <c r="F74" s="12">
        <v>619</v>
      </c>
      <c r="G74" s="11">
        <v>0</v>
      </c>
      <c r="H74" s="11">
        <v>0.128</v>
      </c>
      <c r="I74" s="10">
        <v>499000</v>
      </c>
      <c r="J74" s="12" t="s">
        <v>4267</v>
      </c>
      <c r="K74" s="12">
        <v>79</v>
      </c>
      <c r="L74" s="12" t="s">
        <v>4268</v>
      </c>
      <c r="M74" s="10">
        <v>1170168019</v>
      </c>
      <c r="N74" s="10">
        <v>140574</v>
      </c>
      <c r="O74" s="12">
        <v>48</v>
      </c>
    </row>
    <row r="75" spans="1:15" ht="27" x14ac:dyDescent="0.3">
      <c r="A75" s="9">
        <v>43559</v>
      </c>
      <c r="B75" s="12">
        <v>3</v>
      </c>
      <c r="C75" s="11">
        <v>1E-3</v>
      </c>
      <c r="D75" s="12">
        <v>3</v>
      </c>
      <c r="E75" s="11">
        <v>0</v>
      </c>
      <c r="F75" s="12">
        <v>386</v>
      </c>
      <c r="G75" s="11">
        <v>0</v>
      </c>
      <c r="H75" s="11">
        <v>8.7999999999999995E-2</v>
      </c>
      <c r="I75" s="10">
        <v>242000</v>
      </c>
      <c r="J75" s="12" t="s">
        <v>4269</v>
      </c>
      <c r="K75" s="12">
        <v>34</v>
      </c>
      <c r="L75" s="12" t="s">
        <v>4270</v>
      </c>
      <c r="M75" s="10">
        <v>1170410019</v>
      </c>
      <c r="N75" s="10">
        <v>140608</v>
      </c>
      <c r="O75" s="12">
        <v>58</v>
      </c>
    </row>
    <row r="76" spans="1:15" ht="27" x14ac:dyDescent="0.3">
      <c r="A76" s="9">
        <v>43560</v>
      </c>
      <c r="B76" s="12">
        <v>2</v>
      </c>
      <c r="C76" s="11">
        <v>0</v>
      </c>
      <c r="D76" s="12">
        <v>3</v>
      </c>
      <c r="E76" s="11">
        <v>0</v>
      </c>
      <c r="F76" s="12">
        <v>188</v>
      </c>
      <c r="G76" s="11">
        <v>0</v>
      </c>
      <c r="H76" s="11">
        <v>0.122</v>
      </c>
      <c r="I76" s="10">
        <v>184000</v>
      </c>
      <c r="J76" s="12" t="s">
        <v>4271</v>
      </c>
      <c r="K76" s="12">
        <v>23</v>
      </c>
      <c r="L76" s="12" t="s">
        <v>4272</v>
      </c>
      <c r="M76" s="10">
        <v>1170594019</v>
      </c>
      <c r="N76" s="10">
        <v>140631</v>
      </c>
      <c r="O76" s="12">
        <v>72</v>
      </c>
    </row>
    <row r="77" spans="1:15" ht="27" x14ac:dyDescent="0.3">
      <c r="A77" s="9">
        <v>43561</v>
      </c>
      <c r="B77" s="12">
        <v>4</v>
      </c>
      <c r="C77" s="11">
        <v>1E-3</v>
      </c>
      <c r="D77" s="12">
        <v>4</v>
      </c>
      <c r="E77" s="11">
        <v>0</v>
      </c>
      <c r="F77" s="12">
        <v>256</v>
      </c>
      <c r="G77" s="11">
        <v>0</v>
      </c>
      <c r="H77" s="11">
        <v>0.20300000000000001</v>
      </c>
      <c r="I77" s="10">
        <v>460000</v>
      </c>
      <c r="J77" s="12" t="s">
        <v>4273</v>
      </c>
      <c r="K77" s="12">
        <v>52</v>
      </c>
      <c r="L77" s="12" t="s">
        <v>4274</v>
      </c>
      <c r="M77" s="10">
        <v>1171054019</v>
      </c>
      <c r="N77" s="10">
        <v>140683</v>
      </c>
      <c r="O77" s="12">
        <v>58</v>
      </c>
    </row>
    <row r="78" spans="1:15" ht="27" x14ac:dyDescent="0.3">
      <c r="A78" s="9">
        <v>43562</v>
      </c>
      <c r="B78" s="12">
        <v>5</v>
      </c>
      <c r="C78" s="11">
        <v>1E-3</v>
      </c>
      <c r="D78" s="12">
        <v>5</v>
      </c>
      <c r="E78" s="11">
        <v>0</v>
      </c>
      <c r="F78" s="12">
        <v>307</v>
      </c>
      <c r="G78" s="11">
        <v>0</v>
      </c>
      <c r="H78" s="11">
        <v>0.13700000000000001</v>
      </c>
      <c r="I78" s="10">
        <v>354000</v>
      </c>
      <c r="J78" s="12" t="s">
        <v>4275</v>
      </c>
      <c r="K78" s="12">
        <v>42</v>
      </c>
      <c r="L78" s="12" t="s">
        <v>4276</v>
      </c>
      <c r="M78" s="10">
        <v>1171408019</v>
      </c>
      <c r="N78" s="10">
        <v>140725</v>
      </c>
      <c r="O78" s="12">
        <v>52</v>
      </c>
    </row>
    <row r="79" spans="1:15" ht="27" x14ac:dyDescent="0.3">
      <c r="A79" s="9">
        <v>43563</v>
      </c>
      <c r="B79" s="12">
        <v>2</v>
      </c>
      <c r="C79" s="11">
        <v>0</v>
      </c>
      <c r="D79" s="12">
        <v>3</v>
      </c>
      <c r="E79" s="11">
        <v>0</v>
      </c>
      <c r="F79" s="12">
        <v>188</v>
      </c>
      <c r="G79" s="11">
        <v>0</v>
      </c>
      <c r="H79" s="11">
        <v>0.14899999999999999</v>
      </c>
      <c r="I79" s="10">
        <v>220000</v>
      </c>
      <c r="J79" s="12" t="s">
        <v>4277</v>
      </c>
      <c r="K79" s="12">
        <v>28</v>
      </c>
      <c r="L79" s="12" t="s">
        <v>4278</v>
      </c>
      <c r="M79" s="10">
        <v>1171628019</v>
      </c>
      <c r="N79" s="10">
        <v>140753</v>
      </c>
      <c r="O79" s="12">
        <v>55</v>
      </c>
    </row>
    <row r="80" spans="1:15" ht="27" x14ac:dyDescent="0.3">
      <c r="A80" s="9">
        <v>43564</v>
      </c>
      <c r="B80" s="12">
        <v>2</v>
      </c>
      <c r="C80" s="11">
        <v>0</v>
      </c>
      <c r="D80" s="12">
        <v>3</v>
      </c>
      <c r="E80" s="11">
        <v>0</v>
      </c>
      <c r="F80" s="12">
        <v>264</v>
      </c>
      <c r="G80" s="11">
        <v>0</v>
      </c>
      <c r="H80" s="11">
        <v>5.2999999999999999E-2</v>
      </c>
      <c r="I80" s="10">
        <v>104000</v>
      </c>
      <c r="J80" s="12" t="s">
        <v>4279</v>
      </c>
      <c r="K80" s="12">
        <v>14</v>
      </c>
      <c r="L80" s="12" t="s">
        <v>4280</v>
      </c>
      <c r="M80" s="10">
        <v>1171732019</v>
      </c>
      <c r="N80" s="10">
        <v>140767</v>
      </c>
      <c r="O80" s="12">
        <v>78</v>
      </c>
    </row>
    <row r="81" spans="1:15" ht="27" x14ac:dyDescent="0.3">
      <c r="A81" s="9">
        <v>43565</v>
      </c>
      <c r="B81" s="12">
        <v>4</v>
      </c>
      <c r="C81" s="11">
        <v>1E-3</v>
      </c>
      <c r="D81" s="12">
        <v>5</v>
      </c>
      <c r="E81" s="11">
        <v>0</v>
      </c>
      <c r="F81" s="12">
        <v>506</v>
      </c>
      <c r="G81" s="11">
        <v>0</v>
      </c>
      <c r="H81" s="11">
        <v>0.14599999999999999</v>
      </c>
      <c r="I81" s="10">
        <v>516000</v>
      </c>
      <c r="J81" s="12" t="s">
        <v>4281</v>
      </c>
      <c r="K81" s="12">
        <v>74</v>
      </c>
      <c r="L81" s="12" t="s">
        <v>4282</v>
      </c>
      <c r="M81" s="10">
        <v>1172248019</v>
      </c>
      <c r="N81" s="10">
        <v>140841</v>
      </c>
      <c r="O81" s="12">
        <v>46</v>
      </c>
    </row>
    <row r="82" spans="1:15" ht="27" x14ac:dyDescent="0.3">
      <c r="A82" s="9">
        <v>43566</v>
      </c>
      <c r="B82" s="12">
        <v>2</v>
      </c>
      <c r="C82" s="11">
        <v>0</v>
      </c>
      <c r="D82" s="12">
        <v>2</v>
      </c>
      <c r="E82" s="11">
        <v>0</v>
      </c>
      <c r="F82" s="12">
        <v>174</v>
      </c>
      <c r="G82" s="11">
        <v>0</v>
      </c>
      <c r="H82" s="11">
        <v>0.10299999999999999</v>
      </c>
      <c r="I82" s="10">
        <v>132000</v>
      </c>
      <c r="J82" s="12" t="s">
        <v>4283</v>
      </c>
      <c r="K82" s="12">
        <v>18</v>
      </c>
      <c r="L82" s="12" t="s">
        <v>4284</v>
      </c>
      <c r="M82" s="10">
        <v>1172380019</v>
      </c>
      <c r="N82" s="10">
        <v>140859</v>
      </c>
      <c r="O82" s="12">
        <v>76</v>
      </c>
    </row>
    <row r="83" spans="1:15" ht="27" x14ac:dyDescent="0.3">
      <c r="A83" s="9">
        <v>43567</v>
      </c>
      <c r="B83" s="12">
        <v>2</v>
      </c>
      <c r="C83" s="11">
        <v>0</v>
      </c>
      <c r="D83" s="12">
        <v>2</v>
      </c>
      <c r="E83" s="11">
        <v>0</v>
      </c>
      <c r="F83" s="12">
        <v>136</v>
      </c>
      <c r="G83" s="11">
        <v>0</v>
      </c>
      <c r="H83" s="11">
        <v>9.6000000000000002E-2</v>
      </c>
      <c r="I83" s="10">
        <v>86000</v>
      </c>
      <c r="J83" s="12" t="s">
        <v>4285</v>
      </c>
      <c r="K83" s="12">
        <v>13</v>
      </c>
      <c r="L83" s="12" t="s">
        <v>4286</v>
      </c>
      <c r="M83" s="10">
        <v>1172466019</v>
      </c>
      <c r="N83" s="10">
        <v>140872</v>
      </c>
      <c r="O83" s="12">
        <v>83</v>
      </c>
    </row>
    <row r="84" spans="1:15" ht="27" x14ac:dyDescent="0.3">
      <c r="A84" s="9">
        <v>43568</v>
      </c>
      <c r="B84" s="12">
        <v>3</v>
      </c>
      <c r="C84" s="11">
        <v>0</v>
      </c>
      <c r="D84" s="12">
        <v>3</v>
      </c>
      <c r="E84" s="11">
        <v>0</v>
      </c>
      <c r="F84" s="12">
        <v>226</v>
      </c>
      <c r="G84" s="11">
        <v>0</v>
      </c>
      <c r="H84" s="11">
        <v>0.155</v>
      </c>
      <c r="I84" s="10">
        <v>254000</v>
      </c>
      <c r="J84" s="12" t="s">
        <v>4287</v>
      </c>
      <c r="K84" s="12">
        <v>35</v>
      </c>
      <c r="L84" s="12" t="s">
        <v>4288</v>
      </c>
      <c r="M84" s="10">
        <v>1172720019</v>
      </c>
      <c r="N84" s="10">
        <v>140907</v>
      </c>
      <c r="O84" s="12">
        <v>67</v>
      </c>
    </row>
    <row r="85" spans="1:15" ht="27" x14ac:dyDescent="0.3">
      <c r="A85" s="9">
        <v>43569</v>
      </c>
      <c r="B85" s="12">
        <v>3</v>
      </c>
      <c r="C85" s="11">
        <v>0</v>
      </c>
      <c r="D85" s="12">
        <v>3</v>
      </c>
      <c r="E85" s="11">
        <v>0</v>
      </c>
      <c r="F85" s="12">
        <v>226</v>
      </c>
      <c r="G85" s="11">
        <v>0</v>
      </c>
      <c r="H85" s="11">
        <v>0.23499999999999999</v>
      </c>
      <c r="I85" s="10">
        <v>455000</v>
      </c>
      <c r="J85" s="12" t="s">
        <v>4289</v>
      </c>
      <c r="K85" s="12">
        <v>53</v>
      </c>
      <c r="L85" s="12" t="s">
        <v>4290</v>
      </c>
      <c r="M85" s="10">
        <v>1173175019</v>
      </c>
      <c r="N85" s="10">
        <v>140960</v>
      </c>
      <c r="O85" s="12">
        <v>57</v>
      </c>
    </row>
    <row r="86" spans="1:15" ht="27" x14ac:dyDescent="0.3">
      <c r="A86" s="9">
        <v>43570</v>
      </c>
      <c r="B86" s="12">
        <v>2</v>
      </c>
      <c r="C86" s="11">
        <v>0</v>
      </c>
      <c r="D86" s="12">
        <v>3</v>
      </c>
      <c r="E86" s="11">
        <v>0</v>
      </c>
      <c r="F86" s="12">
        <v>188</v>
      </c>
      <c r="G86" s="11">
        <v>0</v>
      </c>
      <c r="H86" s="11">
        <v>0.14899999999999999</v>
      </c>
      <c r="I86" s="10">
        <v>228000</v>
      </c>
      <c r="J86" s="12" t="s">
        <v>4291</v>
      </c>
      <c r="K86" s="12">
        <v>28</v>
      </c>
      <c r="L86" s="12" t="s">
        <v>4292</v>
      </c>
      <c r="M86" s="10">
        <v>1173403019</v>
      </c>
      <c r="N86" s="10">
        <v>140988</v>
      </c>
      <c r="O86" s="12">
        <v>58</v>
      </c>
    </row>
    <row r="87" spans="1:15" ht="27" x14ac:dyDescent="0.3">
      <c r="A87" s="9">
        <v>43571</v>
      </c>
      <c r="B87" s="12">
        <v>2</v>
      </c>
      <c r="C87" s="11">
        <v>0</v>
      </c>
      <c r="D87" s="12">
        <v>2</v>
      </c>
      <c r="E87" s="11">
        <v>0</v>
      </c>
      <c r="F87" s="12">
        <v>174</v>
      </c>
      <c r="G87" s="11">
        <v>0</v>
      </c>
      <c r="H87" s="11">
        <v>0.08</v>
      </c>
      <c r="I87" s="10">
        <v>115000</v>
      </c>
      <c r="J87" s="12" t="s">
        <v>4293</v>
      </c>
      <c r="K87" s="12">
        <v>14</v>
      </c>
      <c r="L87" s="12" t="s">
        <v>4280</v>
      </c>
      <c r="M87" s="10">
        <v>1173518019</v>
      </c>
      <c r="N87" s="10">
        <v>141002</v>
      </c>
      <c r="O87" s="12">
        <v>80</v>
      </c>
    </row>
    <row r="88" spans="1:15" ht="27" x14ac:dyDescent="0.3">
      <c r="A88" s="9">
        <v>43572</v>
      </c>
      <c r="B88" s="12">
        <v>2</v>
      </c>
      <c r="C88" s="11">
        <v>0</v>
      </c>
      <c r="D88" s="12">
        <v>2</v>
      </c>
      <c r="E88" s="11">
        <v>0</v>
      </c>
      <c r="F88" s="12">
        <v>136</v>
      </c>
      <c r="G88" s="11">
        <v>0</v>
      </c>
      <c r="H88" s="11">
        <v>0.11799999999999999</v>
      </c>
      <c r="I88" s="10">
        <v>120000</v>
      </c>
      <c r="J88" s="12" t="s">
        <v>4294</v>
      </c>
      <c r="K88" s="12">
        <v>16</v>
      </c>
      <c r="L88" s="12" t="s">
        <v>4295</v>
      </c>
      <c r="M88" s="10">
        <v>1173638019</v>
      </c>
      <c r="N88" s="10">
        <v>141018</v>
      </c>
      <c r="O88" s="12">
        <v>78</v>
      </c>
    </row>
    <row r="89" spans="1:15" ht="27" x14ac:dyDescent="0.3">
      <c r="A89" s="9">
        <v>43573</v>
      </c>
      <c r="B89" s="12">
        <v>2</v>
      </c>
      <c r="C89" s="11">
        <v>0</v>
      </c>
      <c r="D89" s="12">
        <v>2</v>
      </c>
      <c r="E89" s="11">
        <v>0</v>
      </c>
      <c r="F89" s="12">
        <v>136</v>
      </c>
      <c r="G89" s="11">
        <v>0</v>
      </c>
      <c r="H89" s="11">
        <v>0.125</v>
      </c>
      <c r="I89" s="10">
        <v>122000</v>
      </c>
      <c r="J89" s="12" t="s">
        <v>4296</v>
      </c>
      <c r="K89" s="12">
        <v>17</v>
      </c>
      <c r="L89" s="12" t="s">
        <v>4297</v>
      </c>
      <c r="M89" s="10">
        <v>1173760019</v>
      </c>
      <c r="N89" s="10">
        <v>141035</v>
      </c>
      <c r="O89" s="12">
        <v>88</v>
      </c>
    </row>
    <row r="90" spans="1:15" ht="27" x14ac:dyDescent="0.3">
      <c r="A90" s="9">
        <v>43574</v>
      </c>
      <c r="B90" s="12">
        <v>2</v>
      </c>
      <c r="C90" s="11">
        <v>0</v>
      </c>
      <c r="D90" s="12">
        <v>2</v>
      </c>
      <c r="E90" s="11">
        <v>0</v>
      </c>
      <c r="F90" s="12">
        <v>174</v>
      </c>
      <c r="G90" s="11">
        <v>0</v>
      </c>
      <c r="H90" s="11">
        <v>9.1999999999999998E-2</v>
      </c>
      <c r="I90" s="10">
        <v>136000</v>
      </c>
      <c r="J90" s="12" t="s">
        <v>4298</v>
      </c>
      <c r="K90" s="12">
        <v>16</v>
      </c>
      <c r="L90" s="12" t="s">
        <v>1295</v>
      </c>
      <c r="M90" s="10">
        <v>1173896019</v>
      </c>
      <c r="N90" s="10">
        <v>141051</v>
      </c>
      <c r="O90" s="12">
        <v>82</v>
      </c>
    </row>
    <row r="91" spans="1:15" ht="27" x14ac:dyDescent="0.3">
      <c r="A91" s="9">
        <v>43575</v>
      </c>
      <c r="B91" s="12">
        <v>3</v>
      </c>
      <c r="C91" s="11">
        <v>0</v>
      </c>
      <c r="D91" s="12">
        <v>3</v>
      </c>
      <c r="E91" s="11">
        <v>0</v>
      </c>
      <c r="F91" s="12">
        <v>226</v>
      </c>
      <c r="G91" s="11">
        <v>0</v>
      </c>
      <c r="H91" s="11">
        <v>0.10199999999999999</v>
      </c>
      <c r="I91" s="10">
        <v>203000</v>
      </c>
      <c r="J91" s="12" t="s">
        <v>4299</v>
      </c>
      <c r="K91" s="12">
        <v>23</v>
      </c>
      <c r="L91" s="12" t="s">
        <v>4300</v>
      </c>
      <c r="M91" s="10">
        <v>1174099019</v>
      </c>
      <c r="N91" s="10">
        <v>141074</v>
      </c>
      <c r="O91" s="12">
        <v>72</v>
      </c>
    </row>
    <row r="92" spans="1:15" ht="27" x14ac:dyDescent="0.3">
      <c r="A92" s="9">
        <v>43576</v>
      </c>
      <c r="B92" s="12">
        <v>2</v>
      </c>
      <c r="C92" s="11">
        <v>0</v>
      </c>
      <c r="D92" s="12">
        <v>2</v>
      </c>
      <c r="E92" s="11">
        <v>0</v>
      </c>
      <c r="F92" s="12">
        <v>136</v>
      </c>
      <c r="G92" s="11">
        <v>0</v>
      </c>
      <c r="H92" s="11">
        <v>0.30099999999999999</v>
      </c>
      <c r="I92" s="10">
        <v>351000</v>
      </c>
      <c r="J92" s="12" t="s">
        <v>4301</v>
      </c>
      <c r="K92" s="12">
        <v>41</v>
      </c>
      <c r="L92" s="12" t="s">
        <v>4302</v>
      </c>
      <c r="M92" s="10">
        <v>1174450019</v>
      </c>
      <c r="N92" s="10">
        <v>141115</v>
      </c>
      <c r="O92" s="12">
        <v>63</v>
      </c>
    </row>
    <row r="93" spans="1:15" ht="27" x14ac:dyDescent="0.3">
      <c r="A93" s="9">
        <v>43577</v>
      </c>
      <c r="B93" s="12">
        <v>2</v>
      </c>
      <c r="C93" s="11">
        <v>0</v>
      </c>
      <c r="D93" s="12">
        <v>2</v>
      </c>
      <c r="E93" s="11">
        <v>0</v>
      </c>
      <c r="F93" s="12">
        <v>136</v>
      </c>
      <c r="G93" s="11">
        <v>0</v>
      </c>
      <c r="H93" s="11">
        <v>4.3999999999999997E-2</v>
      </c>
      <c r="I93" s="10">
        <v>46000</v>
      </c>
      <c r="J93" s="12" t="s">
        <v>4303</v>
      </c>
      <c r="K93" s="12">
        <v>6</v>
      </c>
      <c r="L93" s="12" t="s">
        <v>4304</v>
      </c>
      <c r="M93" s="10">
        <v>1174496019</v>
      </c>
      <c r="N93" s="10">
        <v>141121</v>
      </c>
      <c r="O93" s="12">
        <v>87</v>
      </c>
    </row>
    <row r="94" spans="1:15" ht="27" x14ac:dyDescent="0.3">
      <c r="A94" s="9">
        <v>43578</v>
      </c>
      <c r="B94" s="12">
        <v>2</v>
      </c>
      <c r="C94" s="11">
        <v>0</v>
      </c>
      <c r="D94" s="12">
        <v>2</v>
      </c>
      <c r="E94" s="11">
        <v>0</v>
      </c>
      <c r="F94" s="12">
        <v>174</v>
      </c>
      <c r="G94" s="11">
        <v>0</v>
      </c>
      <c r="H94" s="11">
        <v>0.161</v>
      </c>
      <c r="I94" s="10">
        <v>216000</v>
      </c>
      <c r="J94" s="12" t="s">
        <v>4305</v>
      </c>
      <c r="K94" s="12">
        <v>28</v>
      </c>
      <c r="L94" s="12" t="s">
        <v>4306</v>
      </c>
      <c r="M94" s="10">
        <v>1174712019</v>
      </c>
      <c r="N94" s="10">
        <v>141149</v>
      </c>
      <c r="O94" s="12">
        <v>70</v>
      </c>
    </row>
    <row r="95" spans="1:15" ht="27" x14ac:dyDescent="0.3">
      <c r="A95" s="9">
        <v>43579</v>
      </c>
      <c r="B95" s="12">
        <v>1</v>
      </c>
      <c r="C95" s="11">
        <v>0</v>
      </c>
      <c r="D95" s="12">
        <v>1</v>
      </c>
      <c r="E95" s="11">
        <v>0</v>
      </c>
      <c r="F95" s="12">
        <v>405</v>
      </c>
      <c r="G95" s="11">
        <v>0</v>
      </c>
      <c r="H95" s="11">
        <v>0.02</v>
      </c>
      <c r="I95" s="10">
        <v>48000</v>
      </c>
      <c r="J95" s="12" t="s">
        <v>4307</v>
      </c>
      <c r="K95" s="12">
        <v>8</v>
      </c>
      <c r="L95" s="12" t="s">
        <v>4308</v>
      </c>
      <c r="M95" s="10">
        <v>1174760019</v>
      </c>
      <c r="N95" s="10">
        <v>141157</v>
      </c>
      <c r="O95" s="12">
        <v>86</v>
      </c>
    </row>
    <row r="96" spans="1:15" ht="27" x14ac:dyDescent="0.3">
      <c r="A96" s="9">
        <v>43580</v>
      </c>
      <c r="B96" s="12">
        <v>2</v>
      </c>
      <c r="C96" s="11">
        <v>0</v>
      </c>
      <c r="D96" s="12">
        <v>2</v>
      </c>
      <c r="E96" s="11">
        <v>0</v>
      </c>
      <c r="F96" s="12">
        <v>408</v>
      </c>
      <c r="G96" s="11">
        <v>0</v>
      </c>
      <c r="H96" s="11">
        <v>0.79900000000000004</v>
      </c>
      <c r="I96" s="10">
        <v>1978000</v>
      </c>
      <c r="J96" s="12" t="s">
        <v>4309</v>
      </c>
      <c r="K96" s="12">
        <v>326</v>
      </c>
      <c r="L96" s="12" t="s">
        <v>4310</v>
      </c>
      <c r="M96" s="10">
        <v>1176738019</v>
      </c>
      <c r="N96" s="10">
        <v>141483</v>
      </c>
      <c r="O96" s="12">
        <v>21</v>
      </c>
    </row>
    <row r="97" spans="1:15" ht="27" x14ac:dyDescent="0.3">
      <c r="A97" s="9">
        <v>43581</v>
      </c>
      <c r="B97" s="12">
        <v>1</v>
      </c>
      <c r="C97" s="11">
        <v>0</v>
      </c>
      <c r="D97" s="12">
        <v>1</v>
      </c>
      <c r="E97" s="11">
        <v>0</v>
      </c>
      <c r="F97" s="12">
        <v>52</v>
      </c>
      <c r="G97" s="11">
        <v>0</v>
      </c>
      <c r="H97" s="11">
        <v>0.13500000000000001</v>
      </c>
      <c r="I97" s="10">
        <v>60000</v>
      </c>
      <c r="J97" s="12" t="s">
        <v>4311</v>
      </c>
      <c r="K97" s="12">
        <v>7</v>
      </c>
      <c r="L97" s="12" t="s">
        <v>4312</v>
      </c>
      <c r="M97" s="10">
        <v>1176798019</v>
      </c>
      <c r="N97" s="10">
        <v>141490</v>
      </c>
      <c r="O97" s="12">
        <v>82</v>
      </c>
    </row>
    <row r="98" spans="1:15" ht="27" x14ac:dyDescent="0.3">
      <c r="A98" s="9">
        <v>43582</v>
      </c>
      <c r="B98" s="12">
        <v>2</v>
      </c>
      <c r="C98" s="11">
        <v>0</v>
      </c>
      <c r="D98" s="12">
        <v>2</v>
      </c>
      <c r="E98" s="11">
        <v>0</v>
      </c>
      <c r="F98" s="12">
        <v>142</v>
      </c>
      <c r="G98" s="11">
        <v>0</v>
      </c>
      <c r="H98" s="11">
        <v>0.29599999999999999</v>
      </c>
      <c r="I98" s="10">
        <v>352000</v>
      </c>
      <c r="J98" s="12" t="s">
        <v>4313</v>
      </c>
      <c r="K98" s="12">
        <v>42</v>
      </c>
      <c r="L98" s="12" t="s">
        <v>4314</v>
      </c>
      <c r="M98" s="10">
        <v>1177150019</v>
      </c>
      <c r="N98" s="10">
        <v>141532</v>
      </c>
      <c r="O98" s="12">
        <v>68</v>
      </c>
    </row>
    <row r="99" spans="1:15" ht="27" x14ac:dyDescent="0.3">
      <c r="A99" s="9">
        <v>43583</v>
      </c>
      <c r="B99" s="12">
        <v>1</v>
      </c>
      <c r="C99" s="11">
        <v>0</v>
      </c>
      <c r="D99" s="12">
        <v>1</v>
      </c>
      <c r="E99" s="11">
        <v>0</v>
      </c>
      <c r="F99" s="12">
        <v>52</v>
      </c>
      <c r="G99" s="11">
        <v>0</v>
      </c>
      <c r="H99" s="11">
        <v>0.25</v>
      </c>
      <c r="I99" s="10">
        <v>117000</v>
      </c>
      <c r="J99" s="12" t="s">
        <v>4315</v>
      </c>
      <c r="K99" s="12">
        <v>13</v>
      </c>
      <c r="L99" s="12" t="s">
        <v>4316</v>
      </c>
      <c r="M99" s="10">
        <v>1177267019</v>
      </c>
      <c r="N99" s="10">
        <v>141545</v>
      </c>
      <c r="O99" s="12">
        <v>76</v>
      </c>
    </row>
    <row r="100" spans="1:15" ht="27" x14ac:dyDescent="0.3">
      <c r="A100" s="9">
        <v>43585</v>
      </c>
      <c r="B100" s="12">
        <v>1</v>
      </c>
      <c r="C100" s="11">
        <v>0</v>
      </c>
      <c r="D100" s="12">
        <v>1</v>
      </c>
      <c r="E100" s="11">
        <v>0</v>
      </c>
      <c r="F100" s="12">
        <v>52</v>
      </c>
      <c r="G100" s="11">
        <v>0</v>
      </c>
      <c r="H100" s="11">
        <v>9.6000000000000002E-2</v>
      </c>
      <c r="I100" s="10">
        <v>30000</v>
      </c>
      <c r="J100" s="12" t="s">
        <v>4317</v>
      </c>
      <c r="K100" s="12">
        <v>5</v>
      </c>
      <c r="L100" s="12" t="s">
        <v>1395</v>
      </c>
      <c r="M100" s="10">
        <v>1177297019</v>
      </c>
      <c r="N100" s="10">
        <v>141550</v>
      </c>
      <c r="O100" s="12">
        <v>103</v>
      </c>
    </row>
    <row r="101" spans="1:15" ht="27" x14ac:dyDescent="0.3">
      <c r="A101" s="9">
        <v>43586</v>
      </c>
      <c r="B101" s="12">
        <v>1</v>
      </c>
      <c r="C101" s="11">
        <v>0</v>
      </c>
      <c r="D101" s="12">
        <v>1</v>
      </c>
      <c r="E101" s="11">
        <v>0</v>
      </c>
      <c r="F101" s="12">
        <v>52</v>
      </c>
      <c r="G101" s="11">
        <v>0</v>
      </c>
      <c r="H101" s="11">
        <v>0.23100000000000001</v>
      </c>
      <c r="I101" s="10">
        <v>108000</v>
      </c>
      <c r="J101" s="12" t="s">
        <v>4318</v>
      </c>
      <c r="K101" s="12">
        <v>12</v>
      </c>
      <c r="L101" s="12" t="s">
        <v>4319</v>
      </c>
      <c r="M101" s="10">
        <v>1177405019</v>
      </c>
      <c r="N101" s="10">
        <v>141562</v>
      </c>
      <c r="O101" s="12">
        <v>90</v>
      </c>
    </row>
    <row r="102" spans="1:15" ht="27" x14ac:dyDescent="0.3">
      <c r="A102" s="9">
        <v>43587</v>
      </c>
      <c r="B102" s="12">
        <v>1</v>
      </c>
      <c r="C102" s="11">
        <v>0</v>
      </c>
      <c r="D102" s="12">
        <v>1</v>
      </c>
      <c r="E102" s="11">
        <v>0</v>
      </c>
      <c r="F102" s="12">
        <v>52</v>
      </c>
      <c r="G102" s="11">
        <v>0</v>
      </c>
      <c r="H102" s="11">
        <v>0.115</v>
      </c>
      <c r="I102" s="10">
        <v>54000</v>
      </c>
      <c r="J102" s="12" t="s">
        <v>4320</v>
      </c>
      <c r="K102" s="12">
        <v>6</v>
      </c>
      <c r="L102" s="12" t="s">
        <v>1310</v>
      </c>
      <c r="M102" s="10">
        <v>1177459019</v>
      </c>
      <c r="N102" s="10">
        <v>141568</v>
      </c>
      <c r="O102" s="12">
        <v>80</v>
      </c>
    </row>
    <row r="103" spans="1:15" x14ac:dyDescent="0.3">
      <c r="A103" s="9">
        <v>43588</v>
      </c>
      <c r="B103" s="12">
        <v>1</v>
      </c>
      <c r="C103" s="11">
        <v>0</v>
      </c>
      <c r="D103" s="12">
        <v>1</v>
      </c>
      <c r="E103" s="11">
        <v>0</v>
      </c>
      <c r="F103" s="12">
        <v>52</v>
      </c>
      <c r="G103" s="11">
        <v>0</v>
      </c>
      <c r="H103" s="11">
        <v>0.115</v>
      </c>
      <c r="I103" s="10">
        <v>54000</v>
      </c>
      <c r="J103" s="12" t="s">
        <v>292</v>
      </c>
      <c r="K103" s="12">
        <v>6</v>
      </c>
      <c r="L103" s="12" t="s">
        <v>292</v>
      </c>
      <c r="M103" s="10">
        <v>1177513019</v>
      </c>
      <c r="N103" s="10">
        <v>141574</v>
      </c>
      <c r="O103" s="12">
        <v>78</v>
      </c>
    </row>
    <row r="104" spans="1:15" ht="27" x14ac:dyDescent="0.3">
      <c r="A104" s="9">
        <v>43589</v>
      </c>
      <c r="B104" s="12">
        <v>1</v>
      </c>
      <c r="C104" s="11">
        <v>0</v>
      </c>
      <c r="D104" s="12">
        <v>1</v>
      </c>
      <c r="E104" s="11">
        <v>0</v>
      </c>
      <c r="F104" s="12">
        <v>52</v>
      </c>
      <c r="G104" s="11">
        <v>0</v>
      </c>
      <c r="H104" s="11">
        <v>0.23100000000000001</v>
      </c>
      <c r="I104" s="10">
        <v>108000</v>
      </c>
      <c r="J104" s="12" t="s">
        <v>3557</v>
      </c>
      <c r="K104" s="12">
        <v>12</v>
      </c>
      <c r="L104" s="12" t="s">
        <v>2341</v>
      </c>
      <c r="M104" s="10">
        <v>1177621019</v>
      </c>
      <c r="N104" s="10">
        <v>141586</v>
      </c>
      <c r="O104" s="12">
        <v>76</v>
      </c>
    </row>
    <row r="105" spans="1:15" ht="27" x14ac:dyDescent="0.3">
      <c r="A105" s="9">
        <v>43590</v>
      </c>
      <c r="B105" s="12">
        <v>1</v>
      </c>
      <c r="C105" s="11">
        <v>0</v>
      </c>
      <c r="D105" s="12">
        <v>1</v>
      </c>
      <c r="E105" s="11">
        <v>0</v>
      </c>
      <c r="F105" s="12">
        <v>90</v>
      </c>
      <c r="G105" s="11">
        <v>0</v>
      </c>
      <c r="H105" s="11">
        <v>0.28899999999999998</v>
      </c>
      <c r="I105" s="10">
        <v>232000</v>
      </c>
      <c r="J105" s="12" t="s">
        <v>4321</v>
      </c>
      <c r="K105" s="12">
        <v>26</v>
      </c>
      <c r="L105" s="12" t="s">
        <v>4322</v>
      </c>
      <c r="M105" s="10">
        <v>1177853019</v>
      </c>
      <c r="N105" s="10">
        <v>141612</v>
      </c>
      <c r="O105" s="12">
        <v>59</v>
      </c>
    </row>
    <row r="106" spans="1:15" ht="27" x14ac:dyDescent="0.3">
      <c r="A106" s="9">
        <v>43591</v>
      </c>
      <c r="B106" s="12">
        <v>2</v>
      </c>
      <c r="C106" s="11">
        <v>0</v>
      </c>
      <c r="D106" s="12">
        <v>2</v>
      </c>
      <c r="E106" s="11">
        <v>0</v>
      </c>
      <c r="F106" s="12">
        <v>103</v>
      </c>
      <c r="G106" s="11">
        <v>0</v>
      </c>
      <c r="H106" s="11">
        <v>0.44700000000000001</v>
      </c>
      <c r="I106" s="10">
        <v>393000</v>
      </c>
      <c r="J106" s="12" t="s">
        <v>4323</v>
      </c>
      <c r="K106" s="12">
        <v>46</v>
      </c>
      <c r="L106" s="12" t="s">
        <v>4324</v>
      </c>
      <c r="M106" s="10">
        <v>1178246019</v>
      </c>
      <c r="N106" s="10">
        <v>141658</v>
      </c>
      <c r="O106" s="12">
        <v>54</v>
      </c>
    </row>
    <row r="107" spans="1:15" ht="27" x14ac:dyDescent="0.3">
      <c r="A107" s="9">
        <v>43593</v>
      </c>
      <c r="B107" s="12">
        <v>1</v>
      </c>
      <c r="C107" s="11">
        <v>0</v>
      </c>
      <c r="D107" s="12">
        <v>1</v>
      </c>
      <c r="E107" s="11">
        <v>0</v>
      </c>
      <c r="F107" s="12">
        <v>213</v>
      </c>
      <c r="G107" s="11">
        <v>0</v>
      </c>
      <c r="H107" s="11">
        <v>0.624</v>
      </c>
      <c r="I107" s="10">
        <v>665000</v>
      </c>
      <c r="J107" s="12" t="s">
        <v>4325</v>
      </c>
      <c r="K107" s="12">
        <v>133</v>
      </c>
      <c r="L107" s="12" t="s">
        <v>4326</v>
      </c>
      <c r="M107" s="10">
        <v>1178911019</v>
      </c>
      <c r="N107" s="10">
        <v>141791</v>
      </c>
      <c r="O107" s="12">
        <v>39</v>
      </c>
    </row>
    <row r="108" spans="1:15" ht="27" x14ac:dyDescent="0.3">
      <c r="A108" s="9">
        <v>43598</v>
      </c>
      <c r="B108" s="12">
        <v>2</v>
      </c>
      <c r="C108" s="11">
        <v>0</v>
      </c>
      <c r="D108" s="12">
        <v>2</v>
      </c>
      <c r="E108" s="11">
        <v>0</v>
      </c>
      <c r="F108" s="12">
        <v>133</v>
      </c>
      <c r="G108" s="11">
        <v>0</v>
      </c>
      <c r="H108" s="11">
        <v>0.65400000000000003</v>
      </c>
      <c r="I108" s="10">
        <v>621000</v>
      </c>
      <c r="J108" s="12" t="s">
        <v>4327</v>
      </c>
      <c r="K108" s="12">
        <v>87</v>
      </c>
      <c r="L108" s="12" t="s">
        <v>4328</v>
      </c>
      <c r="M108" s="10">
        <v>1179532019</v>
      </c>
      <c r="N108" s="10">
        <v>141878</v>
      </c>
      <c r="O108" s="12">
        <v>40</v>
      </c>
    </row>
    <row r="109" spans="1:15" ht="27" x14ac:dyDescent="0.3">
      <c r="A109" s="9">
        <v>43599</v>
      </c>
      <c r="B109" s="12">
        <v>2</v>
      </c>
      <c r="C109" s="11">
        <v>0</v>
      </c>
      <c r="D109" s="12">
        <v>2</v>
      </c>
      <c r="E109" s="11">
        <v>0</v>
      </c>
      <c r="F109" s="12">
        <v>142</v>
      </c>
      <c r="G109" s="11">
        <v>0</v>
      </c>
      <c r="H109" s="11">
        <v>0.23200000000000001</v>
      </c>
      <c r="I109" s="10">
        <v>198000</v>
      </c>
      <c r="J109" s="12" t="s">
        <v>4329</v>
      </c>
      <c r="K109" s="12">
        <v>33</v>
      </c>
      <c r="L109" s="12" t="s">
        <v>4330</v>
      </c>
      <c r="M109" s="10">
        <v>1179730019</v>
      </c>
      <c r="N109" s="10">
        <v>141911</v>
      </c>
      <c r="O109" s="12">
        <v>59</v>
      </c>
    </row>
    <row r="110" spans="1:15" ht="27" x14ac:dyDescent="0.3">
      <c r="A110" s="9">
        <v>43600</v>
      </c>
      <c r="B110" s="12">
        <v>1</v>
      </c>
      <c r="C110" s="11">
        <v>0</v>
      </c>
      <c r="D110" s="12">
        <v>1</v>
      </c>
      <c r="E110" s="11">
        <v>0</v>
      </c>
      <c r="F110" s="12">
        <v>52</v>
      </c>
      <c r="G110" s="11">
        <v>0</v>
      </c>
      <c r="H110" s="11">
        <v>0.21199999999999999</v>
      </c>
      <c r="I110" s="10">
        <v>96000</v>
      </c>
      <c r="J110" s="12" t="s">
        <v>4331</v>
      </c>
      <c r="K110" s="12">
        <v>11</v>
      </c>
      <c r="L110" s="12" t="s">
        <v>4332</v>
      </c>
      <c r="M110" s="10">
        <v>1179826019</v>
      </c>
      <c r="N110" s="10">
        <v>141922</v>
      </c>
      <c r="O110" s="12">
        <v>75</v>
      </c>
    </row>
    <row r="111" spans="1:15" ht="27" x14ac:dyDescent="0.3">
      <c r="A111" s="9">
        <v>43603</v>
      </c>
      <c r="B111" s="12">
        <v>1</v>
      </c>
      <c r="C111" s="11">
        <v>0</v>
      </c>
      <c r="D111" s="12">
        <v>1</v>
      </c>
      <c r="E111" s="11">
        <v>0</v>
      </c>
      <c r="F111" s="12">
        <v>90</v>
      </c>
      <c r="G111" s="11">
        <v>0</v>
      </c>
      <c r="H111" s="11">
        <v>0.44400000000000001</v>
      </c>
      <c r="I111" s="10">
        <v>280000</v>
      </c>
      <c r="J111" s="12" t="s">
        <v>4333</v>
      </c>
      <c r="K111" s="12">
        <v>40</v>
      </c>
      <c r="L111" s="12" t="s">
        <v>329</v>
      </c>
      <c r="M111" s="10">
        <v>1180106019</v>
      </c>
      <c r="N111" s="10">
        <v>141962</v>
      </c>
      <c r="O111" s="12">
        <v>57</v>
      </c>
    </row>
    <row r="112" spans="1:15" ht="27" x14ac:dyDescent="0.3">
      <c r="A112" s="9">
        <v>43604</v>
      </c>
      <c r="B112" s="12">
        <v>1</v>
      </c>
      <c r="C112" s="11">
        <v>0</v>
      </c>
      <c r="D112" s="12">
        <v>1</v>
      </c>
      <c r="E112" s="11">
        <v>0</v>
      </c>
      <c r="F112" s="12">
        <v>52</v>
      </c>
      <c r="G112" s="11">
        <v>0</v>
      </c>
      <c r="H112" s="11">
        <v>0.26900000000000002</v>
      </c>
      <c r="I112" s="10">
        <v>126000</v>
      </c>
      <c r="J112" s="12" t="s">
        <v>4334</v>
      </c>
      <c r="K112" s="12">
        <v>14</v>
      </c>
      <c r="L112" s="12" t="s">
        <v>4335</v>
      </c>
      <c r="M112" s="10">
        <v>1180232019</v>
      </c>
      <c r="N112" s="10">
        <v>141976</v>
      </c>
      <c r="O112" s="12">
        <v>63</v>
      </c>
    </row>
    <row r="113" spans="1:15" ht="27" x14ac:dyDescent="0.3">
      <c r="A113" s="9">
        <v>43605</v>
      </c>
      <c r="B113" s="12">
        <v>1</v>
      </c>
      <c r="C113" s="11">
        <v>0</v>
      </c>
      <c r="D113" s="12">
        <v>1</v>
      </c>
      <c r="E113" s="11">
        <v>0</v>
      </c>
      <c r="F113" s="12">
        <v>52</v>
      </c>
      <c r="G113" s="11">
        <v>0</v>
      </c>
      <c r="H113" s="11">
        <v>3.7999999999999999E-2</v>
      </c>
      <c r="I113" s="10">
        <v>18000</v>
      </c>
      <c r="J113" s="12" t="s">
        <v>4336</v>
      </c>
      <c r="K113" s="12">
        <v>2</v>
      </c>
      <c r="L113" s="12" t="s">
        <v>4337</v>
      </c>
      <c r="M113" s="10">
        <v>1180250019</v>
      </c>
      <c r="N113" s="10">
        <v>141978</v>
      </c>
      <c r="O113" s="12">
        <v>79</v>
      </c>
    </row>
    <row r="114" spans="1:15" ht="27" x14ac:dyDescent="0.3">
      <c r="A114" s="9">
        <v>43606</v>
      </c>
      <c r="B114" s="12">
        <v>1</v>
      </c>
      <c r="C114" s="11">
        <v>0</v>
      </c>
      <c r="D114" s="12">
        <v>1</v>
      </c>
      <c r="E114" s="11">
        <v>0</v>
      </c>
      <c r="F114" s="12">
        <v>52</v>
      </c>
      <c r="G114" s="11">
        <v>0</v>
      </c>
      <c r="H114" s="11">
        <v>0.154</v>
      </c>
      <c r="I114" s="10">
        <v>66000</v>
      </c>
      <c r="J114" s="12" t="s">
        <v>4338</v>
      </c>
      <c r="K114" s="12">
        <v>8</v>
      </c>
      <c r="L114" s="12" t="s">
        <v>3078</v>
      </c>
      <c r="M114" s="10">
        <v>1180316019</v>
      </c>
      <c r="N114" s="10">
        <v>141986</v>
      </c>
      <c r="O114" s="12">
        <v>76</v>
      </c>
    </row>
    <row r="115" spans="1:15" ht="27" x14ac:dyDescent="0.3">
      <c r="A115" s="9">
        <v>43607</v>
      </c>
      <c r="B115" s="12">
        <v>1</v>
      </c>
      <c r="C115" s="11">
        <v>0</v>
      </c>
      <c r="D115" s="12">
        <v>1</v>
      </c>
      <c r="E115" s="11">
        <v>0</v>
      </c>
      <c r="F115" s="12">
        <v>52</v>
      </c>
      <c r="G115" s="11">
        <v>0</v>
      </c>
      <c r="H115" s="11">
        <v>7.6999999999999999E-2</v>
      </c>
      <c r="I115" s="10">
        <v>36000</v>
      </c>
      <c r="J115" s="12" t="s">
        <v>4339</v>
      </c>
      <c r="K115" s="12">
        <v>4</v>
      </c>
      <c r="L115" s="12" t="s">
        <v>2303</v>
      </c>
      <c r="M115" s="10">
        <v>1180352019</v>
      </c>
      <c r="N115" s="10">
        <v>141990</v>
      </c>
      <c r="O115" s="12">
        <v>77</v>
      </c>
    </row>
    <row r="116" spans="1:15" ht="27" x14ac:dyDescent="0.3">
      <c r="A116" s="9">
        <v>43608</v>
      </c>
      <c r="B116" s="12">
        <v>1</v>
      </c>
      <c r="C116" s="11">
        <v>0</v>
      </c>
      <c r="D116" s="12">
        <v>1</v>
      </c>
      <c r="E116" s="11">
        <v>0</v>
      </c>
      <c r="F116" s="12">
        <v>52</v>
      </c>
      <c r="G116" s="11">
        <v>0</v>
      </c>
      <c r="H116" s="11">
        <v>7.6999999999999999E-2</v>
      </c>
      <c r="I116" s="10">
        <v>24000</v>
      </c>
      <c r="J116" s="12" t="s">
        <v>4340</v>
      </c>
      <c r="K116" s="12">
        <v>4</v>
      </c>
      <c r="L116" s="12" t="s">
        <v>292</v>
      </c>
      <c r="M116" s="10">
        <v>1180376019</v>
      </c>
      <c r="N116" s="10">
        <v>141994</v>
      </c>
      <c r="O116" s="12">
        <v>83</v>
      </c>
    </row>
    <row r="117" spans="1:15" ht="27" x14ac:dyDescent="0.3">
      <c r="A117" s="9">
        <v>43610</v>
      </c>
      <c r="B117" s="12">
        <v>1</v>
      </c>
      <c r="C117" s="11">
        <v>0</v>
      </c>
      <c r="D117" s="12">
        <v>1</v>
      </c>
      <c r="E117" s="11">
        <v>0</v>
      </c>
      <c r="F117" s="12">
        <v>52</v>
      </c>
      <c r="G117" s="11">
        <v>0</v>
      </c>
      <c r="H117" s="11">
        <v>0.42299999999999999</v>
      </c>
      <c r="I117" s="10">
        <v>197000</v>
      </c>
      <c r="J117" s="12" t="s">
        <v>4341</v>
      </c>
      <c r="K117" s="12">
        <v>22</v>
      </c>
      <c r="L117" s="12" t="s">
        <v>4342</v>
      </c>
      <c r="M117" s="10">
        <v>1180573019</v>
      </c>
      <c r="N117" s="10">
        <v>142016</v>
      </c>
      <c r="O117" s="12">
        <v>77</v>
      </c>
    </row>
    <row r="118" spans="1:15" ht="27" x14ac:dyDescent="0.3">
      <c r="A118" s="9">
        <v>43613</v>
      </c>
      <c r="B118" s="12">
        <v>1</v>
      </c>
      <c r="C118" s="11">
        <v>0</v>
      </c>
      <c r="D118" s="12">
        <v>1</v>
      </c>
      <c r="E118" s="11">
        <v>0</v>
      </c>
      <c r="F118" s="12">
        <v>52</v>
      </c>
      <c r="G118" s="11">
        <v>0</v>
      </c>
      <c r="H118" s="11">
        <v>0.34599999999999997</v>
      </c>
      <c r="I118" s="10">
        <v>159000</v>
      </c>
      <c r="J118" s="12" t="s">
        <v>4343</v>
      </c>
      <c r="K118" s="12">
        <v>18</v>
      </c>
      <c r="L118" s="12" t="s">
        <v>2519</v>
      </c>
      <c r="M118" s="10">
        <v>1180732019</v>
      </c>
      <c r="N118" s="10">
        <v>142034</v>
      </c>
      <c r="O118" s="12">
        <v>78</v>
      </c>
    </row>
    <row r="119" spans="1:15" ht="27" x14ac:dyDescent="0.3">
      <c r="A119" s="9">
        <v>43614</v>
      </c>
      <c r="B119" s="12">
        <v>1</v>
      </c>
      <c r="C119" s="11">
        <v>0</v>
      </c>
      <c r="D119" s="12">
        <v>1</v>
      </c>
      <c r="E119" s="11">
        <v>0</v>
      </c>
      <c r="F119" s="12">
        <v>52</v>
      </c>
      <c r="G119" s="11">
        <v>0</v>
      </c>
      <c r="H119" s="11">
        <v>3.7999999999999999E-2</v>
      </c>
      <c r="I119" s="10">
        <v>18000</v>
      </c>
      <c r="J119" s="12" t="s">
        <v>4344</v>
      </c>
      <c r="K119" s="12">
        <v>2</v>
      </c>
      <c r="L119" s="12" t="s">
        <v>4345</v>
      </c>
      <c r="M119" s="10">
        <v>1180750019</v>
      </c>
      <c r="N119" s="10">
        <v>142036</v>
      </c>
      <c r="O119" s="12">
        <v>96</v>
      </c>
    </row>
    <row r="120" spans="1:15" ht="27" x14ac:dyDescent="0.3">
      <c r="A120" s="9">
        <v>43615</v>
      </c>
      <c r="B120" s="12">
        <v>1</v>
      </c>
      <c r="C120" s="11">
        <v>0</v>
      </c>
      <c r="D120" s="12">
        <v>1</v>
      </c>
      <c r="E120" s="11">
        <v>0</v>
      </c>
      <c r="F120" s="12">
        <v>93</v>
      </c>
      <c r="G120" s="11">
        <v>0</v>
      </c>
      <c r="H120" s="11">
        <v>1</v>
      </c>
      <c r="I120" s="10">
        <v>837000</v>
      </c>
      <c r="J120" s="12" t="s">
        <v>4346</v>
      </c>
      <c r="K120" s="12">
        <v>93</v>
      </c>
      <c r="L120" s="12" t="s">
        <v>4347</v>
      </c>
      <c r="M120" s="10">
        <v>1181587019</v>
      </c>
      <c r="N120" s="10">
        <v>142129</v>
      </c>
      <c r="O120" s="12">
        <v>48</v>
      </c>
    </row>
    <row r="121" spans="1:15" ht="27" x14ac:dyDescent="0.3">
      <c r="A121" s="9">
        <v>43616</v>
      </c>
      <c r="B121" s="12">
        <v>1</v>
      </c>
      <c r="C121" s="11">
        <v>0</v>
      </c>
      <c r="D121" s="12">
        <v>1</v>
      </c>
      <c r="E121" s="11">
        <v>0</v>
      </c>
      <c r="F121" s="12">
        <v>52</v>
      </c>
      <c r="G121" s="11">
        <v>0</v>
      </c>
      <c r="H121" s="11">
        <v>1.9E-2</v>
      </c>
      <c r="I121" s="10">
        <v>6000</v>
      </c>
      <c r="J121" s="12" t="s">
        <v>4348</v>
      </c>
      <c r="K121" s="12">
        <v>1</v>
      </c>
      <c r="L121" s="12" t="s">
        <v>4349</v>
      </c>
      <c r="M121" s="10">
        <v>1181593019</v>
      </c>
      <c r="N121" s="10">
        <v>142130</v>
      </c>
      <c r="O121" s="12">
        <v>83</v>
      </c>
    </row>
    <row r="122" spans="1:15" ht="27" x14ac:dyDescent="0.3">
      <c r="A122" s="9">
        <v>43617</v>
      </c>
      <c r="B122" s="12">
        <v>1</v>
      </c>
      <c r="C122" s="11">
        <v>0</v>
      </c>
      <c r="D122" s="12">
        <v>1</v>
      </c>
      <c r="E122" s="11">
        <v>0</v>
      </c>
      <c r="F122" s="12">
        <v>52</v>
      </c>
      <c r="G122" s="11">
        <v>0</v>
      </c>
      <c r="H122" s="11">
        <v>3.7999999999999999E-2</v>
      </c>
      <c r="I122" s="10">
        <v>18000</v>
      </c>
      <c r="J122" s="12" t="s">
        <v>4350</v>
      </c>
      <c r="K122" s="12">
        <v>2</v>
      </c>
      <c r="L122" s="12" t="s">
        <v>312</v>
      </c>
      <c r="M122" s="10">
        <v>1181611019</v>
      </c>
      <c r="N122" s="10">
        <v>142132</v>
      </c>
      <c r="O122" s="12">
        <v>83</v>
      </c>
    </row>
    <row r="123" spans="1:15" ht="27" x14ac:dyDescent="0.3">
      <c r="A123" s="9">
        <v>43620</v>
      </c>
      <c r="B123" s="12">
        <v>1</v>
      </c>
      <c r="C123" s="11">
        <v>0</v>
      </c>
      <c r="D123" s="12">
        <v>1</v>
      </c>
      <c r="E123" s="11">
        <v>0</v>
      </c>
      <c r="F123" s="12">
        <v>52</v>
      </c>
      <c r="G123" s="11">
        <v>0</v>
      </c>
      <c r="H123" s="11">
        <v>9.6000000000000002E-2</v>
      </c>
      <c r="I123" s="10">
        <v>42000</v>
      </c>
      <c r="J123" s="12" t="s">
        <v>4351</v>
      </c>
      <c r="K123" s="12">
        <v>5</v>
      </c>
      <c r="L123" s="12" t="s">
        <v>1395</v>
      </c>
      <c r="M123" s="10">
        <v>1181653019</v>
      </c>
      <c r="N123" s="10">
        <v>142137</v>
      </c>
      <c r="O123" s="12">
        <v>82</v>
      </c>
    </row>
    <row r="124" spans="1:15" ht="27" x14ac:dyDescent="0.3">
      <c r="A124" s="9">
        <v>43622</v>
      </c>
      <c r="B124" s="12">
        <v>1</v>
      </c>
      <c r="C124" s="11">
        <v>0</v>
      </c>
      <c r="D124" s="12">
        <v>1</v>
      </c>
      <c r="E124" s="11">
        <v>0</v>
      </c>
      <c r="F124" s="12">
        <v>52</v>
      </c>
      <c r="G124" s="11">
        <v>0</v>
      </c>
      <c r="H124" s="11">
        <v>0.25</v>
      </c>
      <c r="I124" s="10">
        <v>78000</v>
      </c>
      <c r="J124" s="12" t="s">
        <v>4352</v>
      </c>
      <c r="K124" s="12">
        <v>13</v>
      </c>
      <c r="L124" s="12" t="s">
        <v>4353</v>
      </c>
      <c r="M124" s="10">
        <v>1181731019</v>
      </c>
      <c r="N124" s="10">
        <v>142150</v>
      </c>
      <c r="O124" s="12">
        <v>76</v>
      </c>
    </row>
    <row r="125" spans="1:15" ht="27" x14ac:dyDescent="0.3">
      <c r="A125" s="9">
        <v>43631</v>
      </c>
      <c r="B125" s="12">
        <v>2</v>
      </c>
      <c r="C125" s="11">
        <v>0</v>
      </c>
      <c r="D125" s="12">
        <v>2</v>
      </c>
      <c r="E125" s="11">
        <v>0</v>
      </c>
      <c r="F125" s="12">
        <v>230</v>
      </c>
      <c r="G125" s="11">
        <v>0</v>
      </c>
      <c r="H125" s="11">
        <v>1</v>
      </c>
      <c r="I125" s="10">
        <v>2070000</v>
      </c>
      <c r="J125" s="12" t="s">
        <v>4354</v>
      </c>
      <c r="K125" s="12">
        <v>230</v>
      </c>
      <c r="L125" s="12" t="s">
        <v>4355</v>
      </c>
      <c r="M125" s="10">
        <v>1183801019</v>
      </c>
      <c r="N125" s="10">
        <v>142380</v>
      </c>
      <c r="O125" s="12">
        <v>30</v>
      </c>
    </row>
    <row r="126" spans="1:15" ht="27" x14ac:dyDescent="0.3">
      <c r="A126" s="9">
        <v>43635</v>
      </c>
      <c r="B126" s="12">
        <v>1</v>
      </c>
      <c r="C126" s="11">
        <v>0</v>
      </c>
      <c r="D126" s="12">
        <v>1</v>
      </c>
      <c r="E126" s="11">
        <v>0</v>
      </c>
      <c r="F126" s="12">
        <v>186</v>
      </c>
      <c r="G126" s="11">
        <v>0</v>
      </c>
      <c r="H126" s="11">
        <v>0.71499999999999997</v>
      </c>
      <c r="I126" s="10">
        <v>798000</v>
      </c>
      <c r="J126" s="12" t="s">
        <v>4356</v>
      </c>
      <c r="K126" s="12">
        <v>133</v>
      </c>
      <c r="L126" s="12" t="s">
        <v>4326</v>
      </c>
      <c r="M126" s="10">
        <v>1184599019</v>
      </c>
      <c r="N126" s="10">
        <v>142513</v>
      </c>
      <c r="O126" s="12">
        <v>37</v>
      </c>
    </row>
    <row r="127" spans="1:15" ht="27" x14ac:dyDescent="0.3">
      <c r="A127" s="9">
        <v>43636</v>
      </c>
      <c r="B127" s="12">
        <v>1</v>
      </c>
      <c r="C127" s="11">
        <v>0</v>
      </c>
      <c r="D127" s="12">
        <v>1</v>
      </c>
      <c r="E127" s="11">
        <v>0</v>
      </c>
      <c r="F127" s="12">
        <v>186</v>
      </c>
      <c r="G127" s="11">
        <v>0</v>
      </c>
      <c r="H127" s="11">
        <v>0.82299999999999995</v>
      </c>
      <c r="I127" s="10">
        <v>918000</v>
      </c>
      <c r="J127" s="12" t="s">
        <v>4357</v>
      </c>
      <c r="K127" s="12">
        <v>153</v>
      </c>
      <c r="L127" s="12" t="s">
        <v>4358</v>
      </c>
      <c r="M127" s="10">
        <v>1185517019</v>
      </c>
      <c r="N127" s="10">
        <v>142666</v>
      </c>
      <c r="O127" s="12">
        <v>34</v>
      </c>
    </row>
    <row r="128" spans="1:15" ht="27" x14ac:dyDescent="0.3">
      <c r="A128" s="9">
        <v>43641</v>
      </c>
      <c r="B128" s="12">
        <v>1</v>
      </c>
      <c r="C128" s="11">
        <v>0</v>
      </c>
      <c r="D128" s="12">
        <v>1</v>
      </c>
      <c r="E128" s="11">
        <v>0</v>
      </c>
      <c r="F128" s="12">
        <v>52</v>
      </c>
      <c r="G128" s="11">
        <v>0</v>
      </c>
      <c r="H128" s="11">
        <v>0.115</v>
      </c>
      <c r="I128" s="10">
        <v>54000</v>
      </c>
      <c r="J128" s="12" t="s">
        <v>3557</v>
      </c>
      <c r="K128" s="12">
        <v>6</v>
      </c>
      <c r="L128" s="12" t="s">
        <v>2341</v>
      </c>
      <c r="M128" s="10">
        <v>1185571019</v>
      </c>
      <c r="N128" s="10">
        <v>142672</v>
      </c>
      <c r="O128" s="12">
        <v>92</v>
      </c>
    </row>
    <row r="129" spans="1:15" ht="27" x14ac:dyDescent="0.3">
      <c r="A129" s="9">
        <v>43643</v>
      </c>
      <c r="B129" s="12">
        <v>1</v>
      </c>
      <c r="C129" s="11">
        <v>0</v>
      </c>
      <c r="D129" s="12">
        <v>1</v>
      </c>
      <c r="E129" s="11">
        <v>0</v>
      </c>
      <c r="F129" s="12">
        <v>52</v>
      </c>
      <c r="G129" s="11">
        <v>0</v>
      </c>
      <c r="H129" s="11">
        <v>5.8000000000000003E-2</v>
      </c>
      <c r="I129" s="10">
        <v>27000</v>
      </c>
      <c r="J129" s="12" t="s">
        <v>4359</v>
      </c>
      <c r="K129" s="12">
        <v>3</v>
      </c>
      <c r="L129" s="12" t="s">
        <v>294</v>
      </c>
      <c r="M129" s="10">
        <v>1185598019</v>
      </c>
      <c r="N129" s="10">
        <v>142675</v>
      </c>
      <c r="O129" s="12">
        <v>85</v>
      </c>
    </row>
    <row r="130" spans="1:15" ht="27" x14ac:dyDescent="0.3">
      <c r="A130" s="9">
        <v>43645</v>
      </c>
      <c r="B130" s="12">
        <v>1</v>
      </c>
      <c r="C130" s="11">
        <v>0</v>
      </c>
      <c r="D130" s="12">
        <v>1</v>
      </c>
      <c r="E130" s="11">
        <v>0</v>
      </c>
      <c r="F130" s="12">
        <v>52</v>
      </c>
      <c r="G130" s="11">
        <v>0</v>
      </c>
      <c r="H130" s="11">
        <v>0.32700000000000001</v>
      </c>
      <c r="I130" s="10">
        <v>150000</v>
      </c>
      <c r="J130" s="12" t="s">
        <v>1400</v>
      </c>
      <c r="K130" s="12">
        <v>17</v>
      </c>
      <c r="L130" s="12" t="s">
        <v>1401</v>
      </c>
      <c r="M130" s="10">
        <v>1185748019</v>
      </c>
      <c r="N130" s="10">
        <v>142692</v>
      </c>
      <c r="O130" s="12">
        <v>81</v>
      </c>
    </row>
    <row r="131" spans="1:15" ht="27" x14ac:dyDescent="0.3">
      <c r="A131" s="9">
        <v>43649</v>
      </c>
      <c r="B131" s="12">
        <v>1</v>
      </c>
      <c r="C131" s="11">
        <v>0</v>
      </c>
      <c r="D131" s="12">
        <v>1</v>
      </c>
      <c r="E131" s="11">
        <v>0</v>
      </c>
      <c r="F131" s="12">
        <v>262</v>
      </c>
      <c r="G131" s="11">
        <v>0</v>
      </c>
      <c r="H131" s="11">
        <v>1.0999999999999999E-2</v>
      </c>
      <c r="I131" s="10">
        <v>3000</v>
      </c>
      <c r="J131" s="12" t="s">
        <v>4360</v>
      </c>
      <c r="K131" s="12">
        <v>3</v>
      </c>
      <c r="L131" s="12" t="s">
        <v>294</v>
      </c>
      <c r="M131" s="10">
        <v>1185751019</v>
      </c>
      <c r="N131" s="10">
        <v>142695</v>
      </c>
      <c r="O131" s="12">
        <v>82</v>
      </c>
    </row>
    <row r="132" spans="1:15" ht="27" x14ac:dyDescent="0.3">
      <c r="A132" s="9">
        <v>43652</v>
      </c>
      <c r="B132" s="12">
        <v>1</v>
      </c>
      <c r="C132" s="11">
        <v>0</v>
      </c>
      <c r="D132" s="12">
        <v>1</v>
      </c>
      <c r="E132" s="11">
        <v>0</v>
      </c>
      <c r="F132" s="12">
        <v>262</v>
      </c>
      <c r="G132" s="11">
        <v>0</v>
      </c>
      <c r="H132" s="11">
        <v>2.7E-2</v>
      </c>
      <c r="I132" s="10">
        <v>7000</v>
      </c>
      <c r="J132" s="12" t="s">
        <v>1411</v>
      </c>
      <c r="K132" s="12">
        <v>7</v>
      </c>
      <c r="L132" s="12" t="s">
        <v>314</v>
      </c>
      <c r="M132" s="10">
        <v>1185758019</v>
      </c>
      <c r="N132" s="10">
        <v>142702</v>
      </c>
      <c r="O132" s="12">
        <v>75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93D7B-70CD-490E-8F33-92245FB0BA29}">
  <dimension ref="A1:O39"/>
  <sheetViews>
    <sheetView workbookViewId="0">
      <selection activeCell="A5" sqref="A5:XFD7"/>
    </sheetView>
  </sheetViews>
  <sheetFormatPr defaultRowHeight="16.5" x14ac:dyDescent="0.3"/>
  <sheetData>
    <row r="1" spans="1:15" ht="19.5" x14ac:dyDescent="0.3">
      <c r="A1" s="197" t="s">
        <v>4361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43502</v>
      </c>
      <c r="B5" s="12">
        <v>442</v>
      </c>
      <c r="C5" s="11">
        <v>7.1999999999999995E-2</v>
      </c>
      <c r="D5" s="12">
        <v>675</v>
      </c>
      <c r="E5" s="11">
        <v>3.3000000000000002E-2</v>
      </c>
      <c r="F5" s="10">
        <v>81655</v>
      </c>
      <c r="G5" s="11">
        <v>2.5999999999999999E-2</v>
      </c>
      <c r="H5" s="11">
        <v>0.28199999999999997</v>
      </c>
      <c r="I5" s="10">
        <v>184113420</v>
      </c>
      <c r="J5" s="12" t="s">
        <v>4362</v>
      </c>
      <c r="K5" s="10">
        <v>23045</v>
      </c>
      <c r="L5" s="12" t="s">
        <v>4363</v>
      </c>
      <c r="M5" s="10">
        <v>208457420</v>
      </c>
      <c r="N5" s="10">
        <v>25574</v>
      </c>
      <c r="O5" s="12">
        <v>6</v>
      </c>
    </row>
    <row r="6" spans="1:15" ht="40.5" x14ac:dyDescent="0.3">
      <c r="A6" s="9">
        <v>43503</v>
      </c>
      <c r="B6" s="12">
        <v>408</v>
      </c>
      <c r="C6" s="11">
        <v>7.0000000000000007E-2</v>
      </c>
      <c r="D6" s="12">
        <v>603</v>
      </c>
      <c r="E6" s="11">
        <v>3.1E-2</v>
      </c>
      <c r="F6" s="10">
        <v>73032</v>
      </c>
      <c r="G6" s="11">
        <v>2.4E-2</v>
      </c>
      <c r="H6" s="11">
        <v>7.6999999999999999E-2</v>
      </c>
      <c r="I6" s="10">
        <v>39896560</v>
      </c>
      <c r="J6" s="12" t="s">
        <v>4364</v>
      </c>
      <c r="K6" s="10">
        <v>5639</v>
      </c>
      <c r="L6" s="12" t="s">
        <v>4365</v>
      </c>
      <c r="M6" s="10">
        <v>248353980</v>
      </c>
      <c r="N6" s="10">
        <v>31213</v>
      </c>
      <c r="O6" s="12">
        <v>6</v>
      </c>
    </row>
    <row r="7" spans="1:15" ht="27" x14ac:dyDescent="0.3">
      <c r="A7" s="9">
        <v>43504</v>
      </c>
      <c r="B7" s="12">
        <v>379</v>
      </c>
      <c r="C7" s="11">
        <v>6.5000000000000002E-2</v>
      </c>
      <c r="D7" s="12">
        <v>538</v>
      </c>
      <c r="E7" s="11">
        <v>2.8000000000000001E-2</v>
      </c>
      <c r="F7" s="10">
        <v>64927</v>
      </c>
      <c r="G7" s="11">
        <v>2.1000000000000001E-2</v>
      </c>
      <c r="H7" s="11">
        <v>8.5999999999999993E-2</v>
      </c>
      <c r="I7" s="10">
        <v>42776590</v>
      </c>
      <c r="J7" s="12" t="s">
        <v>4366</v>
      </c>
      <c r="K7" s="10">
        <v>5610</v>
      </c>
      <c r="L7" s="12" t="s">
        <v>4367</v>
      </c>
      <c r="M7" s="10">
        <v>291130570</v>
      </c>
      <c r="N7" s="10">
        <v>36823</v>
      </c>
      <c r="O7" s="12">
        <v>6</v>
      </c>
    </row>
    <row r="8" spans="1:15" ht="27" x14ac:dyDescent="0.3">
      <c r="A8" s="9">
        <v>43505</v>
      </c>
      <c r="B8" s="12">
        <v>414</v>
      </c>
      <c r="C8" s="11">
        <v>6.9000000000000006E-2</v>
      </c>
      <c r="D8" s="12">
        <v>563</v>
      </c>
      <c r="E8" s="11">
        <v>2.8000000000000001E-2</v>
      </c>
      <c r="F8" s="10">
        <v>65538</v>
      </c>
      <c r="G8" s="11">
        <v>2.1000000000000001E-2</v>
      </c>
      <c r="H8" s="11">
        <v>0.25900000000000001</v>
      </c>
      <c r="I8" s="10">
        <v>132910930</v>
      </c>
      <c r="J8" s="12" t="s">
        <v>4368</v>
      </c>
      <c r="K8" s="10">
        <v>16994</v>
      </c>
      <c r="L8" s="12" t="s">
        <v>4369</v>
      </c>
      <c r="M8" s="10">
        <v>424041500</v>
      </c>
      <c r="N8" s="10">
        <v>53817</v>
      </c>
      <c r="O8" s="12">
        <v>6</v>
      </c>
    </row>
    <row r="9" spans="1:15" ht="27" x14ac:dyDescent="0.3">
      <c r="A9" s="9">
        <v>43506</v>
      </c>
      <c r="B9" s="12">
        <v>403</v>
      </c>
      <c r="C9" s="11">
        <v>6.8000000000000005E-2</v>
      </c>
      <c r="D9" s="12">
        <v>533</v>
      </c>
      <c r="E9" s="11">
        <v>2.7E-2</v>
      </c>
      <c r="F9" s="10">
        <v>61506</v>
      </c>
      <c r="G9" s="11">
        <v>0.02</v>
      </c>
      <c r="H9" s="11">
        <v>0.28000000000000003</v>
      </c>
      <c r="I9" s="10">
        <v>134886460</v>
      </c>
      <c r="J9" s="12" t="s">
        <v>4370</v>
      </c>
      <c r="K9" s="10">
        <v>17213</v>
      </c>
      <c r="L9" s="12" t="s">
        <v>4371</v>
      </c>
      <c r="M9" s="10">
        <v>558927960</v>
      </c>
      <c r="N9" s="10">
        <v>71030</v>
      </c>
      <c r="O9" s="12">
        <v>6</v>
      </c>
    </row>
    <row r="10" spans="1:15" ht="40.5" x14ac:dyDescent="0.3">
      <c r="A10" s="9">
        <v>43507</v>
      </c>
      <c r="B10" s="12">
        <v>329</v>
      </c>
      <c r="C10" s="11">
        <v>6.2E-2</v>
      </c>
      <c r="D10" s="12">
        <v>410</v>
      </c>
      <c r="E10" s="11">
        <v>2.1999999999999999E-2</v>
      </c>
      <c r="F10" s="10">
        <v>48541</v>
      </c>
      <c r="G10" s="11">
        <v>1.7000000000000001E-2</v>
      </c>
      <c r="H10" s="11">
        <v>5.7000000000000002E-2</v>
      </c>
      <c r="I10" s="10">
        <v>19119260</v>
      </c>
      <c r="J10" s="12" t="s">
        <v>4372</v>
      </c>
      <c r="K10" s="10">
        <v>2764</v>
      </c>
      <c r="L10" s="12" t="s">
        <v>4373</v>
      </c>
      <c r="M10" s="10">
        <v>578047220</v>
      </c>
      <c r="N10" s="10">
        <v>73794</v>
      </c>
      <c r="O10" s="12">
        <v>6</v>
      </c>
    </row>
    <row r="11" spans="1:15" ht="27" x14ac:dyDescent="0.3">
      <c r="A11" s="9">
        <v>43508</v>
      </c>
      <c r="B11" s="12">
        <v>340</v>
      </c>
      <c r="C11" s="11">
        <v>6.0999999999999999E-2</v>
      </c>
      <c r="D11" s="12">
        <v>432</v>
      </c>
      <c r="E11" s="11">
        <v>2.3E-2</v>
      </c>
      <c r="F11" s="10">
        <v>51124</v>
      </c>
      <c r="G11" s="11">
        <v>1.7999999999999999E-2</v>
      </c>
      <c r="H11" s="11">
        <v>8.1000000000000003E-2</v>
      </c>
      <c r="I11" s="10">
        <v>27813050</v>
      </c>
      <c r="J11" s="12" t="s">
        <v>4374</v>
      </c>
      <c r="K11" s="10">
        <v>4116</v>
      </c>
      <c r="L11" s="12" t="s">
        <v>4375</v>
      </c>
      <c r="M11" s="10">
        <v>605860270</v>
      </c>
      <c r="N11" s="10">
        <v>77910</v>
      </c>
      <c r="O11" s="12">
        <v>7</v>
      </c>
    </row>
    <row r="12" spans="1:15" ht="27" x14ac:dyDescent="0.3">
      <c r="A12" s="9">
        <v>43509</v>
      </c>
      <c r="B12" s="12">
        <v>99</v>
      </c>
      <c r="C12" s="11">
        <v>1.9E-2</v>
      </c>
      <c r="D12" s="12">
        <v>119</v>
      </c>
      <c r="E12" s="11">
        <v>6.0000000000000001E-3</v>
      </c>
      <c r="F12" s="10">
        <v>13663</v>
      </c>
      <c r="G12" s="11">
        <v>5.0000000000000001E-3</v>
      </c>
      <c r="H12" s="11">
        <v>0.107</v>
      </c>
      <c r="I12" s="10">
        <v>9684710</v>
      </c>
      <c r="J12" s="12" t="s">
        <v>4376</v>
      </c>
      <c r="K12" s="10">
        <v>1457</v>
      </c>
      <c r="L12" s="12" t="s">
        <v>4377</v>
      </c>
      <c r="M12" s="10">
        <v>615544980</v>
      </c>
      <c r="N12" s="10">
        <v>79367</v>
      </c>
      <c r="O12" s="12">
        <v>11</v>
      </c>
    </row>
    <row r="13" spans="1:15" ht="27" x14ac:dyDescent="0.3">
      <c r="A13" s="9">
        <v>43510</v>
      </c>
      <c r="B13" s="12">
        <v>56</v>
      </c>
      <c r="C13" s="11">
        <v>8.9999999999999993E-3</v>
      </c>
      <c r="D13" s="12">
        <v>60</v>
      </c>
      <c r="E13" s="11">
        <v>3.0000000000000001E-3</v>
      </c>
      <c r="F13" s="10">
        <v>6399</v>
      </c>
      <c r="G13" s="11">
        <v>2E-3</v>
      </c>
      <c r="H13" s="11">
        <v>0.16400000000000001</v>
      </c>
      <c r="I13" s="10">
        <v>6559000</v>
      </c>
      <c r="J13" s="12" t="s">
        <v>4378</v>
      </c>
      <c r="K13" s="10">
        <v>1052</v>
      </c>
      <c r="L13" s="12" t="s">
        <v>4379</v>
      </c>
      <c r="M13" s="10">
        <v>622103980</v>
      </c>
      <c r="N13" s="10">
        <v>80419</v>
      </c>
      <c r="O13" s="12">
        <v>16</v>
      </c>
    </row>
    <row r="14" spans="1:15" ht="27" x14ac:dyDescent="0.3">
      <c r="A14" s="9">
        <v>43511</v>
      </c>
      <c r="B14" s="12">
        <v>55</v>
      </c>
      <c r="C14" s="11">
        <v>8.9999999999999993E-3</v>
      </c>
      <c r="D14" s="12">
        <v>59</v>
      </c>
      <c r="E14" s="11">
        <v>3.0000000000000001E-3</v>
      </c>
      <c r="F14" s="10">
        <v>6586</v>
      </c>
      <c r="G14" s="11">
        <v>2E-3</v>
      </c>
      <c r="H14" s="11">
        <v>0.15</v>
      </c>
      <c r="I14" s="10">
        <v>7019300</v>
      </c>
      <c r="J14" s="12" t="s">
        <v>4380</v>
      </c>
      <c r="K14" s="12">
        <v>987</v>
      </c>
      <c r="L14" s="12" t="s">
        <v>4381</v>
      </c>
      <c r="M14" s="10">
        <v>629123280</v>
      </c>
      <c r="N14" s="10">
        <v>81406</v>
      </c>
      <c r="O14" s="12">
        <v>17</v>
      </c>
    </row>
    <row r="15" spans="1:15" ht="27" x14ac:dyDescent="0.3">
      <c r="A15" s="9">
        <v>43512</v>
      </c>
      <c r="B15" s="12">
        <v>53</v>
      </c>
      <c r="C15" s="11">
        <v>8.0000000000000002E-3</v>
      </c>
      <c r="D15" s="12">
        <v>59</v>
      </c>
      <c r="E15" s="11">
        <v>3.0000000000000001E-3</v>
      </c>
      <c r="F15" s="10">
        <v>6323</v>
      </c>
      <c r="G15" s="11">
        <v>2E-3</v>
      </c>
      <c r="H15" s="11">
        <v>0.29399999999999998</v>
      </c>
      <c r="I15" s="10">
        <v>14525500</v>
      </c>
      <c r="J15" s="12" t="s">
        <v>4382</v>
      </c>
      <c r="K15" s="10">
        <v>1861</v>
      </c>
      <c r="L15" s="12" t="s">
        <v>4383</v>
      </c>
      <c r="M15" s="10">
        <v>643648780</v>
      </c>
      <c r="N15" s="10">
        <v>83267</v>
      </c>
      <c r="O15" s="12">
        <v>15</v>
      </c>
    </row>
    <row r="16" spans="1:15" ht="27" x14ac:dyDescent="0.3">
      <c r="A16" s="9">
        <v>43513</v>
      </c>
      <c r="B16" s="12">
        <v>52</v>
      </c>
      <c r="C16" s="11">
        <v>8.0000000000000002E-3</v>
      </c>
      <c r="D16" s="12">
        <v>58</v>
      </c>
      <c r="E16" s="11">
        <v>3.0000000000000001E-3</v>
      </c>
      <c r="F16" s="10">
        <v>6446</v>
      </c>
      <c r="G16" s="11">
        <v>2E-3</v>
      </c>
      <c r="H16" s="11">
        <v>0.315</v>
      </c>
      <c r="I16" s="10">
        <v>16074200</v>
      </c>
      <c r="J16" s="12" t="s">
        <v>4384</v>
      </c>
      <c r="K16" s="10">
        <v>2033</v>
      </c>
      <c r="L16" s="12" t="s">
        <v>4385</v>
      </c>
      <c r="M16" s="10">
        <v>659722980</v>
      </c>
      <c r="N16" s="10">
        <v>85300</v>
      </c>
      <c r="O16" s="12">
        <v>15</v>
      </c>
    </row>
    <row r="17" spans="1:15" ht="27" x14ac:dyDescent="0.3">
      <c r="A17" s="9">
        <v>43514</v>
      </c>
      <c r="B17" s="12">
        <v>38</v>
      </c>
      <c r="C17" s="11">
        <v>6.0000000000000001E-3</v>
      </c>
      <c r="D17" s="12">
        <v>41</v>
      </c>
      <c r="E17" s="11">
        <v>2E-3</v>
      </c>
      <c r="F17" s="10">
        <v>4053</v>
      </c>
      <c r="G17" s="11">
        <v>1E-3</v>
      </c>
      <c r="H17" s="11">
        <v>0.13400000000000001</v>
      </c>
      <c r="I17" s="10">
        <v>3761800</v>
      </c>
      <c r="J17" s="12" t="s">
        <v>4386</v>
      </c>
      <c r="K17" s="12">
        <v>543</v>
      </c>
      <c r="L17" s="12" t="s">
        <v>4387</v>
      </c>
      <c r="M17" s="10">
        <v>663484780</v>
      </c>
      <c r="N17" s="10">
        <v>85843</v>
      </c>
      <c r="O17" s="12">
        <v>20</v>
      </c>
    </row>
    <row r="18" spans="1:15" ht="27" x14ac:dyDescent="0.3">
      <c r="A18" s="9">
        <v>43515</v>
      </c>
      <c r="B18" s="12">
        <v>37</v>
      </c>
      <c r="C18" s="11">
        <v>6.0000000000000001E-3</v>
      </c>
      <c r="D18" s="12">
        <v>41</v>
      </c>
      <c r="E18" s="11">
        <v>2E-3</v>
      </c>
      <c r="F18" s="10">
        <v>4176</v>
      </c>
      <c r="G18" s="11">
        <v>1E-3</v>
      </c>
      <c r="H18" s="11">
        <v>0.14899999999999999</v>
      </c>
      <c r="I18" s="10">
        <v>3998900</v>
      </c>
      <c r="J18" s="12" t="s">
        <v>4388</v>
      </c>
      <c r="K18" s="12">
        <v>624</v>
      </c>
      <c r="L18" s="12" t="s">
        <v>4389</v>
      </c>
      <c r="M18" s="10">
        <v>667483680</v>
      </c>
      <c r="N18" s="10">
        <v>86467</v>
      </c>
      <c r="O18" s="12">
        <v>22</v>
      </c>
    </row>
    <row r="19" spans="1:15" ht="27" x14ac:dyDescent="0.3">
      <c r="A19" s="9">
        <v>43516</v>
      </c>
      <c r="B19" s="12">
        <v>7</v>
      </c>
      <c r="C19" s="11">
        <v>1E-3</v>
      </c>
      <c r="D19" s="12">
        <v>9</v>
      </c>
      <c r="E19" s="11">
        <v>0</v>
      </c>
      <c r="F19" s="12">
        <v>511</v>
      </c>
      <c r="G19" s="11">
        <v>0</v>
      </c>
      <c r="H19" s="11">
        <v>0.307</v>
      </c>
      <c r="I19" s="10">
        <v>998000</v>
      </c>
      <c r="J19" s="12" t="s">
        <v>4390</v>
      </c>
      <c r="K19" s="12">
        <v>157</v>
      </c>
      <c r="L19" s="12" t="s">
        <v>4391</v>
      </c>
      <c r="M19" s="10">
        <v>668481680</v>
      </c>
      <c r="N19" s="10">
        <v>86624</v>
      </c>
      <c r="O19" s="12">
        <v>34</v>
      </c>
    </row>
    <row r="20" spans="1:15" ht="27" x14ac:dyDescent="0.3">
      <c r="A20" s="9">
        <v>43517</v>
      </c>
      <c r="B20" s="12">
        <v>4</v>
      </c>
      <c r="C20" s="11">
        <v>1E-3</v>
      </c>
      <c r="D20" s="12">
        <v>6</v>
      </c>
      <c r="E20" s="11">
        <v>0</v>
      </c>
      <c r="F20" s="12">
        <v>323</v>
      </c>
      <c r="G20" s="11">
        <v>0</v>
      </c>
      <c r="H20" s="11">
        <v>0.26900000000000002</v>
      </c>
      <c r="I20" s="10">
        <v>568400</v>
      </c>
      <c r="J20" s="12" t="s">
        <v>4392</v>
      </c>
      <c r="K20" s="12">
        <v>87</v>
      </c>
      <c r="L20" s="12" t="s">
        <v>4393</v>
      </c>
      <c r="M20" s="10">
        <v>669050080</v>
      </c>
      <c r="N20" s="10">
        <v>86711</v>
      </c>
      <c r="O20" s="12">
        <v>50</v>
      </c>
    </row>
    <row r="21" spans="1:15" ht="27" x14ac:dyDescent="0.3">
      <c r="A21" s="9">
        <v>43518</v>
      </c>
      <c r="B21" s="12">
        <v>4</v>
      </c>
      <c r="C21" s="11">
        <v>1E-3</v>
      </c>
      <c r="D21" s="12">
        <v>6</v>
      </c>
      <c r="E21" s="11">
        <v>0</v>
      </c>
      <c r="F21" s="12">
        <v>348</v>
      </c>
      <c r="G21" s="11">
        <v>0</v>
      </c>
      <c r="H21" s="11">
        <v>0.53700000000000003</v>
      </c>
      <c r="I21" s="10">
        <v>1248000</v>
      </c>
      <c r="J21" s="12" t="s">
        <v>4394</v>
      </c>
      <c r="K21" s="12">
        <v>187</v>
      </c>
      <c r="L21" s="12" t="s">
        <v>4395</v>
      </c>
      <c r="M21" s="10">
        <v>670298080</v>
      </c>
      <c r="N21" s="10">
        <v>86898</v>
      </c>
      <c r="O21" s="12">
        <v>31</v>
      </c>
    </row>
    <row r="22" spans="1:15" ht="27" x14ac:dyDescent="0.3">
      <c r="A22" s="9">
        <v>43519</v>
      </c>
      <c r="B22" s="12">
        <v>7</v>
      </c>
      <c r="C22" s="11">
        <v>1E-3</v>
      </c>
      <c r="D22" s="12">
        <v>9</v>
      </c>
      <c r="E22" s="11">
        <v>0</v>
      </c>
      <c r="F22" s="12">
        <v>682</v>
      </c>
      <c r="G22" s="11">
        <v>0</v>
      </c>
      <c r="H22" s="11">
        <v>0.33100000000000002</v>
      </c>
      <c r="I22" s="10">
        <v>1947800</v>
      </c>
      <c r="J22" s="12" t="s">
        <v>4396</v>
      </c>
      <c r="K22" s="12">
        <v>226</v>
      </c>
      <c r="L22" s="12" t="s">
        <v>4397</v>
      </c>
      <c r="M22" s="10">
        <v>672245880</v>
      </c>
      <c r="N22" s="10">
        <v>87124</v>
      </c>
      <c r="O22" s="12">
        <v>38</v>
      </c>
    </row>
    <row r="23" spans="1:15" ht="27" x14ac:dyDescent="0.3">
      <c r="A23" s="9">
        <v>43520</v>
      </c>
      <c r="B23" s="12">
        <v>9</v>
      </c>
      <c r="C23" s="11">
        <v>1E-3</v>
      </c>
      <c r="D23" s="12">
        <v>11</v>
      </c>
      <c r="E23" s="11">
        <v>1E-3</v>
      </c>
      <c r="F23" s="12">
        <v>807</v>
      </c>
      <c r="G23" s="11">
        <v>0</v>
      </c>
      <c r="H23" s="11">
        <v>0.35099999999999998</v>
      </c>
      <c r="I23" s="10">
        <v>2334960</v>
      </c>
      <c r="J23" s="12" t="s">
        <v>4398</v>
      </c>
      <c r="K23" s="12">
        <v>283</v>
      </c>
      <c r="L23" s="12" t="s">
        <v>4399</v>
      </c>
      <c r="M23" s="10">
        <v>674580840</v>
      </c>
      <c r="N23" s="10">
        <v>87407</v>
      </c>
      <c r="O23" s="12">
        <v>36</v>
      </c>
    </row>
    <row r="24" spans="1:15" ht="27" x14ac:dyDescent="0.3">
      <c r="A24" s="9">
        <v>43521</v>
      </c>
      <c r="B24" s="12">
        <v>3</v>
      </c>
      <c r="C24" s="11">
        <v>0</v>
      </c>
      <c r="D24" s="12">
        <v>5</v>
      </c>
      <c r="E24" s="11">
        <v>0</v>
      </c>
      <c r="F24" s="12">
        <v>291</v>
      </c>
      <c r="G24" s="11">
        <v>0</v>
      </c>
      <c r="H24" s="11">
        <v>0.247</v>
      </c>
      <c r="I24" s="10">
        <v>527000</v>
      </c>
      <c r="J24" s="12" t="s">
        <v>4400</v>
      </c>
      <c r="K24" s="12">
        <v>72</v>
      </c>
      <c r="L24" s="12" t="s">
        <v>4401</v>
      </c>
      <c r="M24" s="10">
        <v>675107840</v>
      </c>
      <c r="N24" s="10">
        <v>87479</v>
      </c>
      <c r="O24" s="12">
        <v>52</v>
      </c>
    </row>
    <row r="25" spans="1:15" ht="27" x14ac:dyDescent="0.3">
      <c r="A25" s="9">
        <v>43522</v>
      </c>
      <c r="B25" s="12">
        <v>5</v>
      </c>
      <c r="C25" s="11">
        <v>1E-3</v>
      </c>
      <c r="D25" s="12">
        <v>7</v>
      </c>
      <c r="E25" s="11">
        <v>0</v>
      </c>
      <c r="F25" s="12">
        <v>437</v>
      </c>
      <c r="G25" s="11">
        <v>0</v>
      </c>
      <c r="H25" s="11">
        <v>0.24299999999999999</v>
      </c>
      <c r="I25" s="10">
        <v>731000</v>
      </c>
      <c r="J25" s="12" t="s">
        <v>4402</v>
      </c>
      <c r="K25" s="12">
        <v>106</v>
      </c>
      <c r="L25" s="12" t="s">
        <v>4403</v>
      </c>
      <c r="M25" s="10">
        <v>675838840</v>
      </c>
      <c r="N25" s="10">
        <v>87585</v>
      </c>
      <c r="O25" s="12">
        <v>54</v>
      </c>
    </row>
    <row r="26" spans="1:15" ht="27" x14ac:dyDescent="0.3">
      <c r="A26" s="9">
        <v>43523</v>
      </c>
      <c r="B26" s="12">
        <v>1</v>
      </c>
      <c r="C26" s="11">
        <v>0</v>
      </c>
      <c r="D26" s="12">
        <v>1</v>
      </c>
      <c r="E26" s="11">
        <v>0</v>
      </c>
      <c r="F26" s="12">
        <v>53</v>
      </c>
      <c r="G26" s="11">
        <v>0</v>
      </c>
      <c r="H26" s="11">
        <v>0.113</v>
      </c>
      <c r="I26" s="10">
        <v>24000</v>
      </c>
      <c r="J26" s="12" t="s">
        <v>4404</v>
      </c>
      <c r="K26" s="12">
        <v>6</v>
      </c>
      <c r="L26" s="12" t="s">
        <v>4405</v>
      </c>
      <c r="M26" s="10">
        <v>675862840</v>
      </c>
      <c r="N26" s="10">
        <v>87591</v>
      </c>
      <c r="O26" s="12">
        <v>89</v>
      </c>
    </row>
    <row r="27" spans="1:15" ht="27" x14ac:dyDescent="0.3">
      <c r="A27" s="9">
        <v>43525</v>
      </c>
      <c r="B27" s="12">
        <v>1</v>
      </c>
      <c r="C27" s="11">
        <v>0</v>
      </c>
      <c r="D27" s="12">
        <v>2</v>
      </c>
      <c r="E27" s="11">
        <v>0</v>
      </c>
      <c r="F27" s="12">
        <v>264</v>
      </c>
      <c r="G27" s="11">
        <v>0</v>
      </c>
      <c r="H27" s="11">
        <v>0.39800000000000002</v>
      </c>
      <c r="I27" s="10">
        <v>877000</v>
      </c>
      <c r="J27" s="12" t="s">
        <v>4406</v>
      </c>
      <c r="K27" s="12">
        <v>105</v>
      </c>
      <c r="L27" s="12" t="s">
        <v>321</v>
      </c>
      <c r="M27" s="10">
        <v>676739840</v>
      </c>
      <c r="N27" s="10">
        <v>87696</v>
      </c>
      <c r="O27" s="12">
        <v>44</v>
      </c>
    </row>
    <row r="28" spans="1:15" ht="27" x14ac:dyDescent="0.3">
      <c r="A28" s="9">
        <v>43526</v>
      </c>
      <c r="B28" s="12">
        <v>2</v>
      </c>
      <c r="C28" s="11">
        <v>0</v>
      </c>
      <c r="D28" s="12">
        <v>3</v>
      </c>
      <c r="E28" s="11">
        <v>0</v>
      </c>
      <c r="F28" s="12">
        <v>342</v>
      </c>
      <c r="G28" s="11">
        <v>0</v>
      </c>
      <c r="H28" s="11">
        <v>0.254</v>
      </c>
      <c r="I28" s="10">
        <v>769600</v>
      </c>
      <c r="J28" s="12" t="s">
        <v>4407</v>
      </c>
      <c r="K28" s="12">
        <v>87</v>
      </c>
      <c r="L28" s="12" t="s">
        <v>4408</v>
      </c>
      <c r="M28" s="10">
        <v>677509440</v>
      </c>
      <c r="N28" s="10">
        <v>87783</v>
      </c>
      <c r="O28" s="12">
        <v>50</v>
      </c>
    </row>
    <row r="29" spans="1:15" ht="27" x14ac:dyDescent="0.3">
      <c r="A29" s="9">
        <v>43527</v>
      </c>
      <c r="B29" s="12">
        <v>1</v>
      </c>
      <c r="C29" s="11">
        <v>0</v>
      </c>
      <c r="D29" s="12">
        <v>2</v>
      </c>
      <c r="E29" s="11">
        <v>0</v>
      </c>
      <c r="F29" s="12">
        <v>264</v>
      </c>
      <c r="G29" s="11">
        <v>0</v>
      </c>
      <c r="H29" s="11">
        <v>0.28000000000000003</v>
      </c>
      <c r="I29" s="10">
        <v>669600</v>
      </c>
      <c r="J29" s="12" t="s">
        <v>4409</v>
      </c>
      <c r="K29" s="12">
        <v>74</v>
      </c>
      <c r="L29" s="12" t="s">
        <v>4410</v>
      </c>
      <c r="M29" s="10">
        <v>678179040</v>
      </c>
      <c r="N29" s="10">
        <v>87857</v>
      </c>
      <c r="O29" s="12">
        <v>49</v>
      </c>
    </row>
    <row r="30" spans="1:15" ht="27" x14ac:dyDescent="0.3">
      <c r="A30" s="9">
        <v>43540</v>
      </c>
      <c r="B30" s="12">
        <v>1</v>
      </c>
      <c r="C30" s="11">
        <v>0</v>
      </c>
      <c r="D30" s="12">
        <v>1</v>
      </c>
      <c r="E30" s="11">
        <v>0</v>
      </c>
      <c r="F30" s="12">
        <v>386</v>
      </c>
      <c r="G30" s="11">
        <v>0</v>
      </c>
      <c r="H30" s="11">
        <v>8.0000000000000002E-3</v>
      </c>
      <c r="I30" s="10">
        <v>20000</v>
      </c>
      <c r="J30" s="12" t="s">
        <v>1420</v>
      </c>
      <c r="K30" s="12">
        <v>3</v>
      </c>
      <c r="L30" s="12" t="s">
        <v>294</v>
      </c>
      <c r="M30" s="10">
        <v>678199040</v>
      </c>
      <c r="N30" s="10">
        <v>87860</v>
      </c>
      <c r="O30" s="12">
        <v>96</v>
      </c>
    </row>
    <row r="31" spans="1:15" ht="27" x14ac:dyDescent="0.3">
      <c r="A31" s="9">
        <v>43541</v>
      </c>
      <c r="B31" s="12">
        <v>1</v>
      </c>
      <c r="C31" s="11">
        <v>0</v>
      </c>
      <c r="D31" s="12">
        <v>1</v>
      </c>
      <c r="E31" s="11">
        <v>0</v>
      </c>
      <c r="F31" s="12">
        <v>386</v>
      </c>
      <c r="G31" s="11">
        <v>0</v>
      </c>
      <c r="H31" s="11">
        <v>5.0000000000000001E-3</v>
      </c>
      <c r="I31" s="10">
        <v>12000</v>
      </c>
      <c r="J31" s="12" t="s">
        <v>4411</v>
      </c>
      <c r="K31" s="12">
        <v>2</v>
      </c>
      <c r="L31" s="12" t="s">
        <v>1422</v>
      </c>
      <c r="M31" s="10">
        <v>678211040</v>
      </c>
      <c r="N31" s="10">
        <v>87862</v>
      </c>
      <c r="O31" s="12">
        <v>96</v>
      </c>
    </row>
    <row r="32" spans="1:15" ht="27" x14ac:dyDescent="0.3">
      <c r="A32" s="9">
        <v>43544</v>
      </c>
      <c r="B32" s="12">
        <v>3</v>
      </c>
      <c r="C32" s="11">
        <v>1E-3</v>
      </c>
      <c r="D32" s="12">
        <v>3</v>
      </c>
      <c r="E32" s="11">
        <v>0</v>
      </c>
      <c r="F32" s="12">
        <v>624</v>
      </c>
      <c r="G32" s="11">
        <v>0</v>
      </c>
      <c r="H32" s="11">
        <v>0.79600000000000004</v>
      </c>
      <c r="I32" s="10">
        <v>4473000</v>
      </c>
      <c r="J32" s="12" t="s">
        <v>4412</v>
      </c>
      <c r="K32" s="12">
        <v>497</v>
      </c>
      <c r="L32" s="12" t="s">
        <v>4413</v>
      </c>
      <c r="M32" s="10">
        <v>682684040</v>
      </c>
      <c r="N32" s="10">
        <v>88359</v>
      </c>
      <c r="O32" s="12">
        <v>18</v>
      </c>
    </row>
    <row r="33" spans="1:15" ht="27" x14ac:dyDescent="0.3">
      <c r="A33" s="9">
        <v>43548</v>
      </c>
      <c r="B33" s="12">
        <v>1</v>
      </c>
      <c r="C33" s="11">
        <v>0</v>
      </c>
      <c r="D33" s="12">
        <v>1</v>
      </c>
      <c r="E33" s="11">
        <v>0</v>
      </c>
      <c r="F33" s="12">
        <v>386</v>
      </c>
      <c r="G33" s="11">
        <v>0</v>
      </c>
      <c r="H33" s="11">
        <v>8.0000000000000002E-3</v>
      </c>
      <c r="I33" s="10">
        <v>19000</v>
      </c>
      <c r="J33" s="12" t="s">
        <v>2327</v>
      </c>
      <c r="K33" s="12">
        <v>3</v>
      </c>
      <c r="L33" s="12" t="s">
        <v>294</v>
      </c>
      <c r="M33" s="10">
        <v>682703040</v>
      </c>
      <c r="N33" s="10">
        <v>88362</v>
      </c>
      <c r="O33" s="12">
        <v>106</v>
      </c>
    </row>
    <row r="34" spans="1:15" ht="27" x14ac:dyDescent="0.3">
      <c r="A34" s="9">
        <v>43554</v>
      </c>
      <c r="B34" s="12">
        <v>1</v>
      </c>
      <c r="C34" s="11">
        <v>0</v>
      </c>
      <c r="D34" s="12">
        <v>1</v>
      </c>
      <c r="E34" s="11">
        <v>0</v>
      </c>
      <c r="F34" s="12">
        <v>386</v>
      </c>
      <c r="G34" s="11">
        <v>0</v>
      </c>
      <c r="H34" s="11">
        <v>5.0000000000000001E-3</v>
      </c>
      <c r="I34" s="10">
        <v>14000</v>
      </c>
      <c r="J34" s="12" t="s">
        <v>2585</v>
      </c>
      <c r="K34" s="12">
        <v>2</v>
      </c>
      <c r="L34" s="12" t="s">
        <v>1408</v>
      </c>
      <c r="M34" s="10">
        <v>682717040</v>
      </c>
      <c r="N34" s="10">
        <v>88364</v>
      </c>
      <c r="O34" s="12">
        <v>98</v>
      </c>
    </row>
    <row r="35" spans="1:15" ht="27" x14ac:dyDescent="0.3">
      <c r="A35" s="9">
        <v>43555</v>
      </c>
      <c r="B35" s="12">
        <v>1</v>
      </c>
      <c r="C35" s="11">
        <v>0</v>
      </c>
      <c r="D35" s="12">
        <v>1</v>
      </c>
      <c r="E35" s="11">
        <v>0</v>
      </c>
      <c r="F35" s="12">
        <v>386</v>
      </c>
      <c r="G35" s="11">
        <v>0</v>
      </c>
      <c r="H35" s="11">
        <v>1.6E-2</v>
      </c>
      <c r="I35" s="10">
        <v>38000</v>
      </c>
      <c r="J35" s="12" t="s">
        <v>4414</v>
      </c>
      <c r="K35" s="12">
        <v>6</v>
      </c>
      <c r="L35" s="12" t="s">
        <v>4415</v>
      </c>
      <c r="M35" s="10">
        <v>682755040</v>
      </c>
      <c r="N35" s="10">
        <v>88370</v>
      </c>
      <c r="O35" s="12">
        <v>87</v>
      </c>
    </row>
    <row r="36" spans="1:15" ht="27" x14ac:dyDescent="0.3">
      <c r="A36" s="9">
        <v>43561</v>
      </c>
      <c r="B36" s="12">
        <v>1</v>
      </c>
      <c r="C36" s="11">
        <v>0</v>
      </c>
      <c r="D36" s="12">
        <v>2</v>
      </c>
      <c r="E36" s="11">
        <v>0</v>
      </c>
      <c r="F36" s="12">
        <v>772</v>
      </c>
      <c r="G36" s="11">
        <v>0</v>
      </c>
      <c r="H36" s="11">
        <v>6.0000000000000001E-3</v>
      </c>
      <c r="I36" s="10">
        <v>32000</v>
      </c>
      <c r="J36" s="12" t="s">
        <v>585</v>
      </c>
      <c r="K36" s="12">
        <v>5</v>
      </c>
      <c r="L36" s="12" t="s">
        <v>1395</v>
      </c>
      <c r="M36" s="10">
        <v>682787040</v>
      </c>
      <c r="N36" s="10">
        <v>88375</v>
      </c>
      <c r="O36" s="12">
        <v>93</v>
      </c>
    </row>
    <row r="37" spans="1:15" ht="27" x14ac:dyDescent="0.3">
      <c r="A37" s="9">
        <v>43562</v>
      </c>
      <c r="B37" s="12">
        <v>1</v>
      </c>
      <c r="C37" s="11">
        <v>0</v>
      </c>
      <c r="D37" s="12">
        <v>2</v>
      </c>
      <c r="E37" s="11">
        <v>0</v>
      </c>
      <c r="F37" s="12">
        <v>772</v>
      </c>
      <c r="G37" s="11">
        <v>0</v>
      </c>
      <c r="H37" s="11">
        <v>0.01</v>
      </c>
      <c r="I37" s="10">
        <v>51000</v>
      </c>
      <c r="J37" s="12" t="s">
        <v>4416</v>
      </c>
      <c r="K37" s="12">
        <v>8</v>
      </c>
      <c r="L37" s="12" t="s">
        <v>4417</v>
      </c>
      <c r="M37" s="10">
        <v>682838040</v>
      </c>
      <c r="N37" s="10">
        <v>88383</v>
      </c>
      <c r="O37" s="12">
        <v>92</v>
      </c>
    </row>
    <row r="38" spans="1:15" ht="27" x14ac:dyDescent="0.3">
      <c r="A38" s="9">
        <v>43566</v>
      </c>
      <c r="B38" s="12">
        <v>1</v>
      </c>
      <c r="C38" s="11">
        <v>0</v>
      </c>
      <c r="D38" s="12">
        <v>1</v>
      </c>
      <c r="E38" s="11">
        <v>0</v>
      </c>
      <c r="F38" s="12">
        <v>386</v>
      </c>
      <c r="G38" s="11">
        <v>0</v>
      </c>
      <c r="H38" s="11">
        <v>1.6E-2</v>
      </c>
      <c r="I38" s="10">
        <v>37000</v>
      </c>
      <c r="J38" s="12" t="s">
        <v>2441</v>
      </c>
      <c r="K38" s="12">
        <v>6</v>
      </c>
      <c r="L38" s="12" t="s">
        <v>2341</v>
      </c>
      <c r="M38" s="10">
        <v>682875040</v>
      </c>
      <c r="N38" s="10">
        <v>88389</v>
      </c>
      <c r="O38" s="12">
        <v>89</v>
      </c>
    </row>
    <row r="39" spans="1:15" ht="27" x14ac:dyDescent="0.3">
      <c r="A39" s="9">
        <v>43568</v>
      </c>
      <c r="B39" s="12">
        <v>1</v>
      </c>
      <c r="C39" s="11">
        <v>0</v>
      </c>
      <c r="D39" s="12">
        <v>1</v>
      </c>
      <c r="E39" s="11">
        <v>0</v>
      </c>
      <c r="F39" s="12">
        <v>386</v>
      </c>
      <c r="G39" s="11">
        <v>0</v>
      </c>
      <c r="H39" s="11">
        <v>8.0000000000000002E-3</v>
      </c>
      <c r="I39" s="10">
        <v>19000</v>
      </c>
      <c r="J39" s="12" t="s">
        <v>2327</v>
      </c>
      <c r="K39" s="12">
        <v>3</v>
      </c>
      <c r="L39" s="12" t="s">
        <v>294</v>
      </c>
      <c r="M39" s="10">
        <v>682894040</v>
      </c>
      <c r="N39" s="10">
        <v>88392</v>
      </c>
      <c r="O39" s="12">
        <v>111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E71D7-ADCA-4B1C-8E48-A7C7B096D11D}">
  <dimension ref="A1:O33"/>
  <sheetViews>
    <sheetView workbookViewId="0">
      <selection activeCell="A5" sqref="A5:XFD9"/>
    </sheetView>
  </sheetViews>
  <sheetFormatPr defaultRowHeight="16.5" x14ac:dyDescent="0.3"/>
  <sheetData>
    <row r="1" spans="1:15" ht="19.5" x14ac:dyDescent="0.3">
      <c r="A1" s="197" t="s">
        <v>4418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109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27" x14ac:dyDescent="0.3">
      <c r="A5" s="9">
        <v>43523</v>
      </c>
      <c r="B5" s="12">
        <v>624</v>
      </c>
      <c r="C5" s="11">
        <v>9.4E-2</v>
      </c>
      <c r="D5" s="10">
        <v>2278</v>
      </c>
      <c r="E5" s="11">
        <v>0.11899999999999999</v>
      </c>
      <c r="F5" s="10">
        <v>321226</v>
      </c>
      <c r="G5" s="11">
        <v>0.108</v>
      </c>
      <c r="H5" s="11">
        <v>0.13500000000000001</v>
      </c>
      <c r="I5" s="10">
        <v>259362050</v>
      </c>
      <c r="J5" s="12" t="s">
        <v>4419</v>
      </c>
      <c r="K5" s="10">
        <v>43408</v>
      </c>
      <c r="L5" s="12" t="s">
        <v>4420</v>
      </c>
      <c r="M5" s="10">
        <v>321850050</v>
      </c>
      <c r="N5" s="10">
        <v>51124</v>
      </c>
      <c r="O5" s="12">
        <v>5</v>
      </c>
    </row>
    <row r="6" spans="1:15" ht="27" x14ac:dyDescent="0.3">
      <c r="A6" s="9">
        <v>43524</v>
      </c>
      <c r="B6" s="12">
        <v>585</v>
      </c>
      <c r="C6" s="11">
        <v>8.7999999999999995E-2</v>
      </c>
      <c r="D6" s="10">
        <v>2066</v>
      </c>
      <c r="E6" s="11">
        <v>0.106</v>
      </c>
      <c r="F6" s="10">
        <v>285694</v>
      </c>
      <c r="G6" s="11">
        <v>9.4E-2</v>
      </c>
      <c r="H6" s="11">
        <v>7.6999999999999999E-2</v>
      </c>
      <c r="I6" s="10">
        <v>166952900</v>
      </c>
      <c r="J6" s="12" t="s">
        <v>4421</v>
      </c>
      <c r="K6" s="10">
        <v>22126</v>
      </c>
      <c r="L6" s="12" t="s">
        <v>4422</v>
      </c>
      <c r="M6" s="10">
        <v>488802950</v>
      </c>
      <c r="N6" s="10">
        <v>73250</v>
      </c>
      <c r="O6" s="12">
        <v>5</v>
      </c>
    </row>
    <row r="7" spans="1:15" ht="27" x14ac:dyDescent="0.3">
      <c r="A7" s="9">
        <v>43525</v>
      </c>
      <c r="B7" s="12">
        <v>587</v>
      </c>
      <c r="C7" s="11">
        <v>0.08</v>
      </c>
      <c r="D7" s="10">
        <v>1603</v>
      </c>
      <c r="E7" s="11">
        <v>7.8E-2</v>
      </c>
      <c r="F7" s="10">
        <v>211142</v>
      </c>
      <c r="G7" s="11">
        <v>6.7000000000000004E-2</v>
      </c>
      <c r="H7" s="11">
        <v>0.16700000000000001</v>
      </c>
      <c r="I7" s="10">
        <v>295987110</v>
      </c>
      <c r="J7" s="12" t="s">
        <v>4423</v>
      </c>
      <c r="K7" s="10">
        <v>35351</v>
      </c>
      <c r="L7" s="12" t="s">
        <v>4424</v>
      </c>
      <c r="M7" s="10">
        <v>784790060</v>
      </c>
      <c r="N7" s="10">
        <v>108601</v>
      </c>
      <c r="O7" s="12">
        <v>5</v>
      </c>
    </row>
    <row r="8" spans="1:15" ht="27" x14ac:dyDescent="0.3">
      <c r="A8" s="9">
        <v>43526</v>
      </c>
      <c r="B8" s="12">
        <v>566</v>
      </c>
      <c r="C8" s="11">
        <v>7.5999999999999998E-2</v>
      </c>
      <c r="D8" s="10">
        <v>1365</v>
      </c>
      <c r="E8" s="11">
        <v>6.7000000000000004E-2</v>
      </c>
      <c r="F8" s="10">
        <v>174394</v>
      </c>
      <c r="G8" s="11">
        <v>5.5E-2</v>
      </c>
      <c r="H8" s="11">
        <v>0.14299999999999999</v>
      </c>
      <c r="I8" s="10">
        <v>209961430</v>
      </c>
      <c r="J8" s="12" t="s">
        <v>4425</v>
      </c>
      <c r="K8" s="10">
        <v>24981</v>
      </c>
      <c r="L8" s="12" t="s">
        <v>4426</v>
      </c>
      <c r="M8" s="10">
        <v>994751490</v>
      </c>
      <c r="N8" s="10">
        <v>133582</v>
      </c>
      <c r="O8" s="12">
        <v>5</v>
      </c>
    </row>
    <row r="9" spans="1:15" ht="27" x14ac:dyDescent="0.3">
      <c r="A9" s="9">
        <v>43527</v>
      </c>
      <c r="B9" s="12">
        <v>567</v>
      </c>
      <c r="C9" s="11">
        <v>7.8E-2</v>
      </c>
      <c r="D9" s="10">
        <v>1256</v>
      </c>
      <c r="E9" s="11">
        <v>6.4000000000000001E-2</v>
      </c>
      <c r="F9" s="10">
        <v>160243</v>
      </c>
      <c r="G9" s="11">
        <v>5.1999999999999998E-2</v>
      </c>
      <c r="H9" s="11">
        <v>0.129</v>
      </c>
      <c r="I9" s="10">
        <v>173183960</v>
      </c>
      <c r="J9" s="12" t="s">
        <v>4427</v>
      </c>
      <c r="K9" s="10">
        <v>20748</v>
      </c>
      <c r="L9" s="12" t="s">
        <v>4428</v>
      </c>
      <c r="M9" s="10">
        <v>1167935450</v>
      </c>
      <c r="N9" s="10">
        <v>154330</v>
      </c>
      <c r="O9" s="12">
        <v>5</v>
      </c>
    </row>
    <row r="10" spans="1:15" ht="40.5" x14ac:dyDescent="0.3">
      <c r="A10" s="9">
        <v>43528</v>
      </c>
      <c r="B10" s="12">
        <v>484</v>
      </c>
      <c r="C10" s="11">
        <v>8.1000000000000003E-2</v>
      </c>
      <c r="D10" s="10">
        <v>1043</v>
      </c>
      <c r="E10" s="11">
        <v>6.0999999999999999E-2</v>
      </c>
      <c r="F10" s="10">
        <v>135674</v>
      </c>
      <c r="G10" s="11">
        <v>0.05</v>
      </c>
      <c r="H10" s="11">
        <v>4.3999999999999997E-2</v>
      </c>
      <c r="I10" s="10">
        <v>44010290</v>
      </c>
      <c r="J10" s="12" t="s">
        <v>4429</v>
      </c>
      <c r="K10" s="10">
        <v>5959</v>
      </c>
      <c r="L10" s="12" t="s">
        <v>4430</v>
      </c>
      <c r="M10" s="10">
        <v>1211945740</v>
      </c>
      <c r="N10" s="10">
        <v>160289</v>
      </c>
      <c r="O10" s="12">
        <v>5</v>
      </c>
    </row>
    <row r="11" spans="1:15" ht="27" x14ac:dyDescent="0.3">
      <c r="A11" s="9">
        <v>43529</v>
      </c>
      <c r="B11" s="12">
        <v>466</v>
      </c>
      <c r="C11" s="11">
        <v>7.9000000000000001E-2</v>
      </c>
      <c r="D11" s="10">
        <v>1027</v>
      </c>
      <c r="E11" s="11">
        <v>6.0999999999999999E-2</v>
      </c>
      <c r="F11" s="10">
        <v>134238</v>
      </c>
      <c r="G11" s="11">
        <v>0.05</v>
      </c>
      <c r="H11" s="11">
        <v>3.9E-2</v>
      </c>
      <c r="I11" s="10">
        <v>41075050</v>
      </c>
      <c r="J11" s="12" t="s">
        <v>4431</v>
      </c>
      <c r="K11" s="10">
        <v>5243</v>
      </c>
      <c r="L11" s="12" t="s">
        <v>4432</v>
      </c>
      <c r="M11" s="10">
        <v>1253020790</v>
      </c>
      <c r="N11" s="10">
        <v>165532</v>
      </c>
      <c r="O11" s="12">
        <v>5</v>
      </c>
    </row>
    <row r="12" spans="1:15" ht="27" x14ac:dyDescent="0.3">
      <c r="A12" s="9">
        <v>43530</v>
      </c>
      <c r="B12" s="12">
        <v>76</v>
      </c>
      <c r="C12" s="11">
        <v>1.4999999999999999E-2</v>
      </c>
      <c r="D12" s="12">
        <v>98</v>
      </c>
      <c r="E12" s="11">
        <v>5.0000000000000001E-3</v>
      </c>
      <c r="F12" s="10">
        <v>10647</v>
      </c>
      <c r="G12" s="11">
        <v>4.0000000000000001E-3</v>
      </c>
      <c r="H12" s="11">
        <v>7.5999999999999998E-2</v>
      </c>
      <c r="I12" s="10">
        <v>6342380</v>
      </c>
      <c r="J12" s="12" t="s">
        <v>4433</v>
      </c>
      <c r="K12" s="12">
        <v>814</v>
      </c>
      <c r="L12" s="12" t="s">
        <v>4434</v>
      </c>
      <c r="M12" s="10">
        <v>1259363170</v>
      </c>
      <c r="N12" s="10">
        <v>166346</v>
      </c>
      <c r="O12" s="12">
        <v>12</v>
      </c>
    </row>
    <row r="13" spans="1:15" ht="27" x14ac:dyDescent="0.3">
      <c r="A13" s="9">
        <v>43531</v>
      </c>
      <c r="B13" s="12">
        <v>59</v>
      </c>
      <c r="C13" s="11">
        <v>1.0999999999999999E-2</v>
      </c>
      <c r="D13" s="12">
        <v>71</v>
      </c>
      <c r="E13" s="11">
        <v>4.0000000000000001E-3</v>
      </c>
      <c r="F13" s="10">
        <v>8293</v>
      </c>
      <c r="G13" s="11">
        <v>3.0000000000000001E-3</v>
      </c>
      <c r="H13" s="11">
        <v>7.1999999999999995E-2</v>
      </c>
      <c r="I13" s="10">
        <v>4341000</v>
      </c>
      <c r="J13" s="12" t="s">
        <v>4435</v>
      </c>
      <c r="K13" s="12">
        <v>601</v>
      </c>
      <c r="L13" s="12" t="s">
        <v>4436</v>
      </c>
      <c r="M13" s="10">
        <v>1263704170</v>
      </c>
      <c r="N13" s="10">
        <v>166947</v>
      </c>
      <c r="O13" s="12">
        <v>17</v>
      </c>
    </row>
    <row r="14" spans="1:15" ht="27" x14ac:dyDescent="0.3">
      <c r="A14" s="9">
        <v>43532</v>
      </c>
      <c r="B14" s="12">
        <v>68</v>
      </c>
      <c r="C14" s="11">
        <v>1.2999999999999999E-2</v>
      </c>
      <c r="D14" s="12">
        <v>75</v>
      </c>
      <c r="E14" s="11">
        <v>4.0000000000000001E-3</v>
      </c>
      <c r="F14" s="10">
        <v>7864</v>
      </c>
      <c r="G14" s="11">
        <v>3.0000000000000001E-3</v>
      </c>
      <c r="H14" s="11">
        <v>6.8000000000000005E-2</v>
      </c>
      <c r="I14" s="10">
        <v>4412800</v>
      </c>
      <c r="J14" s="12" t="s">
        <v>4437</v>
      </c>
      <c r="K14" s="12">
        <v>531</v>
      </c>
      <c r="L14" s="12" t="s">
        <v>4438</v>
      </c>
      <c r="M14" s="10">
        <v>1268116970</v>
      </c>
      <c r="N14" s="10">
        <v>167478</v>
      </c>
      <c r="O14" s="12">
        <v>13</v>
      </c>
    </row>
    <row r="15" spans="1:15" ht="27" x14ac:dyDescent="0.3">
      <c r="A15" s="9">
        <v>43533</v>
      </c>
      <c r="B15" s="12">
        <v>50</v>
      </c>
      <c r="C15" s="11">
        <v>8.9999999999999993E-3</v>
      </c>
      <c r="D15" s="12">
        <v>57</v>
      </c>
      <c r="E15" s="11">
        <v>3.0000000000000001E-3</v>
      </c>
      <c r="F15" s="10">
        <v>5383</v>
      </c>
      <c r="G15" s="11">
        <v>2E-3</v>
      </c>
      <c r="H15" s="11">
        <v>0.13600000000000001</v>
      </c>
      <c r="I15" s="10">
        <v>5919900</v>
      </c>
      <c r="J15" s="12" t="s">
        <v>4439</v>
      </c>
      <c r="K15" s="12">
        <v>732</v>
      </c>
      <c r="L15" s="12" t="s">
        <v>4440</v>
      </c>
      <c r="M15" s="10">
        <v>1274036870</v>
      </c>
      <c r="N15" s="10">
        <v>168210</v>
      </c>
      <c r="O15" s="12">
        <v>17</v>
      </c>
    </row>
    <row r="16" spans="1:15" ht="27" x14ac:dyDescent="0.3">
      <c r="A16" s="9">
        <v>43534</v>
      </c>
      <c r="B16" s="12">
        <v>59</v>
      </c>
      <c r="C16" s="11">
        <v>0.01</v>
      </c>
      <c r="D16" s="12">
        <v>67</v>
      </c>
      <c r="E16" s="11">
        <v>4.0000000000000001E-3</v>
      </c>
      <c r="F16" s="10">
        <v>6355</v>
      </c>
      <c r="G16" s="11">
        <v>2E-3</v>
      </c>
      <c r="H16" s="11">
        <v>0.106</v>
      </c>
      <c r="I16" s="10">
        <v>4651600</v>
      </c>
      <c r="J16" s="12" t="s">
        <v>4441</v>
      </c>
      <c r="K16" s="12">
        <v>674</v>
      </c>
      <c r="L16" s="12" t="s">
        <v>4442</v>
      </c>
      <c r="M16" s="10">
        <v>1278688470</v>
      </c>
      <c r="N16" s="10">
        <v>168884</v>
      </c>
      <c r="O16" s="12">
        <v>16</v>
      </c>
    </row>
    <row r="17" spans="1:15" ht="27" x14ac:dyDescent="0.3">
      <c r="A17" s="9">
        <v>43535</v>
      </c>
      <c r="B17" s="12">
        <v>42</v>
      </c>
      <c r="C17" s="11">
        <v>8.0000000000000002E-3</v>
      </c>
      <c r="D17" s="12">
        <v>48</v>
      </c>
      <c r="E17" s="11">
        <v>3.0000000000000001E-3</v>
      </c>
      <c r="F17" s="10">
        <v>4969</v>
      </c>
      <c r="G17" s="11">
        <v>2E-3</v>
      </c>
      <c r="H17" s="11">
        <v>0.12</v>
      </c>
      <c r="I17" s="10">
        <v>3668200</v>
      </c>
      <c r="J17" s="12" t="s">
        <v>4443</v>
      </c>
      <c r="K17" s="12">
        <v>595</v>
      </c>
      <c r="L17" s="12" t="s">
        <v>4444</v>
      </c>
      <c r="M17" s="10">
        <v>1282356670</v>
      </c>
      <c r="N17" s="10">
        <v>169479</v>
      </c>
      <c r="O17" s="12">
        <v>13</v>
      </c>
    </row>
    <row r="18" spans="1:15" ht="27" x14ac:dyDescent="0.3">
      <c r="A18" s="9">
        <v>43536</v>
      </c>
      <c r="B18" s="12">
        <v>38</v>
      </c>
      <c r="C18" s="11">
        <v>7.0000000000000001E-3</v>
      </c>
      <c r="D18" s="12">
        <v>44</v>
      </c>
      <c r="E18" s="11">
        <v>3.0000000000000001E-3</v>
      </c>
      <c r="F18" s="10">
        <v>3897</v>
      </c>
      <c r="G18" s="11">
        <v>1E-3</v>
      </c>
      <c r="H18" s="11">
        <v>5.2999999999999999E-2</v>
      </c>
      <c r="I18" s="10">
        <v>1479500</v>
      </c>
      <c r="J18" s="12" t="s">
        <v>4445</v>
      </c>
      <c r="K18" s="12">
        <v>205</v>
      </c>
      <c r="L18" s="12" t="s">
        <v>4446</v>
      </c>
      <c r="M18" s="10">
        <v>1283836170</v>
      </c>
      <c r="N18" s="10">
        <v>169684</v>
      </c>
      <c r="O18" s="12">
        <v>23</v>
      </c>
    </row>
    <row r="19" spans="1:15" ht="27" x14ac:dyDescent="0.3">
      <c r="A19" s="9">
        <v>43537</v>
      </c>
      <c r="B19" s="12">
        <v>42</v>
      </c>
      <c r="C19" s="11">
        <v>8.0000000000000002E-3</v>
      </c>
      <c r="D19" s="12">
        <v>44</v>
      </c>
      <c r="E19" s="11">
        <v>3.0000000000000001E-3</v>
      </c>
      <c r="F19" s="10">
        <v>4284</v>
      </c>
      <c r="G19" s="11">
        <v>2E-3</v>
      </c>
      <c r="H19" s="11">
        <v>6.6000000000000003E-2</v>
      </c>
      <c r="I19" s="10">
        <v>2112500</v>
      </c>
      <c r="J19" s="12" t="s">
        <v>4447</v>
      </c>
      <c r="K19" s="12">
        <v>282</v>
      </c>
      <c r="L19" s="12" t="s">
        <v>4448</v>
      </c>
      <c r="M19" s="10">
        <v>1285948670</v>
      </c>
      <c r="N19" s="10">
        <v>169966</v>
      </c>
      <c r="O19" s="12">
        <v>17</v>
      </c>
    </row>
    <row r="20" spans="1:15" ht="27" x14ac:dyDescent="0.3">
      <c r="A20" s="9">
        <v>43538</v>
      </c>
      <c r="B20" s="12">
        <v>9</v>
      </c>
      <c r="C20" s="11">
        <v>2E-3</v>
      </c>
      <c r="D20" s="12">
        <v>9</v>
      </c>
      <c r="E20" s="11">
        <v>1E-3</v>
      </c>
      <c r="F20" s="12">
        <v>791</v>
      </c>
      <c r="G20" s="11">
        <v>0</v>
      </c>
      <c r="H20" s="11">
        <v>0.15</v>
      </c>
      <c r="I20" s="10">
        <v>671000</v>
      </c>
      <c r="J20" s="12" t="s">
        <v>4449</v>
      </c>
      <c r="K20" s="12">
        <v>119</v>
      </c>
      <c r="L20" s="12" t="s">
        <v>4450</v>
      </c>
      <c r="M20" s="10">
        <v>1286619670</v>
      </c>
      <c r="N20" s="10">
        <v>170085</v>
      </c>
      <c r="O20" s="12">
        <v>37</v>
      </c>
    </row>
    <row r="21" spans="1:15" ht="27" x14ac:dyDescent="0.3">
      <c r="A21" s="9">
        <v>43539</v>
      </c>
      <c r="B21" s="12">
        <v>8</v>
      </c>
      <c r="C21" s="11">
        <v>1E-3</v>
      </c>
      <c r="D21" s="12">
        <v>9</v>
      </c>
      <c r="E21" s="11">
        <v>0</v>
      </c>
      <c r="F21" s="12">
        <v>834</v>
      </c>
      <c r="G21" s="11">
        <v>0</v>
      </c>
      <c r="H21" s="11">
        <v>0.09</v>
      </c>
      <c r="I21" s="10">
        <v>428000</v>
      </c>
      <c r="J21" s="12" t="s">
        <v>4451</v>
      </c>
      <c r="K21" s="12">
        <v>75</v>
      </c>
      <c r="L21" s="12" t="s">
        <v>4452</v>
      </c>
      <c r="M21" s="10">
        <v>1287047670</v>
      </c>
      <c r="N21" s="10">
        <v>170160</v>
      </c>
      <c r="O21" s="12">
        <v>41</v>
      </c>
    </row>
    <row r="22" spans="1:15" ht="27" x14ac:dyDescent="0.3">
      <c r="A22" s="9">
        <v>43540</v>
      </c>
      <c r="B22" s="12">
        <v>6</v>
      </c>
      <c r="C22" s="11">
        <v>1E-3</v>
      </c>
      <c r="D22" s="12">
        <v>8</v>
      </c>
      <c r="E22" s="11">
        <v>0</v>
      </c>
      <c r="F22" s="12">
        <v>842</v>
      </c>
      <c r="G22" s="11">
        <v>0</v>
      </c>
      <c r="H22" s="11">
        <v>8.1000000000000003E-2</v>
      </c>
      <c r="I22" s="10">
        <v>438000</v>
      </c>
      <c r="J22" s="12" t="s">
        <v>4453</v>
      </c>
      <c r="K22" s="12">
        <v>68</v>
      </c>
      <c r="L22" s="12" t="s">
        <v>4454</v>
      </c>
      <c r="M22" s="10">
        <v>1287485670</v>
      </c>
      <c r="N22" s="10">
        <v>170228</v>
      </c>
      <c r="O22" s="12">
        <v>55</v>
      </c>
    </row>
    <row r="23" spans="1:15" ht="27" x14ac:dyDescent="0.3">
      <c r="A23" s="9">
        <v>43541</v>
      </c>
      <c r="B23" s="12">
        <v>5</v>
      </c>
      <c r="C23" s="11">
        <v>1E-3</v>
      </c>
      <c r="D23" s="12">
        <v>7</v>
      </c>
      <c r="E23" s="11">
        <v>0</v>
      </c>
      <c r="F23" s="12">
        <v>626</v>
      </c>
      <c r="G23" s="11">
        <v>0</v>
      </c>
      <c r="H23" s="11">
        <v>9.0999999999999998E-2</v>
      </c>
      <c r="I23" s="10">
        <v>405000</v>
      </c>
      <c r="J23" s="12" t="s">
        <v>4455</v>
      </c>
      <c r="K23" s="12">
        <v>57</v>
      </c>
      <c r="L23" s="12" t="s">
        <v>4456</v>
      </c>
      <c r="M23" s="10">
        <v>1287890670</v>
      </c>
      <c r="N23" s="10">
        <v>170285</v>
      </c>
      <c r="O23" s="12">
        <v>57</v>
      </c>
    </row>
    <row r="24" spans="1:15" ht="27" x14ac:dyDescent="0.3">
      <c r="A24" s="9">
        <v>43542</v>
      </c>
      <c r="B24" s="12">
        <v>5</v>
      </c>
      <c r="C24" s="11">
        <v>1E-3</v>
      </c>
      <c r="D24" s="12">
        <v>5</v>
      </c>
      <c r="E24" s="11">
        <v>0</v>
      </c>
      <c r="F24" s="12">
        <v>499</v>
      </c>
      <c r="G24" s="11">
        <v>0</v>
      </c>
      <c r="H24" s="11">
        <v>6.4000000000000001E-2</v>
      </c>
      <c r="I24" s="10">
        <v>204000</v>
      </c>
      <c r="J24" s="12" t="s">
        <v>4457</v>
      </c>
      <c r="K24" s="12">
        <v>32</v>
      </c>
      <c r="L24" s="12" t="s">
        <v>4458</v>
      </c>
      <c r="M24" s="10">
        <v>1288094670</v>
      </c>
      <c r="N24" s="10">
        <v>170317</v>
      </c>
      <c r="O24" s="12">
        <v>48</v>
      </c>
    </row>
    <row r="25" spans="1:15" ht="27" x14ac:dyDescent="0.3">
      <c r="A25" s="9">
        <v>43543</v>
      </c>
      <c r="B25" s="12">
        <v>6</v>
      </c>
      <c r="C25" s="11">
        <v>1E-3</v>
      </c>
      <c r="D25" s="12">
        <v>7</v>
      </c>
      <c r="E25" s="11">
        <v>0</v>
      </c>
      <c r="F25" s="12">
        <v>708</v>
      </c>
      <c r="G25" s="11">
        <v>0</v>
      </c>
      <c r="H25" s="11">
        <v>0.106</v>
      </c>
      <c r="I25" s="10">
        <v>464000</v>
      </c>
      <c r="J25" s="12" t="s">
        <v>4459</v>
      </c>
      <c r="K25" s="12">
        <v>75</v>
      </c>
      <c r="L25" s="12" t="s">
        <v>4460</v>
      </c>
      <c r="M25" s="10">
        <v>1288558670</v>
      </c>
      <c r="N25" s="10">
        <v>170392</v>
      </c>
      <c r="O25" s="12">
        <v>41</v>
      </c>
    </row>
    <row r="26" spans="1:15" ht="27" x14ac:dyDescent="0.3">
      <c r="A26" s="9">
        <v>43544</v>
      </c>
      <c r="B26" s="12">
        <v>2</v>
      </c>
      <c r="C26" s="11">
        <v>0</v>
      </c>
      <c r="D26" s="12">
        <v>2</v>
      </c>
      <c r="E26" s="11">
        <v>0</v>
      </c>
      <c r="F26" s="12">
        <v>242</v>
      </c>
      <c r="G26" s="11">
        <v>0</v>
      </c>
      <c r="H26" s="11">
        <v>3.6999999999999998E-2</v>
      </c>
      <c r="I26" s="10">
        <v>52000</v>
      </c>
      <c r="J26" s="12" t="s">
        <v>4461</v>
      </c>
      <c r="K26" s="12">
        <v>9</v>
      </c>
      <c r="L26" s="12" t="s">
        <v>4462</v>
      </c>
      <c r="M26" s="10">
        <v>1288610670</v>
      </c>
      <c r="N26" s="10">
        <v>170401</v>
      </c>
      <c r="O26" s="12">
        <v>71</v>
      </c>
    </row>
    <row r="27" spans="1:15" ht="27" x14ac:dyDescent="0.3">
      <c r="A27" s="9">
        <v>43545</v>
      </c>
      <c r="B27" s="12">
        <v>8</v>
      </c>
      <c r="C27" s="11">
        <v>2E-3</v>
      </c>
      <c r="D27" s="12">
        <v>9</v>
      </c>
      <c r="E27" s="11">
        <v>1E-3</v>
      </c>
      <c r="F27" s="10">
        <v>2116</v>
      </c>
      <c r="G27" s="11">
        <v>1E-3</v>
      </c>
      <c r="H27" s="11">
        <v>0.85099999999999998</v>
      </c>
      <c r="I27" s="10">
        <v>16191000</v>
      </c>
      <c r="J27" s="12" t="s">
        <v>4463</v>
      </c>
      <c r="K27" s="10">
        <v>1801</v>
      </c>
      <c r="L27" s="12" t="s">
        <v>4464</v>
      </c>
      <c r="M27" s="10">
        <v>1304801670</v>
      </c>
      <c r="N27" s="10">
        <v>172202</v>
      </c>
      <c r="O27" s="12">
        <v>11</v>
      </c>
    </row>
    <row r="28" spans="1:15" ht="27" x14ac:dyDescent="0.3">
      <c r="A28" s="9">
        <v>43546</v>
      </c>
      <c r="B28" s="12">
        <v>2</v>
      </c>
      <c r="C28" s="11">
        <v>0</v>
      </c>
      <c r="D28" s="12">
        <v>2</v>
      </c>
      <c r="E28" s="11">
        <v>0</v>
      </c>
      <c r="F28" s="12">
        <v>233</v>
      </c>
      <c r="G28" s="11">
        <v>0</v>
      </c>
      <c r="H28" s="11">
        <v>8.9999999999999993E-3</v>
      </c>
      <c r="I28" s="10">
        <v>12000</v>
      </c>
      <c r="J28" s="12" t="s">
        <v>4465</v>
      </c>
      <c r="K28" s="12">
        <v>2</v>
      </c>
      <c r="L28" s="12" t="s">
        <v>4466</v>
      </c>
      <c r="M28" s="10">
        <v>1304813670</v>
      </c>
      <c r="N28" s="10">
        <v>172204</v>
      </c>
      <c r="O28" s="12">
        <v>92</v>
      </c>
    </row>
    <row r="29" spans="1:15" ht="27" x14ac:dyDescent="0.3">
      <c r="A29" s="9">
        <v>43547</v>
      </c>
      <c r="B29" s="12">
        <v>1</v>
      </c>
      <c r="C29" s="11">
        <v>0</v>
      </c>
      <c r="D29" s="12">
        <v>1</v>
      </c>
      <c r="E29" s="11">
        <v>0</v>
      </c>
      <c r="F29" s="12">
        <v>150</v>
      </c>
      <c r="G29" s="11">
        <v>0</v>
      </c>
      <c r="H29" s="11">
        <v>7.0000000000000001E-3</v>
      </c>
      <c r="I29" s="10">
        <v>6000</v>
      </c>
      <c r="J29" s="12" t="s">
        <v>4467</v>
      </c>
      <c r="K29" s="12">
        <v>1</v>
      </c>
      <c r="L29" s="12" t="s">
        <v>2338</v>
      </c>
      <c r="M29" s="10">
        <v>1304819670</v>
      </c>
      <c r="N29" s="10">
        <v>172205</v>
      </c>
      <c r="O29" s="12">
        <v>112</v>
      </c>
    </row>
    <row r="30" spans="1:15" x14ac:dyDescent="0.3">
      <c r="A30" s="9">
        <v>43548</v>
      </c>
      <c r="B30" s="12">
        <v>1</v>
      </c>
      <c r="C30" s="11">
        <v>0</v>
      </c>
      <c r="D30" s="12">
        <v>1</v>
      </c>
      <c r="E30" s="11">
        <v>0</v>
      </c>
      <c r="F30" s="12">
        <v>150</v>
      </c>
      <c r="G30" s="11">
        <v>0</v>
      </c>
      <c r="H30" s="11">
        <v>7.0000000000000001E-3</v>
      </c>
      <c r="I30" s="10">
        <v>6000</v>
      </c>
      <c r="J30" s="12" t="s">
        <v>292</v>
      </c>
      <c r="K30" s="12">
        <v>1</v>
      </c>
      <c r="L30" s="12" t="s">
        <v>292</v>
      </c>
      <c r="M30" s="10">
        <v>1304825670</v>
      </c>
      <c r="N30" s="10">
        <v>172206</v>
      </c>
      <c r="O30" s="12">
        <v>116</v>
      </c>
    </row>
    <row r="31" spans="1:15" ht="27" x14ac:dyDescent="0.3">
      <c r="A31" s="9">
        <v>43549</v>
      </c>
      <c r="B31" s="12">
        <v>2</v>
      </c>
      <c r="C31" s="11">
        <v>0</v>
      </c>
      <c r="D31" s="12">
        <v>2</v>
      </c>
      <c r="E31" s="11">
        <v>0</v>
      </c>
      <c r="F31" s="12">
        <v>233</v>
      </c>
      <c r="G31" s="11">
        <v>0</v>
      </c>
      <c r="H31" s="11">
        <v>8.9999999999999993E-3</v>
      </c>
      <c r="I31" s="10">
        <v>12000</v>
      </c>
      <c r="J31" s="12" t="s">
        <v>1555</v>
      </c>
      <c r="K31" s="12">
        <v>2</v>
      </c>
      <c r="L31" s="12" t="s">
        <v>312</v>
      </c>
      <c r="M31" s="10">
        <v>1304837670</v>
      </c>
      <c r="N31" s="10">
        <v>172208</v>
      </c>
      <c r="O31" s="12">
        <v>86</v>
      </c>
    </row>
    <row r="32" spans="1:15" x14ac:dyDescent="0.3">
      <c r="A32" s="9">
        <v>43550</v>
      </c>
      <c r="B32" s="12">
        <v>2</v>
      </c>
      <c r="C32" s="11">
        <v>0</v>
      </c>
      <c r="D32" s="12">
        <v>2</v>
      </c>
      <c r="E32" s="11">
        <v>0</v>
      </c>
      <c r="F32" s="12">
        <v>233</v>
      </c>
      <c r="G32" s="11">
        <v>0</v>
      </c>
      <c r="H32" s="11">
        <v>8.9999999999999993E-3</v>
      </c>
      <c r="I32" s="10">
        <v>12000</v>
      </c>
      <c r="J32" s="12" t="s">
        <v>292</v>
      </c>
      <c r="K32" s="12">
        <v>2</v>
      </c>
      <c r="L32" s="12" t="s">
        <v>292</v>
      </c>
      <c r="M32" s="10">
        <v>1304849670</v>
      </c>
      <c r="N32" s="10">
        <v>172210</v>
      </c>
      <c r="O32" s="12">
        <v>104</v>
      </c>
    </row>
    <row r="33" spans="1:15" x14ac:dyDescent="0.3">
      <c r="A33" s="9">
        <v>43551</v>
      </c>
      <c r="B33" s="12">
        <v>2</v>
      </c>
      <c r="C33" s="11">
        <v>0</v>
      </c>
      <c r="D33" s="12">
        <v>2</v>
      </c>
      <c r="E33" s="11">
        <v>0</v>
      </c>
      <c r="F33" s="12">
        <v>233</v>
      </c>
      <c r="G33" s="11">
        <v>0</v>
      </c>
      <c r="H33" s="11">
        <v>8.9999999999999993E-3</v>
      </c>
      <c r="I33" s="10">
        <v>12000</v>
      </c>
      <c r="J33" s="12" t="s">
        <v>292</v>
      </c>
      <c r="K33" s="12">
        <v>2</v>
      </c>
      <c r="L33" s="12" t="s">
        <v>292</v>
      </c>
      <c r="M33" s="10">
        <v>1304861670</v>
      </c>
      <c r="N33" s="10">
        <v>172212</v>
      </c>
      <c r="O33" s="12">
        <v>113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9763F-7502-4691-AC58-AFF6D1806CA9}">
  <dimension ref="A1:O82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8.375" bestFit="1" customWidth="1"/>
    <col min="7" max="8" width="9.625" bestFit="1" customWidth="1"/>
    <col min="9" max="9" width="11.5" bestFit="1" customWidth="1"/>
    <col min="10" max="10" width="21.25" bestFit="1" customWidth="1"/>
    <col min="11" max="11" width="8.37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4468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43530</v>
      </c>
      <c r="B5" s="10">
        <v>2017</v>
      </c>
      <c r="C5" s="11">
        <v>0.4</v>
      </c>
      <c r="D5" s="10">
        <v>11021</v>
      </c>
      <c r="E5" s="11">
        <v>0.61</v>
      </c>
      <c r="F5" s="10">
        <v>1967212</v>
      </c>
      <c r="G5" s="11">
        <v>0.69299999999999995</v>
      </c>
      <c r="H5" s="11">
        <v>0.23400000000000001</v>
      </c>
      <c r="I5" s="10">
        <v>3957930530</v>
      </c>
      <c r="J5" s="12" t="s">
        <v>4470</v>
      </c>
      <c r="K5" s="10">
        <v>461134</v>
      </c>
      <c r="L5" s="12" t="s">
        <v>4471</v>
      </c>
      <c r="M5" s="10">
        <v>3967290530</v>
      </c>
      <c r="N5" s="10">
        <v>461758</v>
      </c>
      <c r="O5" s="12">
        <v>1</v>
      </c>
    </row>
    <row r="6" spans="1:15" ht="15" customHeight="1" x14ac:dyDescent="0.3">
      <c r="A6" s="9">
        <v>43531</v>
      </c>
      <c r="B6" s="10">
        <v>1997</v>
      </c>
      <c r="C6" s="11">
        <v>0.38100000000000001</v>
      </c>
      <c r="D6" s="10">
        <v>10954</v>
      </c>
      <c r="E6" s="11">
        <v>0.61099999999999999</v>
      </c>
      <c r="F6" s="10">
        <v>1957169</v>
      </c>
      <c r="G6" s="11">
        <v>0.69399999999999995</v>
      </c>
      <c r="H6" s="11">
        <v>0.16</v>
      </c>
      <c r="I6" s="10">
        <v>2689305210</v>
      </c>
      <c r="J6" s="12" t="s">
        <v>4472</v>
      </c>
      <c r="K6" s="10">
        <v>312694</v>
      </c>
      <c r="L6" s="12" t="s">
        <v>4473</v>
      </c>
      <c r="M6" s="10">
        <v>6656595740</v>
      </c>
      <c r="N6" s="10">
        <v>774452</v>
      </c>
      <c r="O6" s="12">
        <v>1</v>
      </c>
    </row>
    <row r="7" spans="1:15" ht="15" customHeight="1" x14ac:dyDescent="0.3">
      <c r="A7" s="9">
        <v>43532</v>
      </c>
      <c r="B7" s="10">
        <v>2014</v>
      </c>
      <c r="C7" s="11">
        <v>0.379</v>
      </c>
      <c r="D7" s="10">
        <v>11220</v>
      </c>
      <c r="E7" s="11">
        <v>0.61099999999999999</v>
      </c>
      <c r="F7" s="10">
        <v>1996701</v>
      </c>
      <c r="G7" s="11">
        <v>0.69399999999999995</v>
      </c>
      <c r="H7" s="11">
        <v>0.20699999999999999</v>
      </c>
      <c r="I7" s="10">
        <v>3876308141</v>
      </c>
      <c r="J7" s="12" t="s">
        <v>4474</v>
      </c>
      <c r="K7" s="10">
        <v>413068</v>
      </c>
      <c r="L7" s="12" t="s">
        <v>4475</v>
      </c>
      <c r="M7" s="10">
        <v>10532903881</v>
      </c>
      <c r="N7" s="10">
        <v>1187520</v>
      </c>
      <c r="O7" s="12">
        <v>1</v>
      </c>
    </row>
    <row r="8" spans="1:15" ht="15" customHeight="1" x14ac:dyDescent="0.3">
      <c r="A8" s="9">
        <v>43533</v>
      </c>
      <c r="B8" s="10">
        <v>2100</v>
      </c>
      <c r="C8" s="11">
        <v>0.36099999999999999</v>
      </c>
      <c r="D8" s="10">
        <v>12039</v>
      </c>
      <c r="E8" s="11">
        <v>0.621</v>
      </c>
      <c r="F8" s="10">
        <v>2112756</v>
      </c>
      <c r="G8" s="11">
        <v>0.70199999999999996</v>
      </c>
      <c r="H8" s="11">
        <v>0.47399999999999998</v>
      </c>
      <c r="I8" s="10">
        <v>9080401749</v>
      </c>
      <c r="J8" s="12" t="s">
        <v>4476</v>
      </c>
      <c r="K8" s="10">
        <v>1001712</v>
      </c>
      <c r="L8" s="12" t="s">
        <v>4477</v>
      </c>
      <c r="M8" s="10">
        <v>19613305630</v>
      </c>
      <c r="N8" s="10">
        <v>2189232</v>
      </c>
      <c r="O8" s="12">
        <v>1</v>
      </c>
    </row>
    <row r="9" spans="1:15" ht="15" customHeight="1" x14ac:dyDescent="0.3">
      <c r="A9" s="9">
        <v>43534</v>
      </c>
      <c r="B9" s="10">
        <v>2089</v>
      </c>
      <c r="C9" s="11">
        <v>0.36299999999999999</v>
      </c>
      <c r="D9" s="10">
        <v>11734</v>
      </c>
      <c r="E9" s="11">
        <v>0.62</v>
      </c>
      <c r="F9" s="10">
        <v>2066036</v>
      </c>
      <c r="G9" s="11">
        <v>0.70199999999999996</v>
      </c>
      <c r="H9" s="11">
        <v>0.41</v>
      </c>
      <c r="I9" s="10">
        <v>7595577580</v>
      </c>
      <c r="J9" s="12" t="s">
        <v>4478</v>
      </c>
      <c r="K9" s="10">
        <v>847394</v>
      </c>
      <c r="L9" s="12" t="s">
        <v>4479</v>
      </c>
      <c r="M9" s="10">
        <v>27208883210</v>
      </c>
      <c r="N9" s="10">
        <v>3036626</v>
      </c>
      <c r="O9" s="12">
        <v>1</v>
      </c>
    </row>
    <row r="10" spans="1:15" ht="15" customHeight="1" x14ac:dyDescent="0.3">
      <c r="A10" s="9">
        <v>43535</v>
      </c>
      <c r="B10" s="10">
        <v>1915</v>
      </c>
      <c r="C10" s="11">
        <v>0.38100000000000001</v>
      </c>
      <c r="D10" s="10">
        <v>10379</v>
      </c>
      <c r="E10" s="11">
        <v>0.60699999999999998</v>
      </c>
      <c r="F10" s="10">
        <v>1865227</v>
      </c>
      <c r="G10" s="11">
        <v>0.69</v>
      </c>
      <c r="H10" s="11">
        <v>9.0999999999999998E-2</v>
      </c>
      <c r="I10" s="10">
        <v>1466548520</v>
      </c>
      <c r="J10" s="12" t="s">
        <v>4480</v>
      </c>
      <c r="K10" s="10">
        <v>170529</v>
      </c>
      <c r="L10" s="12" t="s">
        <v>4481</v>
      </c>
      <c r="M10" s="10">
        <v>28675431730</v>
      </c>
      <c r="N10" s="10">
        <v>3207155</v>
      </c>
      <c r="O10" s="12">
        <v>1</v>
      </c>
    </row>
    <row r="11" spans="1:15" ht="15" customHeight="1" x14ac:dyDescent="0.3">
      <c r="A11" s="9">
        <v>43536</v>
      </c>
      <c r="B11" s="10">
        <v>1935</v>
      </c>
      <c r="C11" s="11">
        <v>0.375</v>
      </c>
      <c r="D11" s="10">
        <v>10223</v>
      </c>
      <c r="E11" s="11">
        <v>0.60399999999999998</v>
      </c>
      <c r="F11" s="10">
        <v>1832839</v>
      </c>
      <c r="G11" s="11">
        <v>0.68500000000000005</v>
      </c>
      <c r="H11" s="11">
        <v>7.4999999999999997E-2</v>
      </c>
      <c r="I11" s="10">
        <v>1183058020</v>
      </c>
      <c r="J11" s="12" t="s">
        <v>4482</v>
      </c>
      <c r="K11" s="10">
        <v>137977</v>
      </c>
      <c r="L11" s="12" t="s">
        <v>4483</v>
      </c>
      <c r="M11" s="10">
        <v>29858489750</v>
      </c>
      <c r="N11" s="10">
        <v>3345132</v>
      </c>
      <c r="O11" s="12">
        <v>1</v>
      </c>
    </row>
    <row r="12" spans="1:15" ht="15" customHeight="1" x14ac:dyDescent="0.3">
      <c r="A12" s="9">
        <v>43537</v>
      </c>
      <c r="B12" s="10">
        <v>1874</v>
      </c>
      <c r="C12" s="11">
        <v>0.33800000000000002</v>
      </c>
      <c r="D12" s="10">
        <v>9673</v>
      </c>
      <c r="E12" s="11">
        <v>0.56499999999999995</v>
      </c>
      <c r="F12" s="10">
        <v>1749763</v>
      </c>
      <c r="G12" s="11">
        <v>0.64700000000000002</v>
      </c>
      <c r="H12" s="11">
        <v>7.1999999999999995E-2</v>
      </c>
      <c r="I12" s="10">
        <v>1086080280</v>
      </c>
      <c r="J12" s="12" t="s">
        <v>4484</v>
      </c>
      <c r="K12" s="10">
        <v>126639</v>
      </c>
      <c r="L12" s="12" t="s">
        <v>4485</v>
      </c>
      <c r="M12" s="10">
        <v>30944570030</v>
      </c>
      <c r="N12" s="10">
        <v>3471771</v>
      </c>
      <c r="O12" s="12">
        <v>1</v>
      </c>
    </row>
    <row r="13" spans="1:15" ht="15" customHeight="1" x14ac:dyDescent="0.3">
      <c r="A13" s="9">
        <v>43538</v>
      </c>
      <c r="B13" s="10">
        <v>1624</v>
      </c>
      <c r="C13" s="11">
        <v>0.28899999999999998</v>
      </c>
      <c r="D13" s="10">
        <v>8353</v>
      </c>
      <c r="E13" s="11">
        <v>0.47199999999999998</v>
      </c>
      <c r="F13" s="10">
        <v>1539396</v>
      </c>
      <c r="G13" s="11">
        <v>0.55300000000000005</v>
      </c>
      <c r="H13" s="11">
        <v>7.5999999999999998E-2</v>
      </c>
      <c r="I13" s="10">
        <v>1000984020</v>
      </c>
      <c r="J13" s="12" t="s">
        <v>4486</v>
      </c>
      <c r="K13" s="10">
        <v>116329</v>
      </c>
      <c r="L13" s="12" t="s">
        <v>4487</v>
      </c>
      <c r="M13" s="10">
        <v>31945554050</v>
      </c>
      <c r="N13" s="10">
        <v>3588100</v>
      </c>
      <c r="O13" s="12">
        <v>1</v>
      </c>
    </row>
    <row r="14" spans="1:15" ht="15" customHeight="1" x14ac:dyDescent="0.3">
      <c r="A14" s="9">
        <v>43539</v>
      </c>
      <c r="B14" s="10">
        <v>1648</v>
      </c>
      <c r="C14" s="11">
        <v>0.29199999999999998</v>
      </c>
      <c r="D14" s="10">
        <v>8789</v>
      </c>
      <c r="E14" s="11">
        <v>0.48099999999999998</v>
      </c>
      <c r="F14" s="10">
        <v>1609194</v>
      </c>
      <c r="G14" s="11">
        <v>0.56200000000000006</v>
      </c>
      <c r="H14" s="11">
        <v>0.108</v>
      </c>
      <c r="I14" s="10">
        <v>1629705206</v>
      </c>
      <c r="J14" s="12" t="s">
        <v>4488</v>
      </c>
      <c r="K14" s="10">
        <v>173930</v>
      </c>
      <c r="L14" s="12" t="s">
        <v>4489</v>
      </c>
      <c r="M14" s="10">
        <v>33575259256</v>
      </c>
      <c r="N14" s="10">
        <v>3762030</v>
      </c>
      <c r="O14" s="12">
        <v>1</v>
      </c>
    </row>
    <row r="15" spans="1:15" ht="15" customHeight="1" x14ac:dyDescent="0.3">
      <c r="A15" s="9">
        <v>43540</v>
      </c>
      <c r="B15" s="10">
        <v>1779</v>
      </c>
      <c r="C15" s="11">
        <v>0.26600000000000001</v>
      </c>
      <c r="D15" s="10">
        <v>9428</v>
      </c>
      <c r="E15" s="11">
        <v>0.48099999999999998</v>
      </c>
      <c r="F15" s="10">
        <v>1706573</v>
      </c>
      <c r="G15" s="11">
        <v>0.56299999999999994</v>
      </c>
      <c r="H15" s="11">
        <v>0.27700000000000002</v>
      </c>
      <c r="I15" s="10">
        <v>4298963163</v>
      </c>
      <c r="J15" s="12" t="s">
        <v>4490</v>
      </c>
      <c r="K15" s="10">
        <v>472295</v>
      </c>
      <c r="L15" s="12" t="s">
        <v>4491</v>
      </c>
      <c r="M15" s="10">
        <v>37874222419</v>
      </c>
      <c r="N15" s="10">
        <v>4234325</v>
      </c>
      <c r="O15" s="12">
        <v>1</v>
      </c>
    </row>
    <row r="16" spans="1:15" ht="15" customHeight="1" x14ac:dyDescent="0.3">
      <c r="A16" s="9">
        <v>43541</v>
      </c>
      <c r="B16" s="10">
        <v>1751</v>
      </c>
      <c r="C16" s="11">
        <v>0.26700000000000002</v>
      </c>
      <c r="D16" s="10">
        <v>9123</v>
      </c>
      <c r="E16" s="11">
        <v>0.48</v>
      </c>
      <c r="F16" s="10">
        <v>1660538</v>
      </c>
      <c r="G16" s="11">
        <v>0.56200000000000006</v>
      </c>
      <c r="H16" s="11">
        <v>0.22</v>
      </c>
      <c r="I16" s="10">
        <v>3282193790</v>
      </c>
      <c r="J16" s="12" t="s">
        <v>4492</v>
      </c>
      <c r="K16" s="10">
        <v>365797</v>
      </c>
      <c r="L16" s="12" t="s">
        <v>4493</v>
      </c>
      <c r="M16" s="10">
        <v>41156416209</v>
      </c>
      <c r="N16" s="10">
        <v>4600122</v>
      </c>
      <c r="O16" s="12">
        <v>1</v>
      </c>
    </row>
    <row r="17" spans="1:15" ht="15" customHeight="1" x14ac:dyDescent="0.3">
      <c r="A17" s="9">
        <v>43542</v>
      </c>
      <c r="B17" s="10">
        <v>1592</v>
      </c>
      <c r="C17" s="11">
        <v>0.29499999999999998</v>
      </c>
      <c r="D17" s="10">
        <v>8043</v>
      </c>
      <c r="E17" s="11">
        <v>0.47699999999999998</v>
      </c>
      <c r="F17" s="10">
        <v>1491551</v>
      </c>
      <c r="G17" s="11">
        <v>0.55900000000000005</v>
      </c>
      <c r="H17" s="11">
        <v>5.6000000000000001E-2</v>
      </c>
      <c r="I17" s="10">
        <v>699257770</v>
      </c>
      <c r="J17" s="12" t="s">
        <v>4494</v>
      </c>
      <c r="K17" s="10">
        <v>82944</v>
      </c>
      <c r="L17" s="12" t="s">
        <v>4495</v>
      </c>
      <c r="M17" s="10">
        <v>41855673979</v>
      </c>
      <c r="N17" s="10">
        <v>4683066</v>
      </c>
      <c r="O17" s="12">
        <v>1</v>
      </c>
    </row>
    <row r="18" spans="1:15" ht="15" customHeight="1" x14ac:dyDescent="0.3">
      <c r="A18" s="9">
        <v>43543</v>
      </c>
      <c r="B18" s="10">
        <v>1599</v>
      </c>
      <c r="C18" s="11">
        <v>0.28999999999999998</v>
      </c>
      <c r="D18" s="10">
        <v>7813</v>
      </c>
      <c r="E18" s="11">
        <v>0.47299999999999998</v>
      </c>
      <c r="F18" s="10">
        <v>1449516</v>
      </c>
      <c r="G18" s="11">
        <v>0.55500000000000005</v>
      </c>
      <c r="H18" s="11">
        <v>0.05</v>
      </c>
      <c r="I18" s="10">
        <v>609359330</v>
      </c>
      <c r="J18" s="12" t="s">
        <v>4496</v>
      </c>
      <c r="K18" s="10">
        <v>72224</v>
      </c>
      <c r="L18" s="12" t="s">
        <v>4497</v>
      </c>
      <c r="M18" s="10">
        <v>42465033309</v>
      </c>
      <c r="N18" s="10">
        <v>4755290</v>
      </c>
      <c r="O18" s="12">
        <v>1</v>
      </c>
    </row>
    <row r="19" spans="1:15" ht="15" customHeight="1" x14ac:dyDescent="0.3">
      <c r="A19" s="9">
        <v>43544</v>
      </c>
      <c r="B19" s="12">
        <v>729</v>
      </c>
      <c r="C19" s="11">
        <v>0.13700000000000001</v>
      </c>
      <c r="D19" s="10">
        <v>2840</v>
      </c>
      <c r="E19" s="11">
        <v>0.17</v>
      </c>
      <c r="F19" s="10">
        <v>486417</v>
      </c>
      <c r="G19" s="11">
        <v>0.184</v>
      </c>
      <c r="H19" s="11">
        <v>9.5000000000000001E-2</v>
      </c>
      <c r="I19" s="10">
        <v>395671940</v>
      </c>
      <c r="J19" s="12" t="s">
        <v>4498</v>
      </c>
      <c r="K19" s="10">
        <v>46019</v>
      </c>
      <c r="L19" s="12" t="s">
        <v>4499</v>
      </c>
      <c r="M19" s="10">
        <v>42860705249</v>
      </c>
      <c r="N19" s="10">
        <v>4801309</v>
      </c>
      <c r="O19" s="12">
        <v>2</v>
      </c>
    </row>
    <row r="20" spans="1:15" ht="15" customHeight="1" x14ac:dyDescent="0.3">
      <c r="A20" s="9">
        <v>43545</v>
      </c>
      <c r="B20" s="12">
        <v>738</v>
      </c>
      <c r="C20" s="11">
        <v>0.14099999999999999</v>
      </c>
      <c r="D20" s="10">
        <v>2923</v>
      </c>
      <c r="E20" s="11">
        <v>0.16800000000000001</v>
      </c>
      <c r="F20" s="10">
        <v>499243</v>
      </c>
      <c r="G20" s="11">
        <v>0.18099999999999999</v>
      </c>
      <c r="H20" s="11">
        <v>9.0999999999999998E-2</v>
      </c>
      <c r="I20" s="10">
        <v>388328160</v>
      </c>
      <c r="J20" s="12" t="s">
        <v>4500</v>
      </c>
      <c r="K20" s="10">
        <v>45256</v>
      </c>
      <c r="L20" s="12" t="s">
        <v>4501</v>
      </c>
      <c r="M20" s="10">
        <v>43249033409</v>
      </c>
      <c r="N20" s="10">
        <v>4846565</v>
      </c>
      <c r="O20" s="12">
        <v>2</v>
      </c>
    </row>
    <row r="21" spans="1:15" ht="15" customHeight="1" x14ac:dyDescent="0.3">
      <c r="A21" s="9">
        <v>43546</v>
      </c>
      <c r="B21" s="12">
        <v>812</v>
      </c>
      <c r="C21" s="11">
        <v>0.153</v>
      </c>
      <c r="D21" s="10">
        <v>3252</v>
      </c>
      <c r="E21" s="11">
        <v>0.183</v>
      </c>
      <c r="F21" s="10">
        <v>550067</v>
      </c>
      <c r="G21" s="11">
        <v>0.19600000000000001</v>
      </c>
      <c r="H21" s="11">
        <v>0.11899999999999999</v>
      </c>
      <c r="I21" s="10">
        <v>609926536</v>
      </c>
      <c r="J21" s="12" t="s">
        <v>4502</v>
      </c>
      <c r="K21" s="10">
        <v>65373</v>
      </c>
      <c r="L21" s="12" t="s">
        <v>4503</v>
      </c>
      <c r="M21" s="10">
        <v>43858959945</v>
      </c>
      <c r="N21" s="10">
        <v>4911938</v>
      </c>
      <c r="O21" s="12">
        <v>2</v>
      </c>
    </row>
    <row r="22" spans="1:15" ht="15" customHeight="1" x14ac:dyDescent="0.3">
      <c r="A22" s="9">
        <v>43547</v>
      </c>
      <c r="B22" s="12">
        <v>938</v>
      </c>
      <c r="C22" s="11">
        <v>0.16400000000000001</v>
      </c>
      <c r="D22" s="10">
        <v>3821</v>
      </c>
      <c r="E22" s="11">
        <v>0.2</v>
      </c>
      <c r="F22" s="10">
        <v>618150</v>
      </c>
      <c r="G22" s="11">
        <v>0.20699999999999999</v>
      </c>
      <c r="H22" s="11">
        <v>0.28899999999999998</v>
      </c>
      <c r="I22" s="10">
        <v>1621661501</v>
      </c>
      <c r="J22" s="12" t="s">
        <v>4504</v>
      </c>
      <c r="K22" s="10">
        <v>178487</v>
      </c>
      <c r="L22" s="12" t="s">
        <v>4505</v>
      </c>
      <c r="M22" s="10">
        <v>45480621446</v>
      </c>
      <c r="N22" s="10">
        <v>5090425</v>
      </c>
      <c r="O22" s="12">
        <v>2</v>
      </c>
    </row>
    <row r="23" spans="1:15" ht="15" customHeight="1" x14ac:dyDescent="0.3">
      <c r="A23" s="9">
        <v>43548</v>
      </c>
      <c r="B23" s="12">
        <v>947</v>
      </c>
      <c r="C23" s="11">
        <v>0.16600000000000001</v>
      </c>
      <c r="D23" s="10">
        <v>3768</v>
      </c>
      <c r="E23" s="11">
        <v>0.20200000000000001</v>
      </c>
      <c r="F23" s="10">
        <v>610942</v>
      </c>
      <c r="G23" s="11">
        <v>0.20899999999999999</v>
      </c>
      <c r="H23" s="11">
        <v>0.23300000000000001</v>
      </c>
      <c r="I23" s="10">
        <v>1275765220</v>
      </c>
      <c r="J23" s="12" t="s">
        <v>4506</v>
      </c>
      <c r="K23" s="10">
        <v>142380</v>
      </c>
      <c r="L23" s="12" t="s">
        <v>4507</v>
      </c>
      <c r="M23" s="10">
        <v>46756386666</v>
      </c>
      <c r="N23" s="10">
        <v>5232805</v>
      </c>
      <c r="O23" s="12">
        <v>2</v>
      </c>
    </row>
    <row r="24" spans="1:15" ht="15" customHeight="1" x14ac:dyDescent="0.3">
      <c r="A24" s="9">
        <v>43549</v>
      </c>
      <c r="B24" s="12">
        <v>785</v>
      </c>
      <c r="C24" s="11">
        <v>0.16</v>
      </c>
      <c r="D24" s="10">
        <v>3330</v>
      </c>
      <c r="E24" s="11">
        <v>0.19700000000000001</v>
      </c>
      <c r="F24" s="10">
        <v>563351</v>
      </c>
      <c r="G24" s="11">
        <v>0.20899999999999999</v>
      </c>
      <c r="H24" s="11">
        <v>5.8000000000000003E-2</v>
      </c>
      <c r="I24" s="10">
        <v>277223930</v>
      </c>
      <c r="J24" s="12" t="s">
        <v>4508</v>
      </c>
      <c r="K24" s="10">
        <v>32899</v>
      </c>
      <c r="L24" s="12" t="s">
        <v>4509</v>
      </c>
      <c r="M24" s="10">
        <v>47033610596</v>
      </c>
      <c r="N24" s="10">
        <v>5265704</v>
      </c>
      <c r="O24" s="12">
        <v>2</v>
      </c>
    </row>
    <row r="25" spans="1:15" ht="15" customHeight="1" x14ac:dyDescent="0.3">
      <c r="A25" s="9">
        <v>43550</v>
      </c>
      <c r="B25" s="12">
        <v>806</v>
      </c>
      <c r="C25" s="11">
        <v>0.159</v>
      </c>
      <c r="D25" s="10">
        <v>3285</v>
      </c>
      <c r="E25" s="11">
        <v>0.19600000000000001</v>
      </c>
      <c r="F25" s="10">
        <v>557079</v>
      </c>
      <c r="G25" s="11">
        <v>0.20799999999999999</v>
      </c>
      <c r="H25" s="11">
        <v>5.2999999999999999E-2</v>
      </c>
      <c r="I25" s="10">
        <v>249453760</v>
      </c>
      <c r="J25" s="12" t="s">
        <v>4510</v>
      </c>
      <c r="K25" s="10">
        <v>29769</v>
      </c>
      <c r="L25" s="12" t="s">
        <v>4511</v>
      </c>
      <c r="M25" s="10">
        <v>47283064356</v>
      </c>
      <c r="N25" s="10">
        <v>5295473</v>
      </c>
      <c r="O25" s="12">
        <v>2</v>
      </c>
    </row>
    <row r="26" spans="1:15" ht="15" customHeight="1" x14ac:dyDescent="0.3">
      <c r="A26" s="9">
        <v>43551</v>
      </c>
      <c r="B26" s="12">
        <v>636</v>
      </c>
      <c r="C26" s="11">
        <v>0.10199999999999999</v>
      </c>
      <c r="D26" s="10">
        <v>1848</v>
      </c>
      <c r="E26" s="11">
        <v>0.10299999999999999</v>
      </c>
      <c r="F26" s="10">
        <v>273159</v>
      </c>
      <c r="G26" s="11">
        <v>9.6000000000000002E-2</v>
      </c>
      <c r="H26" s="11">
        <v>0.17</v>
      </c>
      <c r="I26" s="10">
        <v>275454410</v>
      </c>
      <c r="J26" s="12" t="s">
        <v>4512</v>
      </c>
      <c r="K26" s="10">
        <v>46504</v>
      </c>
      <c r="L26" s="12" t="s">
        <v>4513</v>
      </c>
      <c r="M26" s="10">
        <v>47558518766</v>
      </c>
      <c r="N26" s="10">
        <v>5341977</v>
      </c>
      <c r="O26" s="12">
        <v>3</v>
      </c>
    </row>
    <row r="27" spans="1:15" ht="15" customHeight="1" x14ac:dyDescent="0.3">
      <c r="A27" s="9">
        <v>43552</v>
      </c>
      <c r="B27" s="12">
        <v>552</v>
      </c>
      <c r="C27" s="11">
        <v>9.4E-2</v>
      </c>
      <c r="D27" s="10">
        <v>1616</v>
      </c>
      <c r="E27" s="11">
        <v>9.0999999999999998E-2</v>
      </c>
      <c r="F27" s="10">
        <v>238537</v>
      </c>
      <c r="G27" s="11">
        <v>8.5000000000000006E-2</v>
      </c>
      <c r="H27" s="11">
        <v>9.9000000000000005E-2</v>
      </c>
      <c r="I27" s="10">
        <v>194516210</v>
      </c>
      <c r="J27" s="12" t="s">
        <v>4514</v>
      </c>
      <c r="K27" s="10">
        <v>23510</v>
      </c>
      <c r="L27" s="12" t="s">
        <v>4515</v>
      </c>
      <c r="M27" s="10">
        <v>47753034976</v>
      </c>
      <c r="N27" s="10">
        <v>5365487</v>
      </c>
      <c r="O27" s="12">
        <v>3</v>
      </c>
    </row>
    <row r="28" spans="1:15" ht="15" customHeight="1" x14ac:dyDescent="0.3">
      <c r="A28" s="9">
        <v>43553</v>
      </c>
      <c r="B28" s="12">
        <v>571</v>
      </c>
      <c r="C28" s="11">
        <v>9.8000000000000004E-2</v>
      </c>
      <c r="D28" s="10">
        <v>1715</v>
      </c>
      <c r="E28" s="11">
        <v>9.4E-2</v>
      </c>
      <c r="F28" s="10">
        <v>250875</v>
      </c>
      <c r="G28" s="11">
        <v>8.6999999999999994E-2</v>
      </c>
      <c r="H28" s="11">
        <v>0.123</v>
      </c>
      <c r="I28" s="10">
        <v>271653717</v>
      </c>
      <c r="J28" s="12" t="s">
        <v>4516</v>
      </c>
      <c r="K28" s="10">
        <v>30748</v>
      </c>
      <c r="L28" s="12" t="s">
        <v>4517</v>
      </c>
      <c r="M28" s="10">
        <v>48024688693</v>
      </c>
      <c r="N28" s="10">
        <v>5396235</v>
      </c>
      <c r="O28" s="12">
        <v>3</v>
      </c>
    </row>
    <row r="29" spans="1:15" ht="15" customHeight="1" x14ac:dyDescent="0.3">
      <c r="A29" s="9">
        <v>43554</v>
      </c>
      <c r="B29" s="12">
        <v>619</v>
      </c>
      <c r="C29" s="11">
        <v>9.8000000000000004E-2</v>
      </c>
      <c r="D29" s="10">
        <v>1895</v>
      </c>
      <c r="E29" s="11">
        <v>9.7000000000000003E-2</v>
      </c>
      <c r="F29" s="10">
        <v>266104</v>
      </c>
      <c r="G29" s="11">
        <v>8.6999999999999994E-2</v>
      </c>
      <c r="H29" s="11">
        <v>0.29099999999999998</v>
      </c>
      <c r="I29" s="10">
        <v>675853110</v>
      </c>
      <c r="J29" s="12" t="s">
        <v>4518</v>
      </c>
      <c r="K29" s="10">
        <v>77530</v>
      </c>
      <c r="L29" s="12" t="s">
        <v>4519</v>
      </c>
      <c r="M29" s="10">
        <v>48700541803</v>
      </c>
      <c r="N29" s="10">
        <v>5473765</v>
      </c>
      <c r="O29" s="12">
        <v>4</v>
      </c>
    </row>
    <row r="30" spans="1:15" ht="15" customHeight="1" x14ac:dyDescent="0.3">
      <c r="A30" s="9">
        <v>43555</v>
      </c>
      <c r="B30" s="12">
        <v>620</v>
      </c>
      <c r="C30" s="11">
        <v>9.8000000000000004E-2</v>
      </c>
      <c r="D30" s="10">
        <v>1825</v>
      </c>
      <c r="E30" s="11">
        <v>9.5000000000000001E-2</v>
      </c>
      <c r="F30" s="10">
        <v>258098</v>
      </c>
      <c r="G30" s="11">
        <v>8.5999999999999993E-2</v>
      </c>
      <c r="H30" s="11">
        <v>0.26</v>
      </c>
      <c r="I30" s="10">
        <v>574197440</v>
      </c>
      <c r="J30" s="12" t="s">
        <v>4520</v>
      </c>
      <c r="K30" s="10">
        <v>67187</v>
      </c>
      <c r="L30" s="12" t="s">
        <v>4521</v>
      </c>
      <c r="M30" s="10">
        <v>49274739243</v>
      </c>
      <c r="N30" s="10">
        <v>5540952</v>
      </c>
      <c r="O30" s="12">
        <v>4</v>
      </c>
    </row>
    <row r="31" spans="1:15" ht="15" customHeight="1" x14ac:dyDescent="0.3">
      <c r="A31" s="9">
        <v>43556</v>
      </c>
      <c r="B31" s="12">
        <v>557</v>
      </c>
      <c r="C31" s="11">
        <v>0.10100000000000001</v>
      </c>
      <c r="D31" s="10">
        <v>1718</v>
      </c>
      <c r="E31" s="11">
        <v>9.9000000000000005E-2</v>
      </c>
      <c r="F31" s="10">
        <v>251234</v>
      </c>
      <c r="G31" s="11">
        <v>9.1999999999999998E-2</v>
      </c>
      <c r="H31" s="11">
        <v>7.5999999999999998E-2</v>
      </c>
      <c r="I31" s="10">
        <v>150846810</v>
      </c>
      <c r="J31" s="12" t="s">
        <v>4522</v>
      </c>
      <c r="K31" s="10">
        <v>19069</v>
      </c>
      <c r="L31" s="12" t="s">
        <v>4523</v>
      </c>
      <c r="M31" s="10">
        <v>49425586053</v>
      </c>
      <c r="N31" s="10">
        <v>5560021</v>
      </c>
      <c r="O31" s="12">
        <v>4</v>
      </c>
    </row>
    <row r="32" spans="1:15" ht="15" customHeight="1" x14ac:dyDescent="0.3">
      <c r="A32" s="9">
        <v>43557</v>
      </c>
      <c r="B32" s="12">
        <v>562</v>
      </c>
      <c r="C32" s="11">
        <v>0.10100000000000001</v>
      </c>
      <c r="D32" s="10">
        <v>1692</v>
      </c>
      <c r="E32" s="11">
        <v>0.1</v>
      </c>
      <c r="F32" s="10">
        <v>252084</v>
      </c>
      <c r="G32" s="11">
        <v>9.4E-2</v>
      </c>
      <c r="H32" s="11">
        <v>0.06</v>
      </c>
      <c r="I32" s="10">
        <v>121974490</v>
      </c>
      <c r="J32" s="12" t="s">
        <v>4524</v>
      </c>
      <c r="K32" s="10">
        <v>15197</v>
      </c>
      <c r="L32" s="12" t="s">
        <v>4525</v>
      </c>
      <c r="M32" s="10">
        <v>49547560543</v>
      </c>
      <c r="N32" s="10">
        <v>5575218</v>
      </c>
      <c r="O32" s="12">
        <v>4</v>
      </c>
    </row>
    <row r="33" spans="1:15" ht="15" customHeight="1" x14ac:dyDescent="0.3">
      <c r="A33" s="9">
        <v>43558</v>
      </c>
      <c r="B33" s="12">
        <v>342</v>
      </c>
      <c r="C33" s="11">
        <v>6.4000000000000001E-2</v>
      </c>
      <c r="D33" s="12">
        <v>667</v>
      </c>
      <c r="E33" s="11">
        <v>3.9E-2</v>
      </c>
      <c r="F33" s="10">
        <v>88382</v>
      </c>
      <c r="G33" s="11">
        <v>3.3000000000000002E-2</v>
      </c>
      <c r="H33" s="11">
        <v>8.6999999999999994E-2</v>
      </c>
      <c r="I33" s="10">
        <v>61678610</v>
      </c>
      <c r="J33" s="12" t="s">
        <v>4526</v>
      </c>
      <c r="K33" s="10">
        <v>7681</v>
      </c>
      <c r="L33" s="12" t="s">
        <v>4527</v>
      </c>
      <c r="M33" s="10">
        <v>49609239153</v>
      </c>
      <c r="N33" s="10">
        <v>5582899</v>
      </c>
      <c r="O33" s="12">
        <v>7</v>
      </c>
    </row>
    <row r="34" spans="1:15" ht="15" customHeight="1" x14ac:dyDescent="0.3">
      <c r="A34" s="9">
        <v>43559</v>
      </c>
      <c r="B34" s="12">
        <v>340</v>
      </c>
      <c r="C34" s="11">
        <v>6.0999999999999999E-2</v>
      </c>
      <c r="D34" s="12">
        <v>643</v>
      </c>
      <c r="E34" s="11">
        <v>3.7999999999999999E-2</v>
      </c>
      <c r="F34" s="10">
        <v>86667</v>
      </c>
      <c r="G34" s="11">
        <v>3.2000000000000001E-2</v>
      </c>
      <c r="H34" s="11">
        <v>8.7999999999999995E-2</v>
      </c>
      <c r="I34" s="10">
        <v>61913140</v>
      </c>
      <c r="J34" s="12" t="s">
        <v>4528</v>
      </c>
      <c r="K34" s="10">
        <v>7670</v>
      </c>
      <c r="L34" s="12" t="s">
        <v>4529</v>
      </c>
      <c r="M34" s="10">
        <v>49671152293</v>
      </c>
      <c r="N34" s="10">
        <v>5590569</v>
      </c>
      <c r="O34" s="12">
        <v>6</v>
      </c>
    </row>
    <row r="35" spans="1:15" ht="15" customHeight="1" x14ac:dyDescent="0.3">
      <c r="A35" s="9">
        <v>43560</v>
      </c>
      <c r="B35" s="12">
        <v>371</v>
      </c>
      <c r="C35" s="11">
        <v>6.4000000000000001E-2</v>
      </c>
      <c r="D35" s="12">
        <v>703</v>
      </c>
      <c r="E35" s="11">
        <v>0.04</v>
      </c>
      <c r="F35" s="10">
        <v>93524</v>
      </c>
      <c r="G35" s="11">
        <v>3.4000000000000002E-2</v>
      </c>
      <c r="H35" s="11">
        <v>0.11799999999999999</v>
      </c>
      <c r="I35" s="10">
        <v>99730250</v>
      </c>
      <c r="J35" s="12" t="s">
        <v>4530</v>
      </c>
      <c r="K35" s="10">
        <v>11038</v>
      </c>
      <c r="L35" s="12" t="s">
        <v>4531</v>
      </c>
      <c r="M35" s="10">
        <v>49770882543</v>
      </c>
      <c r="N35" s="10">
        <v>5601607</v>
      </c>
      <c r="O35" s="12">
        <v>6</v>
      </c>
    </row>
    <row r="36" spans="1:15" ht="15" customHeight="1" x14ac:dyDescent="0.3">
      <c r="A36" s="9">
        <v>43561</v>
      </c>
      <c r="B36" s="12">
        <v>407</v>
      </c>
      <c r="C36" s="11">
        <v>6.5000000000000002E-2</v>
      </c>
      <c r="D36" s="12">
        <v>780</v>
      </c>
      <c r="E36" s="11">
        <v>4.1000000000000002E-2</v>
      </c>
      <c r="F36" s="10">
        <v>101577</v>
      </c>
      <c r="G36" s="11">
        <v>3.5000000000000003E-2</v>
      </c>
      <c r="H36" s="11">
        <v>0.26200000000000001</v>
      </c>
      <c r="I36" s="10">
        <v>238635000</v>
      </c>
      <c r="J36" s="12" t="s">
        <v>4532</v>
      </c>
      <c r="K36" s="10">
        <v>26649</v>
      </c>
      <c r="L36" s="12" t="s">
        <v>4533</v>
      </c>
      <c r="M36" s="10">
        <v>50009517543</v>
      </c>
      <c r="N36" s="10">
        <v>5628256</v>
      </c>
      <c r="O36" s="12">
        <v>7</v>
      </c>
    </row>
    <row r="37" spans="1:15" ht="15" customHeight="1" x14ac:dyDescent="0.3">
      <c r="A37" s="9">
        <v>43562</v>
      </c>
      <c r="B37" s="12">
        <v>421</v>
      </c>
      <c r="C37" s="11">
        <v>6.8000000000000005E-2</v>
      </c>
      <c r="D37" s="12">
        <v>797</v>
      </c>
      <c r="E37" s="11">
        <v>4.2999999999999997E-2</v>
      </c>
      <c r="F37" s="10">
        <v>105248</v>
      </c>
      <c r="G37" s="11">
        <v>3.6999999999999998E-2</v>
      </c>
      <c r="H37" s="11">
        <v>0.20599999999999999</v>
      </c>
      <c r="I37" s="10">
        <v>193069440</v>
      </c>
      <c r="J37" s="12" t="s">
        <v>4534</v>
      </c>
      <c r="K37" s="10">
        <v>21687</v>
      </c>
      <c r="L37" s="12" t="s">
        <v>4535</v>
      </c>
      <c r="M37" s="10">
        <v>50202586983</v>
      </c>
      <c r="N37" s="10">
        <v>5649943</v>
      </c>
      <c r="O37" s="12">
        <v>7</v>
      </c>
    </row>
    <row r="38" spans="1:15" ht="15" customHeight="1" x14ac:dyDescent="0.3">
      <c r="A38" s="9">
        <v>43563</v>
      </c>
      <c r="B38" s="12">
        <v>374</v>
      </c>
      <c r="C38" s="11">
        <v>6.9000000000000006E-2</v>
      </c>
      <c r="D38" s="12">
        <v>784</v>
      </c>
      <c r="E38" s="11">
        <v>4.8000000000000001E-2</v>
      </c>
      <c r="F38" s="10">
        <v>106522</v>
      </c>
      <c r="G38" s="11">
        <v>4.2000000000000003E-2</v>
      </c>
      <c r="H38" s="11">
        <v>6.4000000000000001E-2</v>
      </c>
      <c r="I38" s="10">
        <v>55783470</v>
      </c>
      <c r="J38" s="12" t="s">
        <v>4536</v>
      </c>
      <c r="K38" s="10">
        <v>6842</v>
      </c>
      <c r="L38" s="12" t="s">
        <v>4537</v>
      </c>
      <c r="M38" s="10">
        <v>50258370453</v>
      </c>
      <c r="N38" s="10">
        <v>5656785</v>
      </c>
      <c r="O38" s="12">
        <v>6</v>
      </c>
    </row>
    <row r="39" spans="1:15" ht="15" customHeight="1" x14ac:dyDescent="0.3">
      <c r="A39" s="9">
        <v>43564</v>
      </c>
      <c r="B39" s="12">
        <v>383</v>
      </c>
      <c r="C39" s="11">
        <v>7.0000000000000007E-2</v>
      </c>
      <c r="D39" s="12">
        <v>778</v>
      </c>
      <c r="E39" s="11">
        <v>4.9000000000000002E-2</v>
      </c>
      <c r="F39" s="10">
        <v>106698</v>
      </c>
      <c r="G39" s="11">
        <v>4.2999999999999997E-2</v>
      </c>
      <c r="H39" s="11">
        <v>6.0999999999999999E-2</v>
      </c>
      <c r="I39" s="10">
        <v>53327110</v>
      </c>
      <c r="J39" s="12" t="s">
        <v>4538</v>
      </c>
      <c r="K39" s="10">
        <v>6522</v>
      </c>
      <c r="L39" s="12" t="s">
        <v>4539</v>
      </c>
      <c r="M39" s="10">
        <v>50311697563</v>
      </c>
      <c r="N39" s="10">
        <v>5663307</v>
      </c>
      <c r="O39" s="12">
        <v>6</v>
      </c>
    </row>
    <row r="40" spans="1:15" ht="15" customHeight="1" x14ac:dyDescent="0.3">
      <c r="A40" s="9">
        <v>43565</v>
      </c>
      <c r="B40" s="12">
        <v>231</v>
      </c>
      <c r="C40" s="11">
        <v>4.1000000000000002E-2</v>
      </c>
      <c r="D40" s="12">
        <v>440</v>
      </c>
      <c r="E40" s="11">
        <v>2.5999999999999999E-2</v>
      </c>
      <c r="F40" s="10">
        <v>63280</v>
      </c>
      <c r="G40" s="11">
        <v>2.4E-2</v>
      </c>
      <c r="H40" s="11">
        <v>6.9000000000000006E-2</v>
      </c>
      <c r="I40" s="10">
        <v>36007580</v>
      </c>
      <c r="J40" s="12" t="s">
        <v>4540</v>
      </c>
      <c r="K40" s="10">
        <v>4378</v>
      </c>
      <c r="L40" s="12" t="s">
        <v>4541</v>
      </c>
      <c r="M40" s="10">
        <v>50347705143</v>
      </c>
      <c r="N40" s="10">
        <v>5667685</v>
      </c>
      <c r="O40" s="12">
        <v>9</v>
      </c>
    </row>
    <row r="41" spans="1:15" ht="15" customHeight="1" x14ac:dyDescent="0.3">
      <c r="A41" s="9">
        <v>43566</v>
      </c>
      <c r="B41" s="12">
        <v>175</v>
      </c>
      <c r="C41" s="11">
        <v>2.9000000000000001E-2</v>
      </c>
      <c r="D41" s="12">
        <v>279</v>
      </c>
      <c r="E41" s="11">
        <v>1.6E-2</v>
      </c>
      <c r="F41" s="10">
        <v>39876</v>
      </c>
      <c r="G41" s="11">
        <v>1.4999999999999999E-2</v>
      </c>
      <c r="H41" s="11">
        <v>7.1999999999999995E-2</v>
      </c>
      <c r="I41" s="10">
        <v>23557780</v>
      </c>
      <c r="J41" s="12" t="s">
        <v>4542</v>
      </c>
      <c r="K41" s="10">
        <v>2881</v>
      </c>
      <c r="L41" s="12" t="s">
        <v>4543</v>
      </c>
      <c r="M41" s="10">
        <v>50371262923</v>
      </c>
      <c r="N41" s="10">
        <v>5670566</v>
      </c>
      <c r="O41" s="12">
        <v>12</v>
      </c>
    </row>
    <row r="42" spans="1:15" ht="15" customHeight="1" x14ac:dyDescent="0.3">
      <c r="A42" s="9">
        <v>43567</v>
      </c>
      <c r="B42" s="12">
        <v>187</v>
      </c>
      <c r="C42" s="11">
        <v>0.03</v>
      </c>
      <c r="D42" s="12">
        <v>313</v>
      </c>
      <c r="E42" s="11">
        <v>1.7000000000000001E-2</v>
      </c>
      <c r="F42" s="10">
        <v>43088</v>
      </c>
      <c r="G42" s="11">
        <v>1.4999999999999999E-2</v>
      </c>
      <c r="H42" s="11">
        <v>0.111</v>
      </c>
      <c r="I42" s="10">
        <v>42432880</v>
      </c>
      <c r="J42" s="12" t="s">
        <v>4544</v>
      </c>
      <c r="K42" s="10">
        <v>4793</v>
      </c>
      <c r="L42" s="12" t="s">
        <v>4545</v>
      </c>
      <c r="M42" s="10">
        <v>50413695803</v>
      </c>
      <c r="N42" s="10">
        <v>5675359</v>
      </c>
      <c r="O42" s="12">
        <v>12</v>
      </c>
    </row>
    <row r="43" spans="1:15" ht="15" customHeight="1" x14ac:dyDescent="0.3">
      <c r="A43" s="9">
        <v>43568</v>
      </c>
      <c r="B43" s="12">
        <v>202</v>
      </c>
      <c r="C43" s="11">
        <v>2.9000000000000001E-2</v>
      </c>
      <c r="D43" s="12">
        <v>324</v>
      </c>
      <c r="E43" s="11">
        <v>1.7000000000000001E-2</v>
      </c>
      <c r="F43" s="10">
        <v>44357</v>
      </c>
      <c r="G43" s="11">
        <v>1.4999999999999999E-2</v>
      </c>
      <c r="H43" s="11">
        <v>0.22500000000000001</v>
      </c>
      <c r="I43" s="10">
        <v>88213170</v>
      </c>
      <c r="J43" s="12" t="s">
        <v>4546</v>
      </c>
      <c r="K43" s="10">
        <v>9959</v>
      </c>
      <c r="L43" s="12" t="s">
        <v>4547</v>
      </c>
      <c r="M43" s="10">
        <v>50501908973</v>
      </c>
      <c r="N43" s="10">
        <v>5685318</v>
      </c>
      <c r="O43" s="12">
        <v>13</v>
      </c>
    </row>
    <row r="44" spans="1:15" ht="15" customHeight="1" x14ac:dyDescent="0.3">
      <c r="A44" s="9">
        <v>43569</v>
      </c>
      <c r="B44" s="12">
        <v>212</v>
      </c>
      <c r="C44" s="11">
        <v>3.1E-2</v>
      </c>
      <c r="D44" s="12">
        <v>336</v>
      </c>
      <c r="E44" s="11">
        <v>1.7999999999999999E-2</v>
      </c>
      <c r="F44" s="10">
        <v>45369</v>
      </c>
      <c r="G44" s="11">
        <v>1.4999999999999999E-2</v>
      </c>
      <c r="H44" s="11">
        <v>0.24299999999999999</v>
      </c>
      <c r="I44" s="10">
        <v>96871660</v>
      </c>
      <c r="J44" s="12" t="s">
        <v>4548</v>
      </c>
      <c r="K44" s="10">
        <v>11021</v>
      </c>
      <c r="L44" s="12" t="s">
        <v>4549</v>
      </c>
      <c r="M44" s="10">
        <v>50598780633</v>
      </c>
      <c r="N44" s="10">
        <v>5696339</v>
      </c>
      <c r="O44" s="12">
        <v>13</v>
      </c>
    </row>
    <row r="45" spans="1:15" ht="15" customHeight="1" x14ac:dyDescent="0.3">
      <c r="A45" s="9">
        <v>43570</v>
      </c>
      <c r="B45" s="12">
        <v>205</v>
      </c>
      <c r="C45" s="11">
        <v>3.5000000000000003E-2</v>
      </c>
      <c r="D45" s="12">
        <v>318</v>
      </c>
      <c r="E45" s="11">
        <v>0.02</v>
      </c>
      <c r="F45" s="10">
        <v>43672</v>
      </c>
      <c r="G45" s="11">
        <v>1.7000000000000001E-2</v>
      </c>
      <c r="H45" s="11">
        <v>7.5999999999999998E-2</v>
      </c>
      <c r="I45" s="10">
        <v>26891840</v>
      </c>
      <c r="J45" s="12" t="s">
        <v>4550</v>
      </c>
      <c r="K45" s="10">
        <v>3309</v>
      </c>
      <c r="L45" s="12" t="s">
        <v>4551</v>
      </c>
      <c r="M45" s="10">
        <v>50625672473</v>
      </c>
      <c r="N45" s="10">
        <v>5699648</v>
      </c>
      <c r="O45" s="12">
        <v>12</v>
      </c>
    </row>
    <row r="46" spans="1:15" ht="15" customHeight="1" x14ac:dyDescent="0.3">
      <c r="A46" s="9">
        <v>43571</v>
      </c>
      <c r="B46" s="12">
        <v>213</v>
      </c>
      <c r="C46" s="11">
        <v>3.5999999999999997E-2</v>
      </c>
      <c r="D46" s="12">
        <v>346</v>
      </c>
      <c r="E46" s="11">
        <v>2.1999999999999999E-2</v>
      </c>
      <c r="F46" s="10">
        <v>48053</v>
      </c>
      <c r="G46" s="11">
        <v>1.9E-2</v>
      </c>
      <c r="H46" s="11">
        <v>8.6999999999999994E-2</v>
      </c>
      <c r="I46" s="10">
        <v>33919240</v>
      </c>
      <c r="J46" s="12" t="s">
        <v>4552</v>
      </c>
      <c r="K46" s="10">
        <v>4202</v>
      </c>
      <c r="L46" s="12" t="s">
        <v>4553</v>
      </c>
      <c r="M46" s="10">
        <v>50659591713</v>
      </c>
      <c r="N46" s="10">
        <v>5703850</v>
      </c>
      <c r="O46" s="12">
        <v>9</v>
      </c>
    </row>
    <row r="47" spans="1:15" ht="15" customHeight="1" x14ac:dyDescent="0.3">
      <c r="A47" s="9">
        <v>43572</v>
      </c>
      <c r="B47" s="12">
        <v>146</v>
      </c>
      <c r="C47" s="11">
        <v>2.5000000000000001E-2</v>
      </c>
      <c r="D47" s="12">
        <v>241</v>
      </c>
      <c r="E47" s="11">
        <v>1.4999999999999999E-2</v>
      </c>
      <c r="F47" s="10">
        <v>36382</v>
      </c>
      <c r="G47" s="11">
        <v>1.4E-2</v>
      </c>
      <c r="H47" s="11">
        <v>0.107</v>
      </c>
      <c r="I47" s="10">
        <v>31146390</v>
      </c>
      <c r="J47" s="12" t="s">
        <v>4554</v>
      </c>
      <c r="K47" s="10">
        <v>3880</v>
      </c>
      <c r="L47" s="12" t="s">
        <v>4555</v>
      </c>
      <c r="M47" s="10">
        <v>50690738103</v>
      </c>
      <c r="N47" s="10">
        <v>5707730</v>
      </c>
      <c r="O47" s="12">
        <v>12</v>
      </c>
    </row>
    <row r="48" spans="1:15" ht="15" customHeight="1" x14ac:dyDescent="0.3">
      <c r="A48" s="9">
        <v>43573</v>
      </c>
      <c r="B48" s="12">
        <v>135</v>
      </c>
      <c r="C48" s="11">
        <v>2.1000000000000001E-2</v>
      </c>
      <c r="D48" s="12">
        <v>222</v>
      </c>
      <c r="E48" s="11">
        <v>1.4E-2</v>
      </c>
      <c r="F48" s="10">
        <v>35468</v>
      </c>
      <c r="G48" s="11">
        <v>1.4E-2</v>
      </c>
      <c r="H48" s="11">
        <v>0.108</v>
      </c>
      <c r="I48" s="10">
        <v>31143580</v>
      </c>
      <c r="J48" s="12" t="s">
        <v>4556</v>
      </c>
      <c r="K48" s="10">
        <v>3822</v>
      </c>
      <c r="L48" s="12" t="s">
        <v>4557</v>
      </c>
      <c r="M48" s="10">
        <v>50721881683</v>
      </c>
      <c r="N48" s="10">
        <v>5711552</v>
      </c>
      <c r="O48" s="12">
        <v>11</v>
      </c>
    </row>
    <row r="49" spans="1:15" ht="15" customHeight="1" x14ac:dyDescent="0.3">
      <c r="A49" s="9">
        <v>43574</v>
      </c>
      <c r="B49" s="12">
        <v>161</v>
      </c>
      <c r="C49" s="11">
        <v>2.3E-2</v>
      </c>
      <c r="D49" s="12">
        <v>303</v>
      </c>
      <c r="E49" s="11">
        <v>1.7000000000000001E-2</v>
      </c>
      <c r="F49" s="10">
        <v>48806</v>
      </c>
      <c r="G49" s="11">
        <v>1.7999999999999999E-2</v>
      </c>
      <c r="H49" s="11">
        <v>0.14199999999999999</v>
      </c>
      <c r="I49" s="10">
        <v>61356440</v>
      </c>
      <c r="J49" s="12" t="s">
        <v>4558</v>
      </c>
      <c r="K49" s="10">
        <v>6924</v>
      </c>
      <c r="L49" s="12" t="s">
        <v>4559</v>
      </c>
      <c r="M49" s="10">
        <v>50783238123</v>
      </c>
      <c r="N49" s="10">
        <v>5718476</v>
      </c>
      <c r="O49" s="12">
        <v>8</v>
      </c>
    </row>
    <row r="50" spans="1:15" ht="15" customHeight="1" x14ac:dyDescent="0.3">
      <c r="A50" s="9">
        <v>43575</v>
      </c>
      <c r="B50" s="12">
        <v>202</v>
      </c>
      <c r="C50" s="11">
        <v>2.7E-2</v>
      </c>
      <c r="D50" s="12">
        <v>466</v>
      </c>
      <c r="E50" s="11">
        <v>2.4E-2</v>
      </c>
      <c r="F50" s="10">
        <v>79536</v>
      </c>
      <c r="G50" s="11">
        <v>2.5999999999999999E-2</v>
      </c>
      <c r="H50" s="11">
        <v>0.23400000000000001</v>
      </c>
      <c r="I50" s="10">
        <v>167557530</v>
      </c>
      <c r="J50" s="12" t="s">
        <v>4560</v>
      </c>
      <c r="K50" s="10">
        <v>18607</v>
      </c>
      <c r="L50" s="12" t="s">
        <v>4561</v>
      </c>
      <c r="M50" s="10">
        <v>50950795653</v>
      </c>
      <c r="N50" s="10">
        <v>5737083</v>
      </c>
      <c r="O50" s="12">
        <v>4</v>
      </c>
    </row>
    <row r="51" spans="1:15" ht="15" customHeight="1" x14ac:dyDescent="0.3">
      <c r="A51" s="9">
        <v>43576</v>
      </c>
      <c r="B51" s="12">
        <v>223</v>
      </c>
      <c r="C51" s="11">
        <v>0.03</v>
      </c>
      <c r="D51" s="12">
        <v>521</v>
      </c>
      <c r="E51" s="11">
        <v>2.8000000000000001E-2</v>
      </c>
      <c r="F51" s="10">
        <v>89623</v>
      </c>
      <c r="G51" s="11">
        <v>3.1E-2</v>
      </c>
      <c r="H51" s="11">
        <v>0.20499999999999999</v>
      </c>
      <c r="I51" s="10">
        <v>164170330</v>
      </c>
      <c r="J51" s="12" t="s">
        <v>4562</v>
      </c>
      <c r="K51" s="10">
        <v>18353</v>
      </c>
      <c r="L51" s="12" t="s">
        <v>4563</v>
      </c>
      <c r="M51" s="10">
        <v>51114965983</v>
      </c>
      <c r="N51" s="10">
        <v>5755436</v>
      </c>
      <c r="O51" s="12">
        <v>4</v>
      </c>
    </row>
    <row r="52" spans="1:15" ht="15" customHeight="1" x14ac:dyDescent="0.3">
      <c r="A52" s="9">
        <v>43577</v>
      </c>
      <c r="B52" s="12">
        <v>196</v>
      </c>
      <c r="C52" s="11">
        <v>3.1E-2</v>
      </c>
      <c r="D52" s="12">
        <v>498</v>
      </c>
      <c r="E52" s="11">
        <v>3.2000000000000001E-2</v>
      </c>
      <c r="F52" s="10">
        <v>86245</v>
      </c>
      <c r="G52" s="11">
        <v>3.5000000000000003E-2</v>
      </c>
      <c r="H52" s="11">
        <v>8.2000000000000003E-2</v>
      </c>
      <c r="I52" s="10">
        <v>58555840</v>
      </c>
      <c r="J52" s="12" t="s">
        <v>4564</v>
      </c>
      <c r="K52" s="10">
        <v>7076</v>
      </c>
      <c r="L52" s="12" t="s">
        <v>4565</v>
      </c>
      <c r="M52" s="10">
        <v>51173521823</v>
      </c>
      <c r="N52" s="10">
        <v>5762512</v>
      </c>
      <c r="O52" s="12">
        <v>5</v>
      </c>
    </row>
    <row r="53" spans="1:15" ht="15" customHeight="1" x14ac:dyDescent="0.3">
      <c r="A53" s="9">
        <v>43578</v>
      </c>
      <c r="B53" s="12">
        <v>212</v>
      </c>
      <c r="C53" s="11">
        <v>3.3000000000000002E-2</v>
      </c>
      <c r="D53" s="12">
        <v>548</v>
      </c>
      <c r="E53" s="11">
        <v>3.5000000000000003E-2</v>
      </c>
      <c r="F53" s="10">
        <v>95026</v>
      </c>
      <c r="G53" s="11">
        <v>3.9E-2</v>
      </c>
      <c r="H53" s="11">
        <v>9.0999999999999998E-2</v>
      </c>
      <c r="I53" s="10">
        <v>70671580</v>
      </c>
      <c r="J53" s="12" t="s">
        <v>4566</v>
      </c>
      <c r="K53" s="10">
        <v>8620</v>
      </c>
      <c r="L53" s="12" t="s">
        <v>4567</v>
      </c>
      <c r="M53" s="10">
        <v>51244193403</v>
      </c>
      <c r="N53" s="10">
        <v>5771132</v>
      </c>
      <c r="O53" s="12">
        <v>5</v>
      </c>
    </row>
    <row r="54" spans="1:15" ht="15" customHeight="1" x14ac:dyDescent="0.3">
      <c r="A54" s="9">
        <v>43579</v>
      </c>
      <c r="B54" s="12">
        <v>55</v>
      </c>
      <c r="C54" s="11">
        <v>1.0999999999999999E-2</v>
      </c>
      <c r="D54" s="12">
        <v>65</v>
      </c>
      <c r="E54" s="11">
        <v>4.0000000000000001E-3</v>
      </c>
      <c r="F54" s="10">
        <v>9746</v>
      </c>
      <c r="G54" s="11">
        <v>4.0000000000000001E-3</v>
      </c>
      <c r="H54" s="11">
        <v>0.154</v>
      </c>
      <c r="I54" s="10">
        <v>10077790</v>
      </c>
      <c r="J54" s="12" t="s">
        <v>4568</v>
      </c>
      <c r="K54" s="10">
        <v>1497</v>
      </c>
      <c r="L54" s="12" t="s">
        <v>4569</v>
      </c>
      <c r="M54" s="10">
        <v>51254271193</v>
      </c>
      <c r="N54" s="10">
        <v>5772629</v>
      </c>
      <c r="O54" s="12">
        <v>7</v>
      </c>
    </row>
    <row r="55" spans="1:15" ht="15" customHeight="1" x14ac:dyDescent="0.3">
      <c r="A55" s="9">
        <v>43580</v>
      </c>
      <c r="B55" s="12">
        <v>60</v>
      </c>
      <c r="C55" s="11">
        <v>1.2E-2</v>
      </c>
      <c r="D55" s="12">
        <v>72</v>
      </c>
      <c r="E55" s="11">
        <v>5.0000000000000001E-3</v>
      </c>
      <c r="F55" s="10">
        <v>10271</v>
      </c>
      <c r="G55" s="11">
        <v>4.0000000000000001E-3</v>
      </c>
      <c r="H55" s="11">
        <v>0.17399999999999999</v>
      </c>
      <c r="I55" s="10">
        <v>14567320</v>
      </c>
      <c r="J55" s="12" t="s">
        <v>4570</v>
      </c>
      <c r="K55" s="10">
        <v>1790</v>
      </c>
      <c r="L55" s="12" t="s">
        <v>4571</v>
      </c>
      <c r="M55" s="10">
        <v>51268838513</v>
      </c>
      <c r="N55" s="10">
        <v>5774419</v>
      </c>
      <c r="O55" s="12">
        <v>7</v>
      </c>
    </row>
    <row r="56" spans="1:15" ht="15" customHeight="1" x14ac:dyDescent="0.3">
      <c r="A56" s="9">
        <v>43581</v>
      </c>
      <c r="B56" s="12">
        <v>66</v>
      </c>
      <c r="C56" s="11">
        <v>1.2999999999999999E-2</v>
      </c>
      <c r="D56" s="12">
        <v>83</v>
      </c>
      <c r="E56" s="11">
        <v>5.0000000000000001E-3</v>
      </c>
      <c r="F56" s="10">
        <v>11330</v>
      </c>
      <c r="G56" s="11">
        <v>5.0000000000000001E-3</v>
      </c>
      <c r="H56" s="11">
        <v>0.223</v>
      </c>
      <c r="I56" s="10">
        <v>22423760</v>
      </c>
      <c r="J56" s="12" t="s">
        <v>4572</v>
      </c>
      <c r="K56" s="10">
        <v>2530</v>
      </c>
      <c r="L56" s="12" t="s">
        <v>4573</v>
      </c>
      <c r="M56" s="10">
        <v>51291262273</v>
      </c>
      <c r="N56" s="10">
        <v>5776949</v>
      </c>
      <c r="O56" s="12">
        <v>5</v>
      </c>
    </row>
    <row r="57" spans="1:15" ht="15" customHeight="1" x14ac:dyDescent="0.3">
      <c r="A57" s="9">
        <v>43582</v>
      </c>
      <c r="B57" s="12">
        <v>54</v>
      </c>
      <c r="C57" s="11">
        <v>1.0999999999999999E-2</v>
      </c>
      <c r="D57" s="12">
        <v>65</v>
      </c>
      <c r="E57" s="11">
        <v>4.0000000000000001E-3</v>
      </c>
      <c r="F57" s="10">
        <v>8873</v>
      </c>
      <c r="G57" s="11">
        <v>3.0000000000000001E-3</v>
      </c>
      <c r="H57" s="11">
        <v>0.374</v>
      </c>
      <c r="I57" s="10">
        <v>27814840</v>
      </c>
      <c r="J57" s="12" t="s">
        <v>4574</v>
      </c>
      <c r="K57" s="10">
        <v>3321</v>
      </c>
      <c r="L57" s="12" t="s">
        <v>4575</v>
      </c>
      <c r="M57" s="10">
        <v>51319077113</v>
      </c>
      <c r="N57" s="10">
        <v>5780270</v>
      </c>
      <c r="O57" s="12">
        <v>4</v>
      </c>
    </row>
    <row r="58" spans="1:15" ht="15" customHeight="1" x14ac:dyDescent="0.3">
      <c r="A58" s="9">
        <v>43583</v>
      </c>
      <c r="B58" s="12">
        <v>54</v>
      </c>
      <c r="C58" s="11">
        <v>1.0999999999999999E-2</v>
      </c>
      <c r="D58" s="12">
        <v>64</v>
      </c>
      <c r="E58" s="11">
        <v>4.0000000000000001E-3</v>
      </c>
      <c r="F58" s="10">
        <v>8866</v>
      </c>
      <c r="G58" s="11">
        <v>4.0000000000000001E-3</v>
      </c>
      <c r="H58" s="11">
        <v>0.33300000000000002</v>
      </c>
      <c r="I58" s="10">
        <v>24499490</v>
      </c>
      <c r="J58" s="12" t="s">
        <v>4576</v>
      </c>
      <c r="K58" s="10">
        <v>2948</v>
      </c>
      <c r="L58" s="12" t="s">
        <v>4577</v>
      </c>
      <c r="M58" s="10">
        <v>51343576603</v>
      </c>
      <c r="N58" s="10">
        <v>5783218</v>
      </c>
      <c r="O58" s="12">
        <v>4</v>
      </c>
    </row>
    <row r="59" spans="1:15" ht="15" customHeight="1" x14ac:dyDescent="0.3">
      <c r="A59" s="9">
        <v>43584</v>
      </c>
      <c r="B59" s="12">
        <v>65</v>
      </c>
      <c r="C59" s="11">
        <v>1.2999999999999999E-2</v>
      </c>
      <c r="D59" s="12">
        <v>88</v>
      </c>
      <c r="E59" s="11">
        <v>6.0000000000000001E-3</v>
      </c>
      <c r="F59" s="10">
        <v>11790</v>
      </c>
      <c r="G59" s="11">
        <v>5.0000000000000001E-3</v>
      </c>
      <c r="H59" s="11">
        <v>0.12</v>
      </c>
      <c r="I59" s="10">
        <v>11034820</v>
      </c>
      <c r="J59" s="12" t="s">
        <v>4578</v>
      </c>
      <c r="K59" s="10">
        <v>1419</v>
      </c>
      <c r="L59" s="12" t="s">
        <v>4579</v>
      </c>
      <c r="M59" s="10">
        <v>51354611423</v>
      </c>
      <c r="N59" s="10">
        <v>5784637</v>
      </c>
      <c r="O59" s="12">
        <v>9</v>
      </c>
    </row>
    <row r="60" spans="1:15" ht="15" customHeight="1" x14ac:dyDescent="0.3">
      <c r="A60" s="9">
        <v>43585</v>
      </c>
      <c r="B60" s="12">
        <v>64</v>
      </c>
      <c r="C60" s="11">
        <v>1.2999999999999999E-2</v>
      </c>
      <c r="D60" s="12">
        <v>91</v>
      </c>
      <c r="E60" s="11">
        <v>6.0000000000000001E-3</v>
      </c>
      <c r="F60" s="10">
        <v>12376</v>
      </c>
      <c r="G60" s="11">
        <v>5.0000000000000001E-3</v>
      </c>
      <c r="H60" s="11">
        <v>0.19400000000000001</v>
      </c>
      <c r="I60" s="10">
        <v>18542320</v>
      </c>
      <c r="J60" s="12" t="s">
        <v>4580</v>
      </c>
      <c r="K60" s="10">
        <v>2396</v>
      </c>
      <c r="L60" s="12" t="s">
        <v>4581</v>
      </c>
      <c r="M60" s="10">
        <v>51373153743</v>
      </c>
      <c r="N60" s="10">
        <v>5787033</v>
      </c>
      <c r="O60" s="12">
        <v>7</v>
      </c>
    </row>
    <row r="61" spans="1:15" ht="15" customHeight="1" x14ac:dyDescent="0.3">
      <c r="A61" s="9">
        <v>43586</v>
      </c>
      <c r="B61" s="12">
        <v>48</v>
      </c>
      <c r="C61" s="11">
        <v>8.9999999999999993E-3</v>
      </c>
      <c r="D61" s="12">
        <v>73</v>
      </c>
      <c r="E61" s="11">
        <v>4.0000000000000001E-3</v>
      </c>
      <c r="F61" s="10">
        <v>10313</v>
      </c>
      <c r="G61" s="11">
        <v>4.0000000000000001E-3</v>
      </c>
      <c r="H61" s="11">
        <v>0.246</v>
      </c>
      <c r="I61" s="10">
        <v>19456880</v>
      </c>
      <c r="J61" s="12" t="s">
        <v>4582</v>
      </c>
      <c r="K61" s="10">
        <v>2537</v>
      </c>
      <c r="L61" s="12" t="s">
        <v>4583</v>
      </c>
      <c r="M61" s="10">
        <v>51392610623</v>
      </c>
      <c r="N61" s="10">
        <v>5789570</v>
      </c>
      <c r="O61" s="12">
        <v>7</v>
      </c>
    </row>
    <row r="62" spans="1:15" ht="15" customHeight="1" x14ac:dyDescent="0.3">
      <c r="A62" s="9">
        <v>43587</v>
      </c>
      <c r="B62" s="12">
        <v>58</v>
      </c>
      <c r="C62" s="11">
        <v>1.2E-2</v>
      </c>
      <c r="D62" s="12">
        <v>90</v>
      </c>
      <c r="E62" s="11">
        <v>6.0000000000000001E-3</v>
      </c>
      <c r="F62" s="10">
        <v>13546</v>
      </c>
      <c r="G62" s="11">
        <v>6.0000000000000001E-3</v>
      </c>
      <c r="H62" s="11">
        <v>0.104</v>
      </c>
      <c r="I62" s="10">
        <v>11227370</v>
      </c>
      <c r="J62" s="12" t="s">
        <v>4584</v>
      </c>
      <c r="K62" s="10">
        <v>1409</v>
      </c>
      <c r="L62" s="12" t="s">
        <v>4585</v>
      </c>
      <c r="M62" s="10">
        <v>51403837993</v>
      </c>
      <c r="N62" s="10">
        <v>5790979</v>
      </c>
      <c r="O62" s="12">
        <v>10</v>
      </c>
    </row>
    <row r="63" spans="1:15" ht="15" customHeight="1" x14ac:dyDescent="0.3">
      <c r="A63" s="9">
        <v>43588</v>
      </c>
      <c r="B63" s="12">
        <v>58</v>
      </c>
      <c r="C63" s="11">
        <v>1.2E-2</v>
      </c>
      <c r="D63" s="12">
        <v>86</v>
      </c>
      <c r="E63" s="11">
        <v>5.0000000000000001E-3</v>
      </c>
      <c r="F63" s="10">
        <v>11540</v>
      </c>
      <c r="G63" s="11">
        <v>5.0000000000000001E-3</v>
      </c>
      <c r="H63" s="11">
        <v>0.13400000000000001</v>
      </c>
      <c r="I63" s="10">
        <v>13609420</v>
      </c>
      <c r="J63" s="12" t="s">
        <v>4586</v>
      </c>
      <c r="K63" s="10">
        <v>1544</v>
      </c>
      <c r="L63" s="12" t="s">
        <v>4587</v>
      </c>
      <c r="M63" s="10">
        <v>51417447413</v>
      </c>
      <c r="N63" s="10">
        <v>5792523</v>
      </c>
      <c r="O63" s="12">
        <v>9</v>
      </c>
    </row>
    <row r="64" spans="1:15" ht="15" customHeight="1" x14ac:dyDescent="0.3">
      <c r="A64" s="9">
        <v>43589</v>
      </c>
      <c r="B64" s="12">
        <v>41</v>
      </c>
      <c r="C64" s="11">
        <v>7.0000000000000001E-3</v>
      </c>
      <c r="D64" s="12">
        <v>62</v>
      </c>
      <c r="E64" s="11">
        <v>3.0000000000000001E-3</v>
      </c>
      <c r="F64" s="10">
        <v>8775</v>
      </c>
      <c r="G64" s="11">
        <v>3.0000000000000001E-3</v>
      </c>
      <c r="H64" s="11">
        <v>0.22500000000000001</v>
      </c>
      <c r="I64" s="10">
        <v>17681450</v>
      </c>
      <c r="J64" s="12" t="s">
        <v>4588</v>
      </c>
      <c r="K64" s="10">
        <v>1975</v>
      </c>
      <c r="L64" s="12" t="s">
        <v>4589</v>
      </c>
      <c r="M64" s="10">
        <v>51435128863</v>
      </c>
      <c r="N64" s="10">
        <v>5794498</v>
      </c>
      <c r="O64" s="12">
        <v>8</v>
      </c>
    </row>
    <row r="65" spans="1:15" ht="15" customHeight="1" x14ac:dyDescent="0.3">
      <c r="A65" s="9">
        <v>43590</v>
      </c>
      <c r="B65" s="12">
        <v>43</v>
      </c>
      <c r="C65" s="11">
        <v>8.0000000000000002E-3</v>
      </c>
      <c r="D65" s="12">
        <v>63</v>
      </c>
      <c r="E65" s="11">
        <v>3.0000000000000001E-3</v>
      </c>
      <c r="F65" s="10">
        <v>9522</v>
      </c>
      <c r="G65" s="11">
        <v>3.0000000000000001E-3</v>
      </c>
      <c r="H65" s="11">
        <v>0.16400000000000001</v>
      </c>
      <c r="I65" s="10">
        <v>13520950</v>
      </c>
      <c r="J65" s="12" t="s">
        <v>4590</v>
      </c>
      <c r="K65" s="10">
        <v>1559</v>
      </c>
      <c r="L65" s="12" t="s">
        <v>4591</v>
      </c>
      <c r="M65" s="10">
        <v>51448649813</v>
      </c>
      <c r="N65" s="10">
        <v>5796057</v>
      </c>
      <c r="O65" s="12">
        <v>10</v>
      </c>
    </row>
    <row r="66" spans="1:15" ht="15" customHeight="1" x14ac:dyDescent="0.3">
      <c r="A66" s="9">
        <v>43591</v>
      </c>
      <c r="B66" s="12">
        <v>46</v>
      </c>
      <c r="C66" s="11">
        <v>8.0000000000000002E-3</v>
      </c>
      <c r="D66" s="12">
        <v>64</v>
      </c>
      <c r="E66" s="11">
        <v>4.0000000000000001E-3</v>
      </c>
      <c r="F66" s="10">
        <v>8992</v>
      </c>
      <c r="G66" s="11">
        <v>3.0000000000000001E-3</v>
      </c>
      <c r="H66" s="11">
        <v>0.14099999999999999</v>
      </c>
      <c r="I66" s="10">
        <v>10987620</v>
      </c>
      <c r="J66" s="12" t="s">
        <v>4592</v>
      </c>
      <c r="K66" s="10">
        <v>1265</v>
      </c>
      <c r="L66" s="12" t="s">
        <v>4593</v>
      </c>
      <c r="M66" s="10">
        <v>51459637433</v>
      </c>
      <c r="N66" s="10">
        <v>5797322</v>
      </c>
      <c r="O66" s="12">
        <v>10</v>
      </c>
    </row>
    <row r="67" spans="1:15" ht="15" customHeight="1" x14ac:dyDescent="0.3">
      <c r="A67" s="9">
        <v>43592</v>
      </c>
      <c r="B67" s="12">
        <v>55</v>
      </c>
      <c r="C67" s="11">
        <v>1.0999999999999999E-2</v>
      </c>
      <c r="D67" s="12">
        <v>89</v>
      </c>
      <c r="E67" s="11">
        <v>6.0000000000000001E-3</v>
      </c>
      <c r="F67" s="10">
        <v>13015</v>
      </c>
      <c r="G67" s="11">
        <v>6.0000000000000001E-3</v>
      </c>
      <c r="H67" s="11">
        <v>5.2999999999999999E-2</v>
      </c>
      <c r="I67" s="10">
        <v>5642920</v>
      </c>
      <c r="J67" s="12" t="s">
        <v>4594</v>
      </c>
      <c r="K67" s="12">
        <v>690</v>
      </c>
      <c r="L67" s="12" t="s">
        <v>4595</v>
      </c>
      <c r="M67" s="10">
        <v>51465280353</v>
      </c>
      <c r="N67" s="10">
        <v>5798012</v>
      </c>
      <c r="O67" s="12">
        <v>15</v>
      </c>
    </row>
    <row r="68" spans="1:15" ht="15" customHeight="1" x14ac:dyDescent="0.3">
      <c r="A68" s="9">
        <v>43593</v>
      </c>
      <c r="B68" s="12">
        <v>38</v>
      </c>
      <c r="C68" s="11">
        <v>8.0000000000000002E-3</v>
      </c>
      <c r="D68" s="12">
        <v>67</v>
      </c>
      <c r="E68" s="11">
        <v>5.0000000000000001E-3</v>
      </c>
      <c r="F68" s="10">
        <v>8486</v>
      </c>
      <c r="G68" s="11">
        <v>4.0000000000000001E-3</v>
      </c>
      <c r="H68" s="11">
        <v>5.2999999999999999E-2</v>
      </c>
      <c r="I68" s="10">
        <v>3650740</v>
      </c>
      <c r="J68" s="12" t="s">
        <v>4596</v>
      </c>
      <c r="K68" s="12">
        <v>448</v>
      </c>
      <c r="L68" s="12" t="s">
        <v>4597</v>
      </c>
      <c r="M68" s="10">
        <v>51468931093</v>
      </c>
      <c r="N68" s="10">
        <v>5798460</v>
      </c>
      <c r="O68" s="12">
        <v>20</v>
      </c>
    </row>
    <row r="69" spans="1:15" ht="15" customHeight="1" x14ac:dyDescent="0.3">
      <c r="A69" s="9">
        <v>43594</v>
      </c>
      <c r="B69" s="12">
        <v>26</v>
      </c>
      <c r="C69" s="11">
        <v>5.0000000000000001E-3</v>
      </c>
      <c r="D69" s="12">
        <v>31</v>
      </c>
      <c r="E69" s="11">
        <v>2E-3</v>
      </c>
      <c r="F69" s="10">
        <v>5167</v>
      </c>
      <c r="G69" s="11">
        <v>2E-3</v>
      </c>
      <c r="H69" s="11">
        <v>4.8000000000000001E-2</v>
      </c>
      <c r="I69" s="10">
        <v>2010940</v>
      </c>
      <c r="J69" s="12" t="s">
        <v>4598</v>
      </c>
      <c r="K69" s="12">
        <v>246</v>
      </c>
      <c r="L69" s="12" t="s">
        <v>4599</v>
      </c>
      <c r="M69" s="10">
        <v>51470942033</v>
      </c>
      <c r="N69" s="10">
        <v>5798706</v>
      </c>
      <c r="O69" s="12">
        <v>24</v>
      </c>
    </row>
    <row r="70" spans="1:15" ht="15" customHeight="1" x14ac:dyDescent="0.3">
      <c r="A70" s="9">
        <v>43595</v>
      </c>
      <c r="B70" s="12">
        <v>23</v>
      </c>
      <c r="C70" s="11">
        <v>4.0000000000000001E-3</v>
      </c>
      <c r="D70" s="12">
        <v>30</v>
      </c>
      <c r="E70" s="11">
        <v>2E-3</v>
      </c>
      <c r="F70" s="10">
        <v>4556</v>
      </c>
      <c r="G70" s="11">
        <v>2E-3</v>
      </c>
      <c r="H70" s="11">
        <v>7.1999999999999995E-2</v>
      </c>
      <c r="I70" s="10">
        <v>2936860</v>
      </c>
      <c r="J70" s="12" t="s">
        <v>4600</v>
      </c>
      <c r="K70" s="12">
        <v>330</v>
      </c>
      <c r="L70" s="12" t="s">
        <v>4601</v>
      </c>
      <c r="M70" s="10">
        <v>51473878893</v>
      </c>
      <c r="N70" s="10">
        <v>5799036</v>
      </c>
      <c r="O70" s="12">
        <v>19</v>
      </c>
    </row>
    <row r="71" spans="1:15" ht="15" customHeight="1" x14ac:dyDescent="0.3">
      <c r="A71" s="9">
        <v>43596</v>
      </c>
      <c r="B71" s="12">
        <v>21</v>
      </c>
      <c r="C71" s="11">
        <v>4.0000000000000001E-3</v>
      </c>
      <c r="D71" s="12">
        <v>27</v>
      </c>
      <c r="E71" s="11">
        <v>1E-3</v>
      </c>
      <c r="F71" s="10">
        <v>4103</v>
      </c>
      <c r="G71" s="11">
        <v>1E-3</v>
      </c>
      <c r="H71" s="11">
        <v>0.13600000000000001</v>
      </c>
      <c r="I71" s="10">
        <v>4952060</v>
      </c>
      <c r="J71" s="12" t="s">
        <v>4602</v>
      </c>
      <c r="K71" s="12">
        <v>556</v>
      </c>
      <c r="L71" s="12" t="s">
        <v>4603</v>
      </c>
      <c r="M71" s="10">
        <v>51478830953</v>
      </c>
      <c r="N71" s="10">
        <v>5799592</v>
      </c>
      <c r="O71" s="12">
        <v>15</v>
      </c>
    </row>
    <row r="72" spans="1:15" ht="15" customHeight="1" x14ac:dyDescent="0.3">
      <c r="A72" s="9">
        <v>43597</v>
      </c>
      <c r="B72" s="12">
        <v>20</v>
      </c>
      <c r="C72" s="11">
        <v>3.0000000000000001E-3</v>
      </c>
      <c r="D72" s="12">
        <v>26</v>
      </c>
      <c r="E72" s="11">
        <v>1E-3</v>
      </c>
      <c r="F72" s="10">
        <v>4054</v>
      </c>
      <c r="G72" s="11">
        <v>2E-3</v>
      </c>
      <c r="H72" s="11">
        <v>9.8000000000000004E-2</v>
      </c>
      <c r="I72" s="10">
        <v>3484760</v>
      </c>
      <c r="J72" s="12" t="s">
        <v>4604</v>
      </c>
      <c r="K72" s="12">
        <v>396</v>
      </c>
      <c r="L72" s="12" t="s">
        <v>4605</v>
      </c>
      <c r="M72" s="10">
        <v>51482315713</v>
      </c>
      <c r="N72" s="10">
        <v>5799988</v>
      </c>
      <c r="O72" s="12">
        <v>17</v>
      </c>
    </row>
    <row r="73" spans="1:15" ht="15" customHeight="1" x14ac:dyDescent="0.3">
      <c r="A73" s="9">
        <v>43598</v>
      </c>
      <c r="B73" s="12">
        <v>24</v>
      </c>
      <c r="C73" s="11">
        <v>5.0000000000000001E-3</v>
      </c>
      <c r="D73" s="12">
        <v>31</v>
      </c>
      <c r="E73" s="11">
        <v>2E-3</v>
      </c>
      <c r="F73" s="10">
        <v>4855</v>
      </c>
      <c r="G73" s="11">
        <v>2E-3</v>
      </c>
      <c r="H73" s="11">
        <v>0.05</v>
      </c>
      <c r="I73" s="10">
        <v>1993080</v>
      </c>
      <c r="J73" s="12" t="s">
        <v>4606</v>
      </c>
      <c r="K73" s="12">
        <v>241</v>
      </c>
      <c r="L73" s="12" t="s">
        <v>4607</v>
      </c>
      <c r="M73" s="10">
        <v>51484308793</v>
      </c>
      <c r="N73" s="10">
        <v>5800229</v>
      </c>
      <c r="O73" s="12">
        <v>26</v>
      </c>
    </row>
    <row r="74" spans="1:15" ht="15" customHeight="1" x14ac:dyDescent="0.3">
      <c r="A74" s="9">
        <v>43599</v>
      </c>
      <c r="B74" s="12">
        <v>23</v>
      </c>
      <c r="C74" s="11">
        <v>5.0000000000000001E-3</v>
      </c>
      <c r="D74" s="12">
        <v>30</v>
      </c>
      <c r="E74" s="11">
        <v>2E-3</v>
      </c>
      <c r="F74" s="10">
        <v>4591</v>
      </c>
      <c r="G74" s="11">
        <v>2E-3</v>
      </c>
      <c r="H74" s="11">
        <v>4.9000000000000002E-2</v>
      </c>
      <c r="I74" s="10">
        <v>1834800</v>
      </c>
      <c r="J74" s="12" t="s">
        <v>4608</v>
      </c>
      <c r="K74" s="12">
        <v>226</v>
      </c>
      <c r="L74" s="12" t="s">
        <v>4609</v>
      </c>
      <c r="M74" s="10">
        <v>51486143593</v>
      </c>
      <c r="N74" s="10">
        <v>5800455</v>
      </c>
      <c r="O74" s="12">
        <v>25</v>
      </c>
    </row>
    <row r="75" spans="1:15" ht="15" customHeight="1" x14ac:dyDescent="0.3">
      <c r="A75" s="9">
        <v>43600</v>
      </c>
      <c r="B75" s="12">
        <v>8</v>
      </c>
      <c r="C75" s="11">
        <v>2E-3</v>
      </c>
      <c r="D75" s="12">
        <v>10</v>
      </c>
      <c r="E75" s="11">
        <v>1E-3</v>
      </c>
      <c r="F75" s="10">
        <v>1605</v>
      </c>
      <c r="G75" s="11">
        <v>1E-3</v>
      </c>
      <c r="H75" s="11">
        <v>3.5999999999999997E-2</v>
      </c>
      <c r="I75" s="10">
        <v>473500</v>
      </c>
      <c r="J75" s="12" t="s">
        <v>4610</v>
      </c>
      <c r="K75" s="12">
        <v>57</v>
      </c>
      <c r="L75" s="12" t="s">
        <v>4611</v>
      </c>
      <c r="M75" s="10">
        <v>51486617093</v>
      </c>
      <c r="N75" s="10">
        <v>5800512</v>
      </c>
      <c r="O75" s="12">
        <v>46</v>
      </c>
    </row>
    <row r="76" spans="1:15" ht="15" customHeight="1" x14ac:dyDescent="0.3">
      <c r="A76" s="9">
        <v>43601</v>
      </c>
      <c r="B76" s="12">
        <v>6</v>
      </c>
      <c r="C76" s="11">
        <v>1E-3</v>
      </c>
      <c r="D76" s="12">
        <v>7</v>
      </c>
      <c r="E76" s="11">
        <v>0</v>
      </c>
      <c r="F76" s="12">
        <v>775</v>
      </c>
      <c r="G76" s="11">
        <v>0</v>
      </c>
      <c r="H76" s="11">
        <v>0.10299999999999999</v>
      </c>
      <c r="I76" s="10">
        <v>641000</v>
      </c>
      <c r="J76" s="12" t="s">
        <v>4612</v>
      </c>
      <c r="K76" s="12">
        <v>80</v>
      </c>
      <c r="L76" s="12" t="s">
        <v>4613</v>
      </c>
      <c r="M76" s="10">
        <v>51487258093</v>
      </c>
      <c r="N76" s="10">
        <v>5800592</v>
      </c>
      <c r="O76" s="12">
        <v>52</v>
      </c>
    </row>
    <row r="77" spans="1:15" ht="15" customHeight="1" x14ac:dyDescent="0.3">
      <c r="A77" s="9">
        <v>43602</v>
      </c>
      <c r="B77" s="12">
        <v>4</v>
      </c>
      <c r="C77" s="11">
        <v>1E-3</v>
      </c>
      <c r="D77" s="12">
        <v>7</v>
      </c>
      <c r="E77" s="11">
        <v>0</v>
      </c>
      <c r="F77" s="12">
        <v>875</v>
      </c>
      <c r="G77" s="11">
        <v>0</v>
      </c>
      <c r="H77" s="11">
        <v>0.154</v>
      </c>
      <c r="I77" s="10">
        <v>1209000</v>
      </c>
      <c r="J77" s="12" t="s">
        <v>4614</v>
      </c>
      <c r="K77" s="12">
        <v>135</v>
      </c>
      <c r="L77" s="12" t="s">
        <v>4615</v>
      </c>
      <c r="M77" s="10">
        <v>51488467093</v>
      </c>
      <c r="N77" s="10">
        <v>5800727</v>
      </c>
      <c r="O77" s="12">
        <v>42</v>
      </c>
    </row>
    <row r="78" spans="1:15" ht="15" customHeight="1" x14ac:dyDescent="0.3">
      <c r="A78" s="9">
        <v>43603</v>
      </c>
      <c r="B78" s="12">
        <v>5</v>
      </c>
      <c r="C78" s="11">
        <v>1E-3</v>
      </c>
      <c r="D78" s="12">
        <v>7</v>
      </c>
      <c r="E78" s="11">
        <v>0</v>
      </c>
      <c r="F78" s="12">
        <v>807</v>
      </c>
      <c r="G78" s="11">
        <v>0</v>
      </c>
      <c r="H78" s="11">
        <v>0.182</v>
      </c>
      <c r="I78" s="10">
        <v>1243000</v>
      </c>
      <c r="J78" s="12" t="s">
        <v>4616</v>
      </c>
      <c r="K78" s="12">
        <v>147</v>
      </c>
      <c r="L78" s="12" t="s">
        <v>4617</v>
      </c>
      <c r="M78" s="10">
        <v>51489710093</v>
      </c>
      <c r="N78" s="10">
        <v>5800874</v>
      </c>
      <c r="O78" s="12">
        <v>39</v>
      </c>
    </row>
    <row r="79" spans="1:15" ht="15" customHeight="1" x14ac:dyDescent="0.3">
      <c r="A79" s="9">
        <v>43604</v>
      </c>
      <c r="B79" s="12">
        <v>5</v>
      </c>
      <c r="C79" s="11">
        <v>1E-3</v>
      </c>
      <c r="D79" s="12">
        <v>6</v>
      </c>
      <c r="E79" s="11">
        <v>0</v>
      </c>
      <c r="F79" s="12">
        <v>651</v>
      </c>
      <c r="G79" s="11">
        <v>0</v>
      </c>
      <c r="H79" s="11">
        <v>8.5999999999999993E-2</v>
      </c>
      <c r="I79" s="10">
        <v>475500</v>
      </c>
      <c r="J79" s="12" t="s">
        <v>4618</v>
      </c>
      <c r="K79" s="12">
        <v>56</v>
      </c>
      <c r="L79" s="12" t="s">
        <v>4619</v>
      </c>
      <c r="M79" s="10">
        <v>51490185593</v>
      </c>
      <c r="N79" s="10">
        <v>5800930</v>
      </c>
      <c r="O79" s="12">
        <v>43</v>
      </c>
    </row>
    <row r="80" spans="1:15" ht="15" customHeight="1" x14ac:dyDescent="0.3">
      <c r="A80" s="9">
        <v>43605</v>
      </c>
      <c r="B80" s="12">
        <v>5</v>
      </c>
      <c r="C80" s="11">
        <v>1E-3</v>
      </c>
      <c r="D80" s="12">
        <v>8</v>
      </c>
      <c r="E80" s="11">
        <v>0</v>
      </c>
      <c r="F80" s="12">
        <v>916</v>
      </c>
      <c r="G80" s="11">
        <v>0</v>
      </c>
      <c r="H80" s="11">
        <v>7.4999999999999997E-2</v>
      </c>
      <c r="I80" s="10">
        <v>542500</v>
      </c>
      <c r="J80" s="12" t="s">
        <v>4620</v>
      </c>
      <c r="K80" s="12">
        <v>69</v>
      </c>
      <c r="L80" s="12" t="s">
        <v>4621</v>
      </c>
      <c r="M80" s="10">
        <v>51490728093</v>
      </c>
      <c r="N80" s="10">
        <v>5800999</v>
      </c>
      <c r="O80" s="12">
        <v>40</v>
      </c>
    </row>
    <row r="81" spans="1:15" ht="15" customHeight="1" x14ac:dyDescent="0.3">
      <c r="A81" s="9">
        <v>43606</v>
      </c>
      <c r="B81" s="12">
        <v>5</v>
      </c>
      <c r="C81" s="11">
        <v>1E-3</v>
      </c>
      <c r="D81" s="12">
        <v>8</v>
      </c>
      <c r="E81" s="11">
        <v>0</v>
      </c>
      <c r="F81" s="12">
        <v>904</v>
      </c>
      <c r="G81" s="11">
        <v>0</v>
      </c>
      <c r="H81" s="11">
        <v>7.9000000000000001E-2</v>
      </c>
      <c r="I81" s="10">
        <v>551130</v>
      </c>
      <c r="J81" s="12" t="s">
        <v>4622</v>
      </c>
      <c r="K81" s="12">
        <v>71</v>
      </c>
      <c r="L81" s="12" t="s">
        <v>4623</v>
      </c>
      <c r="M81" s="10">
        <v>51491279223</v>
      </c>
      <c r="N81" s="10">
        <v>5801070</v>
      </c>
      <c r="O81" s="12">
        <v>46</v>
      </c>
    </row>
    <row r="82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A1324-AAC7-4164-A84F-8F11F18961E1}">
  <dimension ref="A1:O59"/>
  <sheetViews>
    <sheetView showGridLines="0" workbookViewId="0">
      <selection activeCell="A5" sqref="A5:O1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8.375" bestFit="1" customWidth="1"/>
    <col min="7" max="8" width="9.625" bestFit="1" customWidth="1"/>
    <col min="9" max="9" width="11.5" bestFit="1" customWidth="1"/>
    <col min="10" max="10" width="20.2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4884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43544</v>
      </c>
      <c r="B5" s="10">
        <v>1146</v>
      </c>
      <c r="C5" s="11">
        <v>0.216</v>
      </c>
      <c r="D5" s="10">
        <v>5258</v>
      </c>
      <c r="E5" s="11">
        <v>0.315</v>
      </c>
      <c r="F5" s="10">
        <v>961164</v>
      </c>
      <c r="G5" s="11">
        <v>0.36299999999999999</v>
      </c>
      <c r="H5" s="11">
        <v>0.17299999999999999</v>
      </c>
      <c r="I5" s="10">
        <v>1369138680</v>
      </c>
      <c r="J5" s="12" t="s">
        <v>4885</v>
      </c>
      <c r="K5" s="10">
        <v>165833</v>
      </c>
      <c r="L5" s="12" t="s">
        <v>4886</v>
      </c>
      <c r="M5" s="10">
        <v>2128679730</v>
      </c>
      <c r="N5" s="10">
        <v>254180</v>
      </c>
      <c r="O5" s="12">
        <v>1</v>
      </c>
    </row>
    <row r="6" spans="1:15" ht="15" customHeight="1" x14ac:dyDescent="0.3">
      <c r="A6" s="9">
        <v>43545</v>
      </c>
      <c r="B6" s="10">
        <v>1166</v>
      </c>
      <c r="C6" s="11">
        <v>0.222</v>
      </c>
      <c r="D6" s="10">
        <v>5802</v>
      </c>
      <c r="E6" s="11">
        <v>0.33400000000000002</v>
      </c>
      <c r="F6" s="10">
        <v>1057109</v>
      </c>
      <c r="G6" s="11">
        <v>0.38400000000000001</v>
      </c>
      <c r="H6" s="11">
        <v>0.16200000000000001</v>
      </c>
      <c r="I6" s="10">
        <v>1407813290</v>
      </c>
      <c r="J6" s="12" t="s">
        <v>4887</v>
      </c>
      <c r="K6" s="10">
        <v>170825</v>
      </c>
      <c r="L6" s="12" t="s">
        <v>4888</v>
      </c>
      <c r="M6" s="10">
        <v>3536493020</v>
      </c>
      <c r="N6" s="10">
        <v>425005</v>
      </c>
      <c r="O6" s="12">
        <v>1</v>
      </c>
    </row>
    <row r="7" spans="1:15" ht="15" customHeight="1" x14ac:dyDescent="0.3">
      <c r="A7" s="9">
        <v>43546</v>
      </c>
      <c r="B7" s="10">
        <v>1268</v>
      </c>
      <c r="C7" s="11">
        <v>0.23899999999999999</v>
      </c>
      <c r="D7" s="10">
        <v>6372</v>
      </c>
      <c r="E7" s="11">
        <v>0.35799999999999998</v>
      </c>
      <c r="F7" s="10">
        <v>1148473</v>
      </c>
      <c r="G7" s="11">
        <v>0.40899999999999997</v>
      </c>
      <c r="H7" s="11">
        <v>0.187</v>
      </c>
      <c r="I7" s="10">
        <v>1941016383</v>
      </c>
      <c r="J7" s="12" t="s">
        <v>4889</v>
      </c>
      <c r="K7" s="10">
        <v>214510</v>
      </c>
      <c r="L7" s="12" t="s">
        <v>4890</v>
      </c>
      <c r="M7" s="10">
        <v>5477509403</v>
      </c>
      <c r="N7" s="10">
        <v>639515</v>
      </c>
      <c r="O7" s="12">
        <v>1</v>
      </c>
    </row>
    <row r="8" spans="1:15" ht="15" customHeight="1" x14ac:dyDescent="0.3">
      <c r="A8" s="9">
        <v>43547</v>
      </c>
      <c r="B8" s="10">
        <v>1410</v>
      </c>
      <c r="C8" s="11">
        <v>0.247</v>
      </c>
      <c r="D8" s="10">
        <v>7486</v>
      </c>
      <c r="E8" s="11">
        <v>0.39200000000000002</v>
      </c>
      <c r="F8" s="10">
        <v>1339381</v>
      </c>
      <c r="G8" s="11">
        <v>0.44900000000000001</v>
      </c>
      <c r="H8" s="11">
        <v>0.35899999999999999</v>
      </c>
      <c r="I8" s="10">
        <v>4347824286</v>
      </c>
      <c r="J8" s="12" t="s">
        <v>4891</v>
      </c>
      <c r="K8" s="10">
        <v>480709</v>
      </c>
      <c r="L8" s="12" t="s">
        <v>4892</v>
      </c>
      <c r="M8" s="10">
        <v>9825333689</v>
      </c>
      <c r="N8" s="10">
        <v>1120224</v>
      </c>
      <c r="O8" s="12">
        <v>1</v>
      </c>
    </row>
    <row r="9" spans="1:15" ht="15" customHeight="1" x14ac:dyDescent="0.3">
      <c r="A9" s="9">
        <v>43548</v>
      </c>
      <c r="B9" s="10">
        <v>1431</v>
      </c>
      <c r="C9" s="11">
        <v>0.25</v>
      </c>
      <c r="D9" s="10">
        <v>7433</v>
      </c>
      <c r="E9" s="11">
        <v>0.39900000000000002</v>
      </c>
      <c r="F9" s="10">
        <v>1328288</v>
      </c>
      <c r="G9" s="11">
        <v>0.45500000000000002</v>
      </c>
      <c r="H9" s="11">
        <v>0.313</v>
      </c>
      <c r="I9" s="10">
        <v>3753473160</v>
      </c>
      <c r="J9" s="12" t="s">
        <v>4893</v>
      </c>
      <c r="K9" s="10">
        <v>416173</v>
      </c>
      <c r="L9" s="12" t="s">
        <v>4894</v>
      </c>
      <c r="M9" s="10">
        <v>13578806849</v>
      </c>
      <c r="N9" s="10">
        <v>1536397</v>
      </c>
      <c r="O9" s="12">
        <v>1</v>
      </c>
    </row>
    <row r="10" spans="1:15" ht="15" customHeight="1" x14ac:dyDescent="0.3">
      <c r="A10" s="9">
        <v>43549</v>
      </c>
      <c r="B10" s="10">
        <v>1330</v>
      </c>
      <c r="C10" s="11">
        <v>0.27100000000000002</v>
      </c>
      <c r="D10" s="10">
        <v>6948</v>
      </c>
      <c r="E10" s="11">
        <v>0.41199999999999998</v>
      </c>
      <c r="F10" s="10">
        <v>1258268</v>
      </c>
      <c r="G10" s="11">
        <v>0.46800000000000003</v>
      </c>
      <c r="H10" s="11">
        <v>0.10100000000000001</v>
      </c>
      <c r="I10" s="10">
        <v>1042451680</v>
      </c>
      <c r="J10" s="12" t="s">
        <v>4895</v>
      </c>
      <c r="K10" s="10">
        <v>126999</v>
      </c>
      <c r="L10" s="12" t="s">
        <v>4896</v>
      </c>
      <c r="M10" s="10">
        <v>14621258529</v>
      </c>
      <c r="N10" s="10">
        <v>1663396</v>
      </c>
      <c r="O10" s="12">
        <v>1</v>
      </c>
    </row>
    <row r="11" spans="1:15" ht="15" customHeight="1" x14ac:dyDescent="0.3">
      <c r="A11" s="9">
        <v>43550</v>
      </c>
      <c r="B11" s="10">
        <v>1344</v>
      </c>
      <c r="C11" s="11">
        <v>0.26500000000000001</v>
      </c>
      <c r="D11" s="10">
        <v>6942</v>
      </c>
      <c r="E11" s="11">
        <v>0.41299999999999998</v>
      </c>
      <c r="F11" s="10">
        <v>1256412</v>
      </c>
      <c r="G11" s="11">
        <v>0.46899999999999997</v>
      </c>
      <c r="H11" s="11">
        <v>8.7999999999999995E-2</v>
      </c>
      <c r="I11" s="10">
        <v>890831280</v>
      </c>
      <c r="J11" s="12" t="s">
        <v>4897</v>
      </c>
      <c r="K11" s="10">
        <v>110062</v>
      </c>
      <c r="L11" s="12" t="s">
        <v>4898</v>
      </c>
      <c r="M11" s="10">
        <v>15512089809</v>
      </c>
      <c r="N11" s="10">
        <v>1773458</v>
      </c>
      <c r="O11" s="12">
        <v>1</v>
      </c>
    </row>
    <row r="12" spans="1:15" ht="15" customHeight="1" x14ac:dyDescent="0.3">
      <c r="A12" s="9">
        <v>43551</v>
      </c>
      <c r="B12" s="10">
        <v>1119</v>
      </c>
      <c r="C12" s="11">
        <v>0.17899999999999999</v>
      </c>
      <c r="D12" s="10">
        <v>5122</v>
      </c>
      <c r="E12" s="11">
        <v>0.28499999999999998</v>
      </c>
      <c r="F12" s="10">
        <v>915825</v>
      </c>
      <c r="G12" s="11">
        <v>0.32200000000000001</v>
      </c>
      <c r="H12" s="11">
        <v>0.223</v>
      </c>
      <c r="I12" s="10">
        <v>1205032190</v>
      </c>
      <c r="J12" s="12" t="s">
        <v>4899</v>
      </c>
      <c r="K12" s="10">
        <v>204620</v>
      </c>
      <c r="L12" s="12" t="s">
        <v>4900</v>
      </c>
      <c r="M12" s="10">
        <v>16717121999</v>
      </c>
      <c r="N12" s="10">
        <v>1978078</v>
      </c>
      <c r="O12" s="12">
        <v>2</v>
      </c>
    </row>
    <row r="13" spans="1:15" ht="15" customHeight="1" x14ac:dyDescent="0.3">
      <c r="A13" s="9">
        <v>43552</v>
      </c>
      <c r="B13" s="10">
        <v>1037</v>
      </c>
      <c r="C13" s="11">
        <v>0.17699999999999999</v>
      </c>
      <c r="D13" s="10">
        <v>4985</v>
      </c>
      <c r="E13" s="11">
        <v>0.28100000000000003</v>
      </c>
      <c r="F13" s="10">
        <v>879231</v>
      </c>
      <c r="G13" s="11">
        <v>0.313</v>
      </c>
      <c r="H13" s="11">
        <v>0.10199999999999999</v>
      </c>
      <c r="I13" s="10">
        <v>722941410</v>
      </c>
      <c r="J13" s="12" t="s">
        <v>4901</v>
      </c>
      <c r="K13" s="10">
        <v>89657</v>
      </c>
      <c r="L13" s="12" t="s">
        <v>4902</v>
      </c>
      <c r="M13" s="10">
        <v>17440063409</v>
      </c>
      <c r="N13" s="10">
        <v>2067735</v>
      </c>
      <c r="O13" s="12">
        <v>2</v>
      </c>
    </row>
    <row r="14" spans="1:15" ht="15" customHeight="1" x14ac:dyDescent="0.3">
      <c r="A14" s="9">
        <v>43553</v>
      </c>
      <c r="B14" s="10">
        <v>1112</v>
      </c>
      <c r="C14" s="11">
        <v>0.19</v>
      </c>
      <c r="D14" s="10">
        <v>5321</v>
      </c>
      <c r="E14" s="11">
        <v>0.29199999999999998</v>
      </c>
      <c r="F14" s="10">
        <v>928516</v>
      </c>
      <c r="G14" s="11">
        <v>0.32200000000000001</v>
      </c>
      <c r="H14" s="11">
        <v>0.127</v>
      </c>
      <c r="I14" s="10">
        <v>1039836023</v>
      </c>
      <c r="J14" s="12" t="s">
        <v>4903</v>
      </c>
      <c r="K14" s="10">
        <v>117576</v>
      </c>
      <c r="L14" s="12" t="s">
        <v>4904</v>
      </c>
      <c r="M14" s="10">
        <v>18479899432</v>
      </c>
      <c r="N14" s="10">
        <v>2185311</v>
      </c>
      <c r="O14" s="12">
        <v>2</v>
      </c>
    </row>
    <row r="15" spans="1:15" ht="15" customHeight="1" x14ac:dyDescent="0.3">
      <c r="A15" s="9">
        <v>43554</v>
      </c>
      <c r="B15" s="10">
        <v>1157</v>
      </c>
      <c r="C15" s="11">
        <v>0.183</v>
      </c>
      <c r="D15" s="10">
        <v>5736</v>
      </c>
      <c r="E15" s="11">
        <v>0.29199999999999998</v>
      </c>
      <c r="F15" s="10">
        <v>994135</v>
      </c>
      <c r="G15" s="11">
        <v>0.32500000000000001</v>
      </c>
      <c r="H15" s="11">
        <v>0.25800000000000001</v>
      </c>
      <c r="I15" s="10">
        <v>2295707570</v>
      </c>
      <c r="J15" s="12" t="s">
        <v>4905</v>
      </c>
      <c r="K15" s="10">
        <v>256035</v>
      </c>
      <c r="L15" s="12" t="s">
        <v>4906</v>
      </c>
      <c r="M15" s="10">
        <v>20775607002</v>
      </c>
      <c r="N15" s="10">
        <v>2441346</v>
      </c>
      <c r="O15" s="12">
        <v>2</v>
      </c>
    </row>
    <row r="16" spans="1:15" ht="15" customHeight="1" x14ac:dyDescent="0.3">
      <c r="A16" s="9">
        <v>43555</v>
      </c>
      <c r="B16" s="10">
        <v>1154</v>
      </c>
      <c r="C16" s="11">
        <v>0.183</v>
      </c>
      <c r="D16" s="10">
        <v>5587</v>
      </c>
      <c r="E16" s="11">
        <v>0.29199999999999998</v>
      </c>
      <c r="F16" s="10">
        <v>973161</v>
      </c>
      <c r="G16" s="11">
        <v>0.32600000000000001</v>
      </c>
      <c r="H16" s="11">
        <v>0.23499999999999999</v>
      </c>
      <c r="I16" s="10">
        <v>2018608060</v>
      </c>
      <c r="J16" s="12" t="s">
        <v>4907</v>
      </c>
      <c r="K16" s="10">
        <v>228291</v>
      </c>
      <c r="L16" s="12" t="s">
        <v>4908</v>
      </c>
      <c r="M16" s="10">
        <v>22794215062</v>
      </c>
      <c r="N16" s="10">
        <v>2669637</v>
      </c>
      <c r="O16" s="12">
        <v>1</v>
      </c>
    </row>
    <row r="17" spans="1:15" ht="15" customHeight="1" x14ac:dyDescent="0.3">
      <c r="A17" s="9">
        <v>43556</v>
      </c>
      <c r="B17" s="10">
        <v>1082</v>
      </c>
      <c r="C17" s="11">
        <v>0.19500000000000001</v>
      </c>
      <c r="D17" s="10">
        <v>5258</v>
      </c>
      <c r="E17" s="11">
        <v>0.30399999999999999</v>
      </c>
      <c r="F17" s="10">
        <v>888769</v>
      </c>
      <c r="G17" s="11">
        <v>0.32500000000000001</v>
      </c>
      <c r="H17" s="11">
        <v>8.8999999999999996E-2</v>
      </c>
      <c r="I17" s="10">
        <v>615229510</v>
      </c>
      <c r="J17" s="12" t="s">
        <v>4909</v>
      </c>
      <c r="K17" s="10">
        <v>78882</v>
      </c>
      <c r="L17" s="12" t="s">
        <v>4910</v>
      </c>
      <c r="M17" s="10">
        <v>23409444572</v>
      </c>
      <c r="N17" s="10">
        <v>2748519</v>
      </c>
      <c r="O17" s="12">
        <v>1</v>
      </c>
    </row>
    <row r="18" spans="1:15" ht="15" customHeight="1" x14ac:dyDescent="0.3">
      <c r="A18" s="9">
        <v>43557</v>
      </c>
      <c r="B18" s="10">
        <v>1082</v>
      </c>
      <c r="C18" s="11">
        <v>0.19500000000000001</v>
      </c>
      <c r="D18" s="10">
        <v>5189</v>
      </c>
      <c r="E18" s="11">
        <v>0.307</v>
      </c>
      <c r="F18" s="10">
        <v>878916</v>
      </c>
      <c r="G18" s="11">
        <v>0.32700000000000001</v>
      </c>
      <c r="H18" s="11">
        <v>7.0000000000000007E-2</v>
      </c>
      <c r="I18" s="10">
        <v>489802630</v>
      </c>
      <c r="J18" s="12" t="s">
        <v>4911</v>
      </c>
      <c r="K18" s="10">
        <v>61621</v>
      </c>
      <c r="L18" s="12" t="s">
        <v>4912</v>
      </c>
      <c r="M18" s="10">
        <v>23899247202</v>
      </c>
      <c r="N18" s="10">
        <v>2810140</v>
      </c>
      <c r="O18" s="12">
        <v>1</v>
      </c>
    </row>
    <row r="19" spans="1:15" ht="15" customHeight="1" x14ac:dyDescent="0.3">
      <c r="A19" s="9">
        <v>43558</v>
      </c>
      <c r="B19" s="12">
        <v>668</v>
      </c>
      <c r="C19" s="11">
        <v>0.126</v>
      </c>
      <c r="D19" s="10">
        <v>2595</v>
      </c>
      <c r="E19" s="11">
        <v>0.151</v>
      </c>
      <c r="F19" s="10">
        <v>374040</v>
      </c>
      <c r="G19" s="11">
        <v>0.13900000000000001</v>
      </c>
      <c r="H19" s="11">
        <v>0.11</v>
      </c>
      <c r="I19" s="10">
        <v>329226320</v>
      </c>
      <c r="J19" s="12" t="s">
        <v>4913</v>
      </c>
      <c r="K19" s="10">
        <v>41265</v>
      </c>
      <c r="L19" s="12" t="s">
        <v>4914</v>
      </c>
      <c r="M19" s="10">
        <v>24228473522</v>
      </c>
      <c r="N19" s="10">
        <v>2851405</v>
      </c>
      <c r="O19" s="12">
        <v>3</v>
      </c>
    </row>
    <row r="20" spans="1:15" ht="15" customHeight="1" x14ac:dyDescent="0.3">
      <c r="A20" s="9">
        <v>43559</v>
      </c>
      <c r="B20" s="12">
        <v>686</v>
      </c>
      <c r="C20" s="11">
        <v>0.123</v>
      </c>
      <c r="D20" s="10">
        <v>2585</v>
      </c>
      <c r="E20" s="11">
        <v>0.152</v>
      </c>
      <c r="F20" s="10">
        <v>374455</v>
      </c>
      <c r="G20" s="11">
        <v>0.14000000000000001</v>
      </c>
      <c r="H20" s="11">
        <v>9.6000000000000002E-2</v>
      </c>
      <c r="I20" s="10">
        <v>291111550</v>
      </c>
      <c r="J20" s="12" t="s">
        <v>4915</v>
      </c>
      <c r="K20" s="10">
        <v>35902</v>
      </c>
      <c r="L20" s="12" t="s">
        <v>4916</v>
      </c>
      <c r="M20" s="10">
        <v>24519585072</v>
      </c>
      <c r="N20" s="10">
        <v>2887307</v>
      </c>
      <c r="O20" s="12">
        <v>3</v>
      </c>
    </row>
    <row r="21" spans="1:15" ht="15" customHeight="1" x14ac:dyDescent="0.3">
      <c r="A21" s="9">
        <v>43560</v>
      </c>
      <c r="B21" s="12">
        <v>709</v>
      </c>
      <c r="C21" s="11">
        <v>0.122</v>
      </c>
      <c r="D21" s="10">
        <v>2719</v>
      </c>
      <c r="E21" s="11">
        <v>0.155</v>
      </c>
      <c r="F21" s="10">
        <v>389624</v>
      </c>
      <c r="G21" s="11">
        <v>0.14199999999999999</v>
      </c>
      <c r="H21" s="11">
        <v>0.122</v>
      </c>
      <c r="I21" s="10">
        <v>423834434</v>
      </c>
      <c r="J21" s="12" t="s">
        <v>4917</v>
      </c>
      <c r="K21" s="10">
        <v>47658</v>
      </c>
      <c r="L21" s="12" t="s">
        <v>4918</v>
      </c>
      <c r="M21" s="10">
        <v>24943419506</v>
      </c>
      <c r="N21" s="10">
        <v>2934965</v>
      </c>
      <c r="O21" s="12">
        <v>3</v>
      </c>
    </row>
    <row r="22" spans="1:15" ht="15" customHeight="1" x14ac:dyDescent="0.3">
      <c r="A22" s="9">
        <v>43561</v>
      </c>
      <c r="B22" s="12">
        <v>747</v>
      </c>
      <c r="C22" s="11">
        <v>0.11899999999999999</v>
      </c>
      <c r="D22" s="10">
        <v>2903</v>
      </c>
      <c r="E22" s="11">
        <v>0.154</v>
      </c>
      <c r="F22" s="10">
        <v>420670</v>
      </c>
      <c r="G22" s="11">
        <v>0.14399999999999999</v>
      </c>
      <c r="H22" s="11">
        <v>0.23699999999999999</v>
      </c>
      <c r="I22" s="10">
        <v>897816456</v>
      </c>
      <c r="J22" s="12" t="s">
        <v>4919</v>
      </c>
      <c r="K22" s="10">
        <v>99663</v>
      </c>
      <c r="L22" s="12" t="s">
        <v>4920</v>
      </c>
      <c r="M22" s="10">
        <v>25841235962</v>
      </c>
      <c r="N22" s="10">
        <v>3034628</v>
      </c>
      <c r="O22" s="12">
        <v>3</v>
      </c>
    </row>
    <row r="23" spans="1:15" ht="15" customHeight="1" x14ac:dyDescent="0.3">
      <c r="A23" s="9">
        <v>43562</v>
      </c>
      <c r="B23" s="12">
        <v>744</v>
      </c>
      <c r="C23" s="11">
        <v>0.12</v>
      </c>
      <c r="D23" s="10">
        <v>2823</v>
      </c>
      <c r="E23" s="11">
        <v>0.154</v>
      </c>
      <c r="F23" s="10">
        <v>409830</v>
      </c>
      <c r="G23" s="11">
        <v>0.14399999999999999</v>
      </c>
      <c r="H23" s="11">
        <v>0.20200000000000001</v>
      </c>
      <c r="I23" s="10">
        <v>743336890</v>
      </c>
      <c r="J23" s="12" t="s">
        <v>4921</v>
      </c>
      <c r="K23" s="10">
        <v>82722</v>
      </c>
      <c r="L23" s="12" t="s">
        <v>4922</v>
      </c>
      <c r="M23" s="10">
        <v>26584572852</v>
      </c>
      <c r="N23" s="10">
        <v>3117350</v>
      </c>
      <c r="O23" s="12">
        <v>3</v>
      </c>
    </row>
    <row r="24" spans="1:15" ht="15" customHeight="1" x14ac:dyDescent="0.3">
      <c r="A24" s="9">
        <v>43563</v>
      </c>
      <c r="B24" s="12">
        <v>666</v>
      </c>
      <c r="C24" s="11">
        <v>0.124</v>
      </c>
      <c r="D24" s="10">
        <v>2682</v>
      </c>
      <c r="E24" s="11">
        <v>0.16500000000000001</v>
      </c>
      <c r="F24" s="10">
        <v>382682</v>
      </c>
      <c r="G24" s="11">
        <v>0.14899999999999999</v>
      </c>
      <c r="H24" s="11">
        <v>7.0999999999999994E-2</v>
      </c>
      <c r="I24" s="10">
        <v>221142190</v>
      </c>
      <c r="J24" s="12" t="s">
        <v>4923</v>
      </c>
      <c r="K24" s="10">
        <v>27171</v>
      </c>
      <c r="L24" s="12" t="s">
        <v>4924</v>
      </c>
      <c r="M24" s="10">
        <v>26805715042</v>
      </c>
      <c r="N24" s="10">
        <v>3144521</v>
      </c>
      <c r="O24" s="12">
        <v>3</v>
      </c>
    </row>
    <row r="25" spans="1:15" ht="15" customHeight="1" x14ac:dyDescent="0.3">
      <c r="A25" s="9">
        <v>43564</v>
      </c>
      <c r="B25" s="12">
        <v>705</v>
      </c>
      <c r="C25" s="11">
        <v>0.129</v>
      </c>
      <c r="D25" s="10">
        <v>2645</v>
      </c>
      <c r="E25" s="11">
        <v>0.16700000000000001</v>
      </c>
      <c r="F25" s="10">
        <v>379441</v>
      </c>
      <c r="G25" s="11">
        <v>0.152</v>
      </c>
      <c r="H25" s="11">
        <v>6.6000000000000003E-2</v>
      </c>
      <c r="I25" s="10">
        <v>202541800</v>
      </c>
      <c r="J25" s="12" t="s">
        <v>4925</v>
      </c>
      <c r="K25" s="10">
        <v>24902</v>
      </c>
      <c r="L25" s="12" t="s">
        <v>4926</v>
      </c>
      <c r="M25" s="10">
        <v>27008256842</v>
      </c>
      <c r="N25" s="10">
        <v>3169423</v>
      </c>
      <c r="O25" s="12">
        <v>2</v>
      </c>
    </row>
    <row r="26" spans="1:15" ht="15" customHeight="1" x14ac:dyDescent="0.3">
      <c r="A26" s="9">
        <v>43565</v>
      </c>
      <c r="B26" s="12">
        <v>589</v>
      </c>
      <c r="C26" s="11">
        <v>0.104</v>
      </c>
      <c r="D26" s="10">
        <v>2206</v>
      </c>
      <c r="E26" s="11">
        <v>0.13100000000000001</v>
      </c>
      <c r="F26" s="10">
        <v>311853</v>
      </c>
      <c r="G26" s="11">
        <v>0.11799999999999999</v>
      </c>
      <c r="H26" s="11">
        <v>0.08</v>
      </c>
      <c r="I26" s="10">
        <v>200435840</v>
      </c>
      <c r="J26" s="12" t="s">
        <v>4927</v>
      </c>
      <c r="K26" s="10">
        <v>24863</v>
      </c>
      <c r="L26" s="12" t="s">
        <v>4928</v>
      </c>
      <c r="M26" s="10">
        <v>27208692682</v>
      </c>
      <c r="N26" s="10">
        <v>3194286</v>
      </c>
      <c r="O26" s="12">
        <v>3</v>
      </c>
    </row>
    <row r="27" spans="1:15" ht="15" customHeight="1" x14ac:dyDescent="0.3">
      <c r="A27" s="9">
        <v>43566</v>
      </c>
      <c r="B27" s="12">
        <v>525</v>
      </c>
      <c r="C27" s="11">
        <v>8.5999999999999993E-2</v>
      </c>
      <c r="D27" s="10">
        <v>1445</v>
      </c>
      <c r="E27" s="11">
        <v>8.4000000000000005E-2</v>
      </c>
      <c r="F27" s="10">
        <v>205219</v>
      </c>
      <c r="G27" s="11">
        <v>7.5999999999999998E-2</v>
      </c>
      <c r="H27" s="11">
        <v>7.2999999999999995E-2</v>
      </c>
      <c r="I27" s="10">
        <v>121591550</v>
      </c>
      <c r="J27" s="12" t="s">
        <v>4929</v>
      </c>
      <c r="K27" s="10">
        <v>15029</v>
      </c>
      <c r="L27" s="12" t="s">
        <v>4930</v>
      </c>
      <c r="M27" s="10">
        <v>27330284232</v>
      </c>
      <c r="N27" s="10">
        <v>3209315</v>
      </c>
      <c r="O27" s="12">
        <v>4</v>
      </c>
    </row>
    <row r="28" spans="1:15" ht="15" customHeight="1" x14ac:dyDescent="0.3">
      <c r="A28" s="9">
        <v>43567</v>
      </c>
      <c r="B28" s="12">
        <v>536</v>
      </c>
      <c r="C28" s="11">
        <v>8.5000000000000006E-2</v>
      </c>
      <c r="D28" s="10">
        <v>1482</v>
      </c>
      <c r="E28" s="11">
        <v>8.3000000000000004E-2</v>
      </c>
      <c r="F28" s="10">
        <v>206687</v>
      </c>
      <c r="G28" s="11">
        <v>7.3999999999999996E-2</v>
      </c>
      <c r="H28" s="11">
        <v>9.7000000000000003E-2</v>
      </c>
      <c r="I28" s="10">
        <v>173443770</v>
      </c>
      <c r="J28" s="12" t="s">
        <v>4931</v>
      </c>
      <c r="K28" s="10">
        <v>19989</v>
      </c>
      <c r="L28" s="12" t="s">
        <v>4932</v>
      </c>
      <c r="M28" s="10">
        <v>27503728002</v>
      </c>
      <c r="N28" s="10">
        <v>3229304</v>
      </c>
      <c r="O28" s="12">
        <v>4</v>
      </c>
    </row>
    <row r="29" spans="1:15" ht="15" customHeight="1" x14ac:dyDescent="0.3">
      <c r="A29" s="9">
        <v>43568</v>
      </c>
      <c r="B29" s="12">
        <v>561</v>
      </c>
      <c r="C29" s="11">
        <v>8.1000000000000003E-2</v>
      </c>
      <c r="D29" s="10">
        <v>1554</v>
      </c>
      <c r="E29" s="11">
        <v>0.08</v>
      </c>
      <c r="F29" s="10">
        <v>217898</v>
      </c>
      <c r="G29" s="11">
        <v>7.1999999999999995E-2</v>
      </c>
      <c r="H29" s="11">
        <v>0.16300000000000001</v>
      </c>
      <c r="I29" s="10">
        <v>315515980</v>
      </c>
      <c r="J29" s="12" t="s">
        <v>4933</v>
      </c>
      <c r="K29" s="10">
        <v>35498</v>
      </c>
      <c r="L29" s="12" t="s">
        <v>4934</v>
      </c>
      <c r="M29" s="10">
        <v>27819243982</v>
      </c>
      <c r="N29" s="10">
        <v>3264802</v>
      </c>
      <c r="O29" s="12">
        <v>4</v>
      </c>
    </row>
    <row r="30" spans="1:15" ht="15" customHeight="1" x14ac:dyDescent="0.3">
      <c r="A30" s="9">
        <v>43569</v>
      </c>
      <c r="B30" s="12">
        <v>563</v>
      </c>
      <c r="C30" s="11">
        <v>8.1000000000000003E-2</v>
      </c>
      <c r="D30" s="10">
        <v>1542</v>
      </c>
      <c r="E30" s="11">
        <v>8.2000000000000003E-2</v>
      </c>
      <c r="F30" s="10">
        <v>217587</v>
      </c>
      <c r="G30" s="11">
        <v>7.3999999999999996E-2</v>
      </c>
      <c r="H30" s="11">
        <v>0.17499999999999999</v>
      </c>
      <c r="I30" s="10">
        <v>337997300</v>
      </c>
      <c r="J30" s="12" t="s">
        <v>4935</v>
      </c>
      <c r="K30" s="10">
        <v>37979</v>
      </c>
      <c r="L30" s="12" t="s">
        <v>4936</v>
      </c>
      <c r="M30" s="10">
        <v>28157241282</v>
      </c>
      <c r="N30" s="10">
        <v>3302781</v>
      </c>
      <c r="O30" s="12">
        <v>4</v>
      </c>
    </row>
    <row r="31" spans="1:15" ht="15" customHeight="1" x14ac:dyDescent="0.3">
      <c r="A31" s="9">
        <v>43570</v>
      </c>
      <c r="B31" s="12">
        <v>522</v>
      </c>
      <c r="C31" s="11">
        <v>8.7999999999999995E-2</v>
      </c>
      <c r="D31" s="10">
        <v>1469</v>
      </c>
      <c r="E31" s="11">
        <v>0.09</v>
      </c>
      <c r="F31" s="10">
        <v>201815</v>
      </c>
      <c r="G31" s="11">
        <v>7.8E-2</v>
      </c>
      <c r="H31" s="11">
        <v>0.06</v>
      </c>
      <c r="I31" s="10">
        <v>96079800</v>
      </c>
      <c r="J31" s="12" t="s">
        <v>4937</v>
      </c>
      <c r="K31" s="10">
        <v>12075</v>
      </c>
      <c r="L31" s="12" t="s">
        <v>4938</v>
      </c>
      <c r="M31" s="10">
        <v>28253321082</v>
      </c>
      <c r="N31" s="10">
        <v>3314856</v>
      </c>
      <c r="O31" s="12">
        <v>4</v>
      </c>
    </row>
    <row r="32" spans="1:15" ht="15" customHeight="1" x14ac:dyDescent="0.3">
      <c r="A32" s="9">
        <v>43571</v>
      </c>
      <c r="B32" s="12">
        <v>542</v>
      </c>
      <c r="C32" s="11">
        <v>9.0999999999999998E-2</v>
      </c>
      <c r="D32" s="10">
        <v>1418</v>
      </c>
      <c r="E32" s="11">
        <v>8.8999999999999996E-2</v>
      </c>
      <c r="F32" s="10">
        <v>193823</v>
      </c>
      <c r="G32" s="11">
        <v>7.6999999999999999E-2</v>
      </c>
      <c r="H32" s="11">
        <v>5.3999999999999999E-2</v>
      </c>
      <c r="I32" s="10">
        <v>81036650</v>
      </c>
      <c r="J32" s="12" t="s">
        <v>4939</v>
      </c>
      <c r="K32" s="10">
        <v>10446</v>
      </c>
      <c r="L32" s="12" t="s">
        <v>4940</v>
      </c>
      <c r="M32" s="10">
        <v>28334357732</v>
      </c>
      <c r="N32" s="10">
        <v>3325302</v>
      </c>
      <c r="O32" s="12">
        <v>4</v>
      </c>
    </row>
    <row r="33" spans="1:15" ht="15" customHeight="1" x14ac:dyDescent="0.3">
      <c r="A33" s="9">
        <v>43572</v>
      </c>
      <c r="B33" s="12">
        <v>433</v>
      </c>
      <c r="C33" s="11">
        <v>7.2999999999999995E-2</v>
      </c>
      <c r="D33" s="10">
        <v>1086</v>
      </c>
      <c r="E33" s="11">
        <v>6.5000000000000002E-2</v>
      </c>
      <c r="F33" s="10">
        <v>143295</v>
      </c>
      <c r="G33" s="11">
        <v>5.3999999999999999E-2</v>
      </c>
      <c r="H33" s="11">
        <v>5.7000000000000002E-2</v>
      </c>
      <c r="I33" s="10">
        <v>65826140</v>
      </c>
      <c r="J33" s="12" t="s">
        <v>4941</v>
      </c>
      <c r="K33" s="10">
        <v>8177</v>
      </c>
      <c r="L33" s="12" t="s">
        <v>4942</v>
      </c>
      <c r="M33" s="10">
        <v>28400183872</v>
      </c>
      <c r="N33" s="10">
        <v>3333479</v>
      </c>
      <c r="O33" s="12">
        <v>6</v>
      </c>
    </row>
    <row r="34" spans="1:15" ht="15" customHeight="1" x14ac:dyDescent="0.3">
      <c r="A34" s="9">
        <v>43573</v>
      </c>
      <c r="B34" s="12">
        <v>394</v>
      </c>
      <c r="C34" s="11">
        <v>0.06</v>
      </c>
      <c r="D34" s="12">
        <v>825</v>
      </c>
      <c r="E34" s="11">
        <v>0.05</v>
      </c>
      <c r="F34" s="10">
        <v>111063</v>
      </c>
      <c r="G34" s="11">
        <v>4.2000000000000003E-2</v>
      </c>
      <c r="H34" s="11">
        <v>0.06</v>
      </c>
      <c r="I34" s="10">
        <v>52057990</v>
      </c>
      <c r="J34" s="12" t="s">
        <v>4943</v>
      </c>
      <c r="K34" s="10">
        <v>6667</v>
      </c>
      <c r="L34" s="12" t="s">
        <v>4944</v>
      </c>
      <c r="M34" s="10">
        <v>28452241862</v>
      </c>
      <c r="N34" s="10">
        <v>3340146</v>
      </c>
      <c r="O34" s="12">
        <v>6</v>
      </c>
    </row>
    <row r="35" spans="1:15" ht="15" customHeight="1" x14ac:dyDescent="0.3">
      <c r="A35" s="9">
        <v>43574</v>
      </c>
      <c r="B35" s="12">
        <v>387</v>
      </c>
      <c r="C35" s="11">
        <v>5.6000000000000001E-2</v>
      </c>
      <c r="D35" s="12">
        <v>851</v>
      </c>
      <c r="E35" s="11">
        <v>4.9000000000000002E-2</v>
      </c>
      <c r="F35" s="10">
        <v>114178</v>
      </c>
      <c r="G35" s="11">
        <v>4.2000000000000003E-2</v>
      </c>
      <c r="H35" s="11">
        <v>7.4999999999999997E-2</v>
      </c>
      <c r="I35" s="10">
        <v>72485960</v>
      </c>
      <c r="J35" s="12" t="s">
        <v>4945</v>
      </c>
      <c r="K35" s="10">
        <v>8613</v>
      </c>
      <c r="L35" s="12" t="s">
        <v>4946</v>
      </c>
      <c r="M35" s="10">
        <v>28524727822</v>
      </c>
      <c r="N35" s="10">
        <v>3348759</v>
      </c>
      <c r="O35" s="12">
        <v>6</v>
      </c>
    </row>
    <row r="36" spans="1:15" ht="15" customHeight="1" x14ac:dyDescent="0.3">
      <c r="A36" s="9">
        <v>43575</v>
      </c>
      <c r="B36" s="12">
        <v>404</v>
      </c>
      <c r="C36" s="11">
        <v>5.3999999999999999E-2</v>
      </c>
      <c r="D36" s="12">
        <v>937</v>
      </c>
      <c r="E36" s="11">
        <v>4.9000000000000002E-2</v>
      </c>
      <c r="F36" s="10">
        <v>123523</v>
      </c>
      <c r="G36" s="11">
        <v>4.1000000000000002E-2</v>
      </c>
      <c r="H36" s="11">
        <v>0.128</v>
      </c>
      <c r="I36" s="10">
        <v>139501310</v>
      </c>
      <c r="J36" s="12" t="s">
        <v>4947</v>
      </c>
      <c r="K36" s="10">
        <v>15842</v>
      </c>
      <c r="L36" s="12" t="s">
        <v>4948</v>
      </c>
      <c r="M36" s="10">
        <v>28664229132</v>
      </c>
      <c r="N36" s="10">
        <v>3364601</v>
      </c>
      <c r="O36" s="12">
        <v>7</v>
      </c>
    </row>
    <row r="37" spans="1:15" ht="15" customHeight="1" x14ac:dyDescent="0.3">
      <c r="A37" s="9">
        <v>43576</v>
      </c>
      <c r="B37" s="12">
        <v>404</v>
      </c>
      <c r="C37" s="11">
        <v>5.3999999999999999E-2</v>
      </c>
      <c r="D37" s="12">
        <v>914</v>
      </c>
      <c r="E37" s="11">
        <v>4.9000000000000002E-2</v>
      </c>
      <c r="F37" s="10">
        <v>122784</v>
      </c>
      <c r="G37" s="11">
        <v>4.2000000000000003E-2</v>
      </c>
      <c r="H37" s="11">
        <v>0.11</v>
      </c>
      <c r="I37" s="10">
        <v>119269360</v>
      </c>
      <c r="J37" s="12" t="s">
        <v>4949</v>
      </c>
      <c r="K37" s="10">
        <v>13477</v>
      </c>
      <c r="L37" s="12" t="s">
        <v>4950</v>
      </c>
      <c r="M37" s="10">
        <v>28783498492</v>
      </c>
      <c r="N37" s="10">
        <v>3378078</v>
      </c>
      <c r="O37" s="12">
        <v>7</v>
      </c>
    </row>
    <row r="38" spans="1:15" ht="15" customHeight="1" x14ac:dyDescent="0.3">
      <c r="A38" s="9">
        <v>43577</v>
      </c>
      <c r="B38" s="12">
        <v>371</v>
      </c>
      <c r="C38" s="11">
        <v>5.8000000000000003E-2</v>
      </c>
      <c r="D38" s="12">
        <v>825</v>
      </c>
      <c r="E38" s="11">
        <v>5.2999999999999999E-2</v>
      </c>
      <c r="F38" s="10">
        <v>108161</v>
      </c>
      <c r="G38" s="11">
        <v>4.2999999999999997E-2</v>
      </c>
      <c r="H38" s="11">
        <v>4.4999999999999998E-2</v>
      </c>
      <c r="I38" s="10">
        <v>38822060</v>
      </c>
      <c r="J38" s="12" t="s">
        <v>4951</v>
      </c>
      <c r="K38" s="10">
        <v>4859</v>
      </c>
      <c r="L38" s="12" t="s">
        <v>4952</v>
      </c>
      <c r="M38" s="10">
        <v>28822320552</v>
      </c>
      <c r="N38" s="10">
        <v>3382937</v>
      </c>
      <c r="O38" s="12">
        <v>6</v>
      </c>
    </row>
    <row r="39" spans="1:15" ht="15" customHeight="1" x14ac:dyDescent="0.3">
      <c r="A39" s="9">
        <v>43578</v>
      </c>
      <c r="B39" s="12">
        <v>375</v>
      </c>
      <c r="C39" s="11">
        <v>5.8000000000000003E-2</v>
      </c>
      <c r="D39" s="12">
        <v>804</v>
      </c>
      <c r="E39" s="11">
        <v>5.1999999999999998E-2</v>
      </c>
      <c r="F39" s="10">
        <v>106108</v>
      </c>
      <c r="G39" s="11">
        <v>4.2999999999999997E-2</v>
      </c>
      <c r="H39" s="11">
        <v>4.2999999999999997E-2</v>
      </c>
      <c r="I39" s="10">
        <v>36035810</v>
      </c>
      <c r="J39" s="12" t="s">
        <v>4953</v>
      </c>
      <c r="K39" s="10">
        <v>4603</v>
      </c>
      <c r="L39" s="12" t="s">
        <v>4954</v>
      </c>
      <c r="M39" s="10">
        <v>28858356362</v>
      </c>
      <c r="N39" s="10">
        <v>3387540</v>
      </c>
      <c r="O39" s="12">
        <v>6</v>
      </c>
    </row>
    <row r="40" spans="1:15" ht="15" customHeight="1" x14ac:dyDescent="0.3">
      <c r="A40" s="9">
        <v>43579</v>
      </c>
      <c r="B40" s="12">
        <v>34</v>
      </c>
      <c r="C40" s="11">
        <v>7.0000000000000001E-3</v>
      </c>
      <c r="D40" s="12">
        <v>41</v>
      </c>
      <c r="E40" s="11">
        <v>3.0000000000000001E-3</v>
      </c>
      <c r="F40" s="10">
        <v>4733</v>
      </c>
      <c r="G40" s="11">
        <v>2E-3</v>
      </c>
      <c r="H40" s="11">
        <v>8.5000000000000006E-2</v>
      </c>
      <c r="I40" s="10">
        <v>2557250</v>
      </c>
      <c r="J40" s="12" t="s">
        <v>4955</v>
      </c>
      <c r="K40" s="12">
        <v>403</v>
      </c>
      <c r="L40" s="12" t="s">
        <v>4956</v>
      </c>
      <c r="M40" s="10">
        <v>28860913612</v>
      </c>
      <c r="N40" s="10">
        <v>3387943</v>
      </c>
      <c r="O40" s="12">
        <v>21</v>
      </c>
    </row>
    <row r="41" spans="1:15" ht="15" customHeight="1" x14ac:dyDescent="0.3">
      <c r="A41" s="9">
        <v>43580</v>
      </c>
      <c r="B41" s="12">
        <v>28</v>
      </c>
      <c r="C41" s="11">
        <v>6.0000000000000001E-3</v>
      </c>
      <c r="D41" s="12">
        <v>31</v>
      </c>
      <c r="E41" s="11">
        <v>2E-3</v>
      </c>
      <c r="F41" s="10">
        <v>3856</v>
      </c>
      <c r="G41" s="11">
        <v>2E-3</v>
      </c>
      <c r="H41" s="11">
        <v>0.05</v>
      </c>
      <c r="I41" s="10">
        <v>1472500</v>
      </c>
      <c r="J41" s="12" t="s">
        <v>4957</v>
      </c>
      <c r="K41" s="12">
        <v>193</v>
      </c>
      <c r="L41" s="12" t="s">
        <v>4958</v>
      </c>
      <c r="M41" s="10">
        <v>28862386112</v>
      </c>
      <c r="N41" s="10">
        <v>3388136</v>
      </c>
      <c r="O41" s="12">
        <v>33</v>
      </c>
    </row>
    <row r="42" spans="1:15" ht="15" customHeight="1" x14ac:dyDescent="0.3">
      <c r="A42" s="9">
        <v>43581</v>
      </c>
      <c r="B42" s="12">
        <v>20</v>
      </c>
      <c r="C42" s="11">
        <v>4.0000000000000001E-3</v>
      </c>
      <c r="D42" s="12">
        <v>24</v>
      </c>
      <c r="E42" s="11">
        <v>1E-3</v>
      </c>
      <c r="F42" s="10">
        <v>2975</v>
      </c>
      <c r="G42" s="11">
        <v>1E-3</v>
      </c>
      <c r="H42" s="11">
        <v>0.10299999999999999</v>
      </c>
      <c r="I42" s="10">
        <v>2265050</v>
      </c>
      <c r="J42" s="12" t="s">
        <v>4959</v>
      </c>
      <c r="K42" s="12">
        <v>306</v>
      </c>
      <c r="L42" s="12" t="s">
        <v>4960</v>
      </c>
      <c r="M42" s="10">
        <v>28864651162</v>
      </c>
      <c r="N42" s="10">
        <v>3388442</v>
      </c>
      <c r="O42" s="12">
        <v>21</v>
      </c>
    </row>
    <row r="43" spans="1:15" ht="15" customHeight="1" x14ac:dyDescent="0.3">
      <c r="A43" s="9">
        <v>43582</v>
      </c>
      <c r="B43" s="12">
        <v>16</v>
      </c>
      <c r="C43" s="11">
        <v>3.0000000000000001E-3</v>
      </c>
      <c r="D43" s="12">
        <v>17</v>
      </c>
      <c r="E43" s="11">
        <v>1E-3</v>
      </c>
      <c r="F43" s="10">
        <v>2205</v>
      </c>
      <c r="G43" s="11">
        <v>1E-3</v>
      </c>
      <c r="H43" s="11">
        <v>7.4999999999999997E-2</v>
      </c>
      <c r="I43" s="10">
        <v>1397950</v>
      </c>
      <c r="J43" s="12" t="s">
        <v>4961</v>
      </c>
      <c r="K43" s="12">
        <v>166</v>
      </c>
      <c r="L43" s="12" t="s">
        <v>4962</v>
      </c>
      <c r="M43" s="10">
        <v>28866049112</v>
      </c>
      <c r="N43" s="10">
        <v>3388608</v>
      </c>
      <c r="O43" s="12">
        <v>43</v>
      </c>
    </row>
    <row r="44" spans="1:15" ht="15" customHeight="1" x14ac:dyDescent="0.3">
      <c r="A44" s="9">
        <v>43583</v>
      </c>
      <c r="B44" s="12">
        <v>13</v>
      </c>
      <c r="C44" s="11">
        <v>3.0000000000000001E-3</v>
      </c>
      <c r="D44" s="12">
        <v>14</v>
      </c>
      <c r="E44" s="11">
        <v>1E-3</v>
      </c>
      <c r="F44" s="10">
        <v>1720</v>
      </c>
      <c r="G44" s="11">
        <v>1E-3</v>
      </c>
      <c r="H44" s="11">
        <v>8.5999999999999993E-2</v>
      </c>
      <c r="I44" s="10">
        <v>1283950</v>
      </c>
      <c r="J44" s="12" t="s">
        <v>4963</v>
      </c>
      <c r="K44" s="12">
        <v>148</v>
      </c>
      <c r="L44" s="12" t="s">
        <v>4964</v>
      </c>
      <c r="M44" s="10">
        <v>28867333062</v>
      </c>
      <c r="N44" s="10">
        <v>3388756</v>
      </c>
      <c r="O44" s="12">
        <v>41</v>
      </c>
    </row>
    <row r="45" spans="1:15" ht="15" customHeight="1" x14ac:dyDescent="0.3">
      <c r="A45" s="9">
        <v>43584</v>
      </c>
      <c r="B45" s="12">
        <v>13</v>
      </c>
      <c r="C45" s="11">
        <v>3.0000000000000001E-3</v>
      </c>
      <c r="D45" s="12">
        <v>13</v>
      </c>
      <c r="E45" s="11">
        <v>1E-3</v>
      </c>
      <c r="F45" s="10">
        <v>1839</v>
      </c>
      <c r="G45" s="11">
        <v>1E-3</v>
      </c>
      <c r="H45" s="11">
        <v>0.04</v>
      </c>
      <c r="I45" s="10">
        <v>588300</v>
      </c>
      <c r="J45" s="12" t="s">
        <v>4965</v>
      </c>
      <c r="K45" s="12">
        <v>73</v>
      </c>
      <c r="L45" s="12" t="s">
        <v>4966</v>
      </c>
      <c r="M45" s="10">
        <v>28867921362</v>
      </c>
      <c r="N45" s="10">
        <v>3388829</v>
      </c>
      <c r="O45" s="12">
        <v>55</v>
      </c>
    </row>
    <row r="46" spans="1:15" ht="15" customHeight="1" x14ac:dyDescent="0.3">
      <c r="A46" s="9">
        <v>43585</v>
      </c>
      <c r="B46" s="12">
        <v>16</v>
      </c>
      <c r="C46" s="11">
        <v>3.0000000000000001E-3</v>
      </c>
      <c r="D46" s="12">
        <v>16</v>
      </c>
      <c r="E46" s="11">
        <v>1E-3</v>
      </c>
      <c r="F46" s="10">
        <v>2320</v>
      </c>
      <c r="G46" s="11">
        <v>1E-3</v>
      </c>
      <c r="H46" s="11">
        <v>0.08</v>
      </c>
      <c r="I46" s="10">
        <v>1518100</v>
      </c>
      <c r="J46" s="12" t="s">
        <v>4967</v>
      </c>
      <c r="K46" s="12">
        <v>185</v>
      </c>
      <c r="L46" s="12" t="s">
        <v>4968</v>
      </c>
      <c r="M46" s="10">
        <v>28869439462</v>
      </c>
      <c r="N46" s="10">
        <v>3389014</v>
      </c>
      <c r="O46" s="12">
        <v>41</v>
      </c>
    </row>
    <row r="47" spans="1:15" ht="15" customHeight="1" x14ac:dyDescent="0.3">
      <c r="A47" s="9">
        <v>43586</v>
      </c>
      <c r="B47" s="12">
        <v>1</v>
      </c>
      <c r="C47" s="11">
        <v>0</v>
      </c>
      <c r="D47" s="12">
        <v>1</v>
      </c>
      <c r="E47" s="11">
        <v>0</v>
      </c>
      <c r="F47" s="12">
        <v>226</v>
      </c>
      <c r="G47" s="11">
        <v>0</v>
      </c>
      <c r="H47" s="11">
        <v>0.08</v>
      </c>
      <c r="I47" s="10">
        <v>154000</v>
      </c>
      <c r="J47" s="12" t="s">
        <v>4969</v>
      </c>
      <c r="K47" s="12">
        <v>18</v>
      </c>
      <c r="L47" s="12" t="s">
        <v>4970</v>
      </c>
      <c r="M47" s="10">
        <v>28869593462</v>
      </c>
      <c r="N47" s="10">
        <v>3389032</v>
      </c>
      <c r="O47" s="12">
        <v>85</v>
      </c>
    </row>
    <row r="48" spans="1:15" ht="15" customHeight="1" x14ac:dyDescent="0.3">
      <c r="A48" s="9">
        <v>43588</v>
      </c>
      <c r="B48" s="12">
        <v>1</v>
      </c>
      <c r="C48" s="11">
        <v>0</v>
      </c>
      <c r="D48" s="12">
        <v>1</v>
      </c>
      <c r="E48" s="11">
        <v>0</v>
      </c>
      <c r="F48" s="12">
        <v>134</v>
      </c>
      <c r="G48" s="11">
        <v>0</v>
      </c>
      <c r="H48" s="11">
        <v>2.1999999999999999E-2</v>
      </c>
      <c r="I48" s="10">
        <v>20600</v>
      </c>
      <c r="J48" s="12" t="s">
        <v>4971</v>
      </c>
      <c r="K48" s="12">
        <v>3</v>
      </c>
      <c r="L48" s="12" t="s">
        <v>294</v>
      </c>
      <c r="M48" s="10">
        <v>28869614062</v>
      </c>
      <c r="N48" s="10">
        <v>3389035</v>
      </c>
      <c r="O48" s="12">
        <v>87</v>
      </c>
    </row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467B-3AC8-4BC9-A346-53243E65518C}">
  <dimension ref="A1:O53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19.7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4807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43551</v>
      </c>
      <c r="B5" s="10">
        <v>1084</v>
      </c>
      <c r="C5" s="11">
        <v>0.17299999999999999</v>
      </c>
      <c r="D5" s="10">
        <v>4898</v>
      </c>
      <c r="E5" s="11">
        <v>0.27300000000000002</v>
      </c>
      <c r="F5" s="10">
        <v>865399</v>
      </c>
      <c r="G5" s="11">
        <v>0.30499999999999999</v>
      </c>
      <c r="H5" s="11">
        <v>0.247</v>
      </c>
      <c r="I5" s="10">
        <v>1319500490</v>
      </c>
      <c r="J5" s="12" t="s">
        <v>4808</v>
      </c>
      <c r="K5" s="10">
        <v>213624</v>
      </c>
      <c r="L5" s="12" t="s">
        <v>4809</v>
      </c>
      <c r="M5" s="10">
        <v>1322974490</v>
      </c>
      <c r="N5" s="10">
        <v>214010</v>
      </c>
      <c r="O5" s="12">
        <v>1</v>
      </c>
    </row>
    <row r="6" spans="1:15" ht="15" customHeight="1" x14ac:dyDescent="0.3">
      <c r="A6" s="9">
        <v>43552</v>
      </c>
      <c r="B6" s="10">
        <v>1008</v>
      </c>
      <c r="C6" s="11">
        <v>0.17199999999999999</v>
      </c>
      <c r="D6" s="10">
        <v>4701</v>
      </c>
      <c r="E6" s="11">
        <v>0.26500000000000001</v>
      </c>
      <c r="F6" s="10">
        <v>846821</v>
      </c>
      <c r="G6" s="11">
        <v>0.30099999999999999</v>
      </c>
      <c r="H6" s="11">
        <v>0.111</v>
      </c>
      <c r="I6" s="10">
        <v>804456970</v>
      </c>
      <c r="J6" s="12" t="s">
        <v>4810</v>
      </c>
      <c r="K6" s="10">
        <v>93773</v>
      </c>
      <c r="L6" s="12" t="s">
        <v>4811</v>
      </c>
      <c r="M6" s="10">
        <v>2127431460</v>
      </c>
      <c r="N6" s="10">
        <v>307783</v>
      </c>
      <c r="O6" s="12">
        <v>1</v>
      </c>
    </row>
    <row r="7" spans="1:15" ht="15" customHeight="1" x14ac:dyDescent="0.3">
      <c r="A7" s="9">
        <v>43553</v>
      </c>
      <c r="B7" s="10">
        <v>1066</v>
      </c>
      <c r="C7" s="11">
        <v>0.182</v>
      </c>
      <c r="D7" s="10">
        <v>5039</v>
      </c>
      <c r="E7" s="11">
        <v>0.27600000000000002</v>
      </c>
      <c r="F7" s="10">
        <v>896763</v>
      </c>
      <c r="G7" s="11">
        <v>0.311</v>
      </c>
      <c r="H7" s="11">
        <v>0.15</v>
      </c>
      <c r="I7" s="10">
        <v>1252009864</v>
      </c>
      <c r="J7" s="12" t="s">
        <v>4812</v>
      </c>
      <c r="K7" s="10">
        <v>134576</v>
      </c>
      <c r="L7" s="12" t="s">
        <v>4813</v>
      </c>
      <c r="M7" s="10">
        <v>3379441324</v>
      </c>
      <c r="N7" s="10">
        <v>442359</v>
      </c>
      <c r="O7" s="12">
        <v>1</v>
      </c>
    </row>
    <row r="8" spans="1:15" ht="15" customHeight="1" x14ac:dyDescent="0.3">
      <c r="A8" s="9">
        <v>43554</v>
      </c>
      <c r="B8" s="10">
        <v>1132</v>
      </c>
      <c r="C8" s="11">
        <v>0.17899999999999999</v>
      </c>
      <c r="D8" s="10">
        <v>5487</v>
      </c>
      <c r="E8" s="11">
        <v>0.28000000000000003</v>
      </c>
      <c r="F8" s="10">
        <v>974683</v>
      </c>
      <c r="G8" s="11">
        <v>0.318</v>
      </c>
      <c r="H8" s="11">
        <v>0.28299999999999997</v>
      </c>
      <c r="I8" s="10">
        <v>2528509731</v>
      </c>
      <c r="J8" s="12" t="s">
        <v>4814</v>
      </c>
      <c r="K8" s="10">
        <v>275449</v>
      </c>
      <c r="L8" s="12" t="s">
        <v>4815</v>
      </c>
      <c r="M8" s="10">
        <v>5907951055</v>
      </c>
      <c r="N8" s="10">
        <v>717808</v>
      </c>
      <c r="O8" s="12">
        <v>1</v>
      </c>
    </row>
    <row r="9" spans="1:15" ht="15" customHeight="1" x14ac:dyDescent="0.3">
      <c r="A9" s="9">
        <v>43555</v>
      </c>
      <c r="B9" s="10">
        <v>1113</v>
      </c>
      <c r="C9" s="11">
        <v>0.17699999999999999</v>
      </c>
      <c r="D9" s="10">
        <v>5308</v>
      </c>
      <c r="E9" s="11">
        <v>0.27800000000000002</v>
      </c>
      <c r="F9" s="10">
        <v>940753</v>
      </c>
      <c r="G9" s="11">
        <v>0.315</v>
      </c>
      <c r="H9" s="11">
        <v>0.23200000000000001</v>
      </c>
      <c r="I9" s="10">
        <v>1991592850</v>
      </c>
      <c r="J9" s="12" t="s">
        <v>4816</v>
      </c>
      <c r="K9" s="10">
        <v>218619</v>
      </c>
      <c r="L9" s="12" t="s">
        <v>4817</v>
      </c>
      <c r="M9" s="10">
        <v>7899543905</v>
      </c>
      <c r="N9" s="10">
        <v>936427</v>
      </c>
      <c r="O9" s="12">
        <v>2</v>
      </c>
    </row>
    <row r="10" spans="1:15" ht="15" customHeight="1" x14ac:dyDescent="0.3">
      <c r="A10" s="9">
        <v>43556</v>
      </c>
      <c r="B10" s="10">
        <v>1028</v>
      </c>
      <c r="C10" s="11">
        <v>0.186</v>
      </c>
      <c r="D10" s="10">
        <v>4853</v>
      </c>
      <c r="E10" s="11">
        <v>0.28100000000000003</v>
      </c>
      <c r="F10" s="10">
        <v>886044</v>
      </c>
      <c r="G10" s="11">
        <v>0.32400000000000001</v>
      </c>
      <c r="H10" s="11">
        <v>8.3000000000000004E-2</v>
      </c>
      <c r="I10" s="10">
        <v>599350720</v>
      </c>
      <c r="J10" s="12" t="s">
        <v>4818</v>
      </c>
      <c r="K10" s="10">
        <v>73248</v>
      </c>
      <c r="L10" s="12" t="s">
        <v>4819</v>
      </c>
      <c r="M10" s="10">
        <v>8498894625</v>
      </c>
      <c r="N10" s="10">
        <v>1009675</v>
      </c>
      <c r="O10" s="12">
        <v>2</v>
      </c>
    </row>
    <row r="11" spans="1:15" ht="15" customHeight="1" x14ac:dyDescent="0.3">
      <c r="A11" s="9">
        <v>43557</v>
      </c>
      <c r="B11" s="10">
        <v>1015</v>
      </c>
      <c r="C11" s="11">
        <v>0.183</v>
      </c>
      <c r="D11" s="10">
        <v>4714</v>
      </c>
      <c r="E11" s="11">
        <v>0.27900000000000003</v>
      </c>
      <c r="F11" s="10">
        <v>861093</v>
      </c>
      <c r="G11" s="11">
        <v>0.32</v>
      </c>
      <c r="H11" s="11">
        <v>6.3E-2</v>
      </c>
      <c r="I11" s="10">
        <v>453415500</v>
      </c>
      <c r="J11" s="12" t="s">
        <v>4820</v>
      </c>
      <c r="K11" s="10">
        <v>54393</v>
      </c>
      <c r="L11" s="12" t="s">
        <v>4821</v>
      </c>
      <c r="M11" s="10">
        <v>8952310125</v>
      </c>
      <c r="N11" s="10">
        <v>1064068</v>
      </c>
      <c r="O11" s="12">
        <v>2</v>
      </c>
    </row>
    <row r="12" spans="1:15" ht="15" customHeight="1" x14ac:dyDescent="0.3">
      <c r="A12" s="9">
        <v>43558</v>
      </c>
      <c r="B12" s="12">
        <v>612</v>
      </c>
      <c r="C12" s="11">
        <v>0.115</v>
      </c>
      <c r="D12" s="10">
        <v>2232</v>
      </c>
      <c r="E12" s="11">
        <v>0.13</v>
      </c>
      <c r="F12" s="10">
        <v>336452</v>
      </c>
      <c r="G12" s="11">
        <v>0.125</v>
      </c>
      <c r="H12" s="11">
        <v>0.112</v>
      </c>
      <c r="I12" s="10">
        <v>313312250</v>
      </c>
      <c r="J12" s="12" t="s">
        <v>4822</v>
      </c>
      <c r="K12" s="10">
        <v>37751</v>
      </c>
      <c r="L12" s="12" t="s">
        <v>4823</v>
      </c>
      <c r="M12" s="10">
        <v>9265622375</v>
      </c>
      <c r="N12" s="10">
        <v>1101819</v>
      </c>
      <c r="O12" s="12">
        <v>4</v>
      </c>
    </row>
    <row r="13" spans="1:15" ht="15" customHeight="1" x14ac:dyDescent="0.3">
      <c r="A13" s="9">
        <v>43559</v>
      </c>
      <c r="B13" s="12">
        <v>621</v>
      </c>
      <c r="C13" s="11">
        <v>0.111</v>
      </c>
      <c r="D13" s="10">
        <v>2162</v>
      </c>
      <c r="E13" s="11">
        <v>0.127</v>
      </c>
      <c r="F13" s="10">
        <v>330112</v>
      </c>
      <c r="G13" s="11">
        <v>0.123</v>
      </c>
      <c r="H13" s="11">
        <v>9.7000000000000003E-2</v>
      </c>
      <c r="I13" s="10">
        <v>269019160</v>
      </c>
      <c r="J13" s="12" t="s">
        <v>4824</v>
      </c>
      <c r="K13" s="10">
        <v>32093</v>
      </c>
      <c r="L13" s="12" t="s">
        <v>4825</v>
      </c>
      <c r="M13" s="10">
        <v>9534641535</v>
      </c>
      <c r="N13" s="10">
        <v>1133912</v>
      </c>
      <c r="O13" s="12">
        <v>4</v>
      </c>
    </row>
    <row r="14" spans="1:15" ht="15" customHeight="1" x14ac:dyDescent="0.3">
      <c r="A14" s="9">
        <v>43560</v>
      </c>
      <c r="B14" s="12">
        <v>658</v>
      </c>
      <c r="C14" s="11">
        <v>0.114</v>
      </c>
      <c r="D14" s="10">
        <v>2293</v>
      </c>
      <c r="E14" s="11">
        <v>0.13100000000000001</v>
      </c>
      <c r="F14" s="10">
        <v>342297</v>
      </c>
      <c r="G14" s="11">
        <v>0.124</v>
      </c>
      <c r="H14" s="11">
        <v>0.13900000000000001</v>
      </c>
      <c r="I14" s="10">
        <v>434056128</v>
      </c>
      <c r="J14" s="12" t="s">
        <v>4826</v>
      </c>
      <c r="K14" s="10">
        <v>47592</v>
      </c>
      <c r="L14" s="12" t="s">
        <v>4827</v>
      </c>
      <c r="M14" s="10">
        <v>9968697663</v>
      </c>
      <c r="N14" s="10">
        <v>1181504</v>
      </c>
      <c r="O14" s="12">
        <v>4</v>
      </c>
    </row>
    <row r="15" spans="1:15" ht="15" customHeight="1" x14ac:dyDescent="0.3">
      <c r="A15" s="9">
        <v>43561</v>
      </c>
      <c r="B15" s="12">
        <v>712</v>
      </c>
      <c r="C15" s="11">
        <v>0.113</v>
      </c>
      <c r="D15" s="10">
        <v>2464</v>
      </c>
      <c r="E15" s="11">
        <v>0.13100000000000001</v>
      </c>
      <c r="F15" s="10">
        <v>364140</v>
      </c>
      <c r="G15" s="11">
        <v>0.125</v>
      </c>
      <c r="H15" s="11">
        <v>0.26200000000000001</v>
      </c>
      <c r="I15" s="10">
        <v>866234771</v>
      </c>
      <c r="J15" s="12" t="s">
        <v>4828</v>
      </c>
      <c r="K15" s="10">
        <v>95397</v>
      </c>
      <c r="L15" s="12" t="s">
        <v>4829</v>
      </c>
      <c r="M15" s="10">
        <v>10834932434</v>
      </c>
      <c r="N15" s="10">
        <v>1276901</v>
      </c>
      <c r="O15" s="12">
        <v>4</v>
      </c>
    </row>
    <row r="16" spans="1:15" ht="15" customHeight="1" x14ac:dyDescent="0.3">
      <c r="A16" s="9">
        <v>43562</v>
      </c>
      <c r="B16" s="12">
        <v>694</v>
      </c>
      <c r="C16" s="11">
        <v>0.112</v>
      </c>
      <c r="D16" s="10">
        <v>2392</v>
      </c>
      <c r="E16" s="11">
        <v>0.13</v>
      </c>
      <c r="F16" s="10">
        <v>356184</v>
      </c>
      <c r="G16" s="11">
        <v>0.125</v>
      </c>
      <c r="H16" s="11">
        <v>0.19</v>
      </c>
      <c r="I16" s="10">
        <v>616188650</v>
      </c>
      <c r="J16" s="12" t="s">
        <v>4830</v>
      </c>
      <c r="K16" s="10">
        <v>67661</v>
      </c>
      <c r="L16" s="12" t="s">
        <v>4831</v>
      </c>
      <c r="M16" s="10">
        <v>11451121084</v>
      </c>
      <c r="N16" s="10">
        <v>1344562</v>
      </c>
      <c r="O16" s="12">
        <v>4</v>
      </c>
    </row>
    <row r="17" spans="1:15" ht="15" customHeight="1" x14ac:dyDescent="0.3">
      <c r="A17" s="9">
        <v>43563</v>
      </c>
      <c r="B17" s="12">
        <v>621</v>
      </c>
      <c r="C17" s="11">
        <v>0.115</v>
      </c>
      <c r="D17" s="10">
        <v>2139</v>
      </c>
      <c r="E17" s="11">
        <v>0.13100000000000001</v>
      </c>
      <c r="F17" s="10">
        <v>331686</v>
      </c>
      <c r="G17" s="11">
        <v>0.129</v>
      </c>
      <c r="H17" s="11">
        <v>5.8000000000000003E-2</v>
      </c>
      <c r="I17" s="10">
        <v>160791880</v>
      </c>
      <c r="J17" s="12" t="s">
        <v>4832</v>
      </c>
      <c r="K17" s="10">
        <v>19120</v>
      </c>
      <c r="L17" s="12" t="s">
        <v>4833</v>
      </c>
      <c r="M17" s="10">
        <v>11611912964</v>
      </c>
      <c r="N17" s="10">
        <v>1363682</v>
      </c>
      <c r="O17" s="12">
        <v>4</v>
      </c>
    </row>
    <row r="18" spans="1:15" ht="15" customHeight="1" x14ac:dyDescent="0.3">
      <c r="A18" s="9">
        <v>43564</v>
      </c>
      <c r="B18" s="12">
        <v>614</v>
      </c>
      <c r="C18" s="11">
        <v>0.113</v>
      </c>
      <c r="D18" s="10">
        <v>2040</v>
      </c>
      <c r="E18" s="11">
        <v>0.128</v>
      </c>
      <c r="F18" s="10">
        <v>320211</v>
      </c>
      <c r="G18" s="11">
        <v>0.128</v>
      </c>
      <c r="H18" s="11">
        <v>5.0999999999999997E-2</v>
      </c>
      <c r="I18" s="10">
        <v>138272820</v>
      </c>
      <c r="J18" s="12" t="s">
        <v>4834</v>
      </c>
      <c r="K18" s="10">
        <v>16201</v>
      </c>
      <c r="L18" s="12" t="s">
        <v>4835</v>
      </c>
      <c r="M18" s="10">
        <v>11750185784</v>
      </c>
      <c r="N18" s="10">
        <v>1379883</v>
      </c>
      <c r="O18" s="12">
        <v>4</v>
      </c>
    </row>
    <row r="19" spans="1:15" ht="15" customHeight="1" x14ac:dyDescent="0.3">
      <c r="A19" s="9">
        <v>43565</v>
      </c>
      <c r="B19" s="12">
        <v>483</v>
      </c>
      <c r="C19" s="11">
        <v>8.5999999999999993E-2</v>
      </c>
      <c r="D19" s="10">
        <v>1412</v>
      </c>
      <c r="E19" s="11">
        <v>8.4000000000000005E-2</v>
      </c>
      <c r="F19" s="10">
        <v>229277</v>
      </c>
      <c r="G19" s="11">
        <v>8.6999999999999994E-2</v>
      </c>
      <c r="H19" s="11">
        <v>0.06</v>
      </c>
      <c r="I19" s="10">
        <v>115808350</v>
      </c>
      <c r="J19" s="12" t="s">
        <v>4836</v>
      </c>
      <c r="K19" s="10">
        <v>13768</v>
      </c>
      <c r="L19" s="12" t="s">
        <v>4837</v>
      </c>
      <c r="M19" s="10">
        <v>11865994134</v>
      </c>
      <c r="N19" s="10">
        <v>1393651</v>
      </c>
      <c r="O19" s="12">
        <v>6</v>
      </c>
    </row>
    <row r="20" spans="1:15" ht="15" customHeight="1" x14ac:dyDescent="0.3">
      <c r="A20" s="9">
        <v>43566</v>
      </c>
      <c r="B20" s="12">
        <v>410</v>
      </c>
      <c r="C20" s="11">
        <v>6.8000000000000005E-2</v>
      </c>
      <c r="D20" s="12">
        <v>891</v>
      </c>
      <c r="E20" s="11">
        <v>5.1999999999999998E-2</v>
      </c>
      <c r="F20" s="10">
        <v>138964</v>
      </c>
      <c r="G20" s="11">
        <v>5.0999999999999997E-2</v>
      </c>
      <c r="H20" s="11">
        <v>6.0999999999999999E-2</v>
      </c>
      <c r="I20" s="10">
        <v>71729250</v>
      </c>
      <c r="J20" s="12" t="s">
        <v>4838</v>
      </c>
      <c r="K20" s="10">
        <v>8471</v>
      </c>
      <c r="L20" s="12" t="s">
        <v>4839</v>
      </c>
      <c r="M20" s="10">
        <v>11937723384</v>
      </c>
      <c r="N20" s="10">
        <v>1402122</v>
      </c>
      <c r="O20" s="12">
        <v>9</v>
      </c>
    </row>
    <row r="21" spans="1:15" ht="15" customHeight="1" x14ac:dyDescent="0.3">
      <c r="A21" s="9">
        <v>43567</v>
      </c>
      <c r="B21" s="12">
        <v>411</v>
      </c>
      <c r="C21" s="11">
        <v>6.5000000000000002E-2</v>
      </c>
      <c r="D21" s="12">
        <v>909</v>
      </c>
      <c r="E21" s="11">
        <v>5.0999999999999997E-2</v>
      </c>
      <c r="F21" s="10">
        <v>140685</v>
      </c>
      <c r="G21" s="11">
        <v>0.05</v>
      </c>
      <c r="H21" s="11">
        <v>8.5999999999999993E-2</v>
      </c>
      <c r="I21" s="10">
        <v>109573220</v>
      </c>
      <c r="J21" s="12" t="s">
        <v>4840</v>
      </c>
      <c r="K21" s="10">
        <v>12152</v>
      </c>
      <c r="L21" s="12" t="s">
        <v>4841</v>
      </c>
      <c r="M21" s="10">
        <v>12047296604</v>
      </c>
      <c r="N21" s="10">
        <v>1414274</v>
      </c>
      <c r="O21" s="12">
        <v>8</v>
      </c>
    </row>
    <row r="22" spans="1:15" ht="15" customHeight="1" x14ac:dyDescent="0.3">
      <c r="A22" s="9">
        <v>43568</v>
      </c>
      <c r="B22" s="12">
        <v>406</v>
      </c>
      <c r="C22" s="11">
        <v>5.8000000000000003E-2</v>
      </c>
      <c r="D22" s="12">
        <v>842</v>
      </c>
      <c r="E22" s="11">
        <v>4.3999999999999997E-2</v>
      </c>
      <c r="F22" s="10">
        <v>120576</v>
      </c>
      <c r="G22" s="11">
        <v>0.04</v>
      </c>
      <c r="H22" s="11">
        <v>0.16600000000000001</v>
      </c>
      <c r="I22" s="10">
        <v>182986540</v>
      </c>
      <c r="J22" s="12" t="s">
        <v>4842</v>
      </c>
      <c r="K22" s="10">
        <v>20068</v>
      </c>
      <c r="L22" s="12" t="s">
        <v>4843</v>
      </c>
      <c r="M22" s="10">
        <v>12230283144</v>
      </c>
      <c r="N22" s="10">
        <v>1434342</v>
      </c>
      <c r="O22" s="12">
        <v>8</v>
      </c>
    </row>
    <row r="23" spans="1:15" ht="15" customHeight="1" x14ac:dyDescent="0.3">
      <c r="A23" s="9">
        <v>43569</v>
      </c>
      <c r="B23" s="12">
        <v>384</v>
      </c>
      <c r="C23" s="11">
        <v>5.5E-2</v>
      </c>
      <c r="D23" s="12">
        <v>800</v>
      </c>
      <c r="E23" s="11">
        <v>4.2000000000000003E-2</v>
      </c>
      <c r="F23" s="10">
        <v>114361</v>
      </c>
      <c r="G23" s="11">
        <v>3.9E-2</v>
      </c>
      <c r="H23" s="11">
        <v>0.14499999999999999</v>
      </c>
      <c r="I23" s="10">
        <v>151876940</v>
      </c>
      <c r="J23" s="12" t="s">
        <v>4844</v>
      </c>
      <c r="K23" s="10">
        <v>16560</v>
      </c>
      <c r="L23" s="12" t="s">
        <v>4845</v>
      </c>
      <c r="M23" s="10">
        <v>12382160084</v>
      </c>
      <c r="N23" s="10">
        <v>1450902</v>
      </c>
      <c r="O23" s="12">
        <v>10</v>
      </c>
    </row>
    <row r="24" spans="1:15" ht="15" customHeight="1" x14ac:dyDescent="0.3">
      <c r="A24" s="9">
        <v>43570</v>
      </c>
      <c r="B24" s="12">
        <v>366</v>
      </c>
      <c r="C24" s="11">
        <v>6.2E-2</v>
      </c>
      <c r="D24" s="12">
        <v>699</v>
      </c>
      <c r="E24" s="11">
        <v>4.2999999999999997E-2</v>
      </c>
      <c r="F24" s="10">
        <v>101940</v>
      </c>
      <c r="G24" s="11">
        <v>0.04</v>
      </c>
      <c r="H24" s="11">
        <v>4.4999999999999998E-2</v>
      </c>
      <c r="I24" s="10">
        <v>39057890</v>
      </c>
      <c r="J24" s="12" t="s">
        <v>4846</v>
      </c>
      <c r="K24" s="10">
        <v>4638</v>
      </c>
      <c r="L24" s="12" t="s">
        <v>4847</v>
      </c>
      <c r="M24" s="10">
        <v>12421217974</v>
      </c>
      <c r="N24" s="10">
        <v>1455540</v>
      </c>
      <c r="O24" s="12">
        <v>9</v>
      </c>
    </row>
    <row r="25" spans="1:15" ht="15" customHeight="1" x14ac:dyDescent="0.3">
      <c r="A25" s="9">
        <v>43571</v>
      </c>
      <c r="B25" s="12">
        <v>349</v>
      </c>
      <c r="C25" s="11">
        <v>5.8000000000000003E-2</v>
      </c>
      <c r="D25" s="12">
        <v>667</v>
      </c>
      <c r="E25" s="11">
        <v>4.2000000000000003E-2</v>
      </c>
      <c r="F25" s="10">
        <v>99482</v>
      </c>
      <c r="G25" s="11">
        <v>0.04</v>
      </c>
      <c r="H25" s="11">
        <v>4.2000000000000003E-2</v>
      </c>
      <c r="I25" s="10">
        <v>34913550</v>
      </c>
      <c r="J25" s="12" t="s">
        <v>4848</v>
      </c>
      <c r="K25" s="10">
        <v>4141</v>
      </c>
      <c r="L25" s="12" t="s">
        <v>4849</v>
      </c>
      <c r="M25" s="10">
        <v>12456131524</v>
      </c>
      <c r="N25" s="10">
        <v>1459681</v>
      </c>
      <c r="O25" s="12">
        <v>10</v>
      </c>
    </row>
    <row r="26" spans="1:15" ht="15" customHeight="1" x14ac:dyDescent="0.3">
      <c r="A26" s="9">
        <v>43572</v>
      </c>
      <c r="B26" s="12">
        <v>153</v>
      </c>
      <c r="C26" s="11">
        <v>2.5999999999999999E-2</v>
      </c>
      <c r="D26" s="12">
        <v>289</v>
      </c>
      <c r="E26" s="11">
        <v>1.7000000000000001E-2</v>
      </c>
      <c r="F26" s="10">
        <v>40365</v>
      </c>
      <c r="G26" s="11">
        <v>1.4999999999999999E-2</v>
      </c>
      <c r="H26" s="11">
        <v>4.7E-2</v>
      </c>
      <c r="I26" s="10">
        <v>15936360</v>
      </c>
      <c r="J26" s="12" t="s">
        <v>4850</v>
      </c>
      <c r="K26" s="10">
        <v>1884</v>
      </c>
      <c r="L26" s="12" t="s">
        <v>4851</v>
      </c>
      <c r="M26" s="10">
        <v>12472067884</v>
      </c>
      <c r="N26" s="10">
        <v>1461565</v>
      </c>
      <c r="O26" s="12">
        <v>15</v>
      </c>
    </row>
    <row r="27" spans="1:15" ht="15" customHeight="1" x14ac:dyDescent="0.3">
      <c r="A27" s="9">
        <v>43573</v>
      </c>
      <c r="B27" s="12">
        <v>127</v>
      </c>
      <c r="C27" s="11">
        <v>1.9E-2</v>
      </c>
      <c r="D27" s="12">
        <v>221</v>
      </c>
      <c r="E27" s="11">
        <v>1.2999999999999999E-2</v>
      </c>
      <c r="F27" s="10">
        <v>31763</v>
      </c>
      <c r="G27" s="11">
        <v>1.2E-2</v>
      </c>
      <c r="H27" s="11">
        <v>4.4999999999999998E-2</v>
      </c>
      <c r="I27" s="10">
        <v>11814130</v>
      </c>
      <c r="J27" s="12" t="s">
        <v>4852</v>
      </c>
      <c r="K27" s="10">
        <v>1427</v>
      </c>
      <c r="L27" s="12" t="s">
        <v>4853</v>
      </c>
      <c r="M27" s="10">
        <v>12483882014</v>
      </c>
      <c r="N27" s="10">
        <v>1462992</v>
      </c>
      <c r="O27" s="12">
        <v>19</v>
      </c>
    </row>
    <row r="28" spans="1:15" ht="15" customHeight="1" x14ac:dyDescent="0.3">
      <c r="A28" s="9">
        <v>43574</v>
      </c>
      <c r="B28" s="12">
        <v>134</v>
      </c>
      <c r="C28" s="11">
        <v>1.9E-2</v>
      </c>
      <c r="D28" s="12">
        <v>233</v>
      </c>
      <c r="E28" s="11">
        <v>1.2999999999999999E-2</v>
      </c>
      <c r="F28" s="10">
        <v>32201</v>
      </c>
      <c r="G28" s="11">
        <v>1.2E-2</v>
      </c>
      <c r="H28" s="11">
        <v>7.2999999999999995E-2</v>
      </c>
      <c r="I28" s="10">
        <v>20801250</v>
      </c>
      <c r="J28" s="12" t="s">
        <v>4854</v>
      </c>
      <c r="K28" s="10">
        <v>2348</v>
      </c>
      <c r="L28" s="12" t="s">
        <v>4855</v>
      </c>
      <c r="M28" s="10">
        <v>12504683264</v>
      </c>
      <c r="N28" s="10">
        <v>1465340</v>
      </c>
      <c r="O28" s="12">
        <v>17</v>
      </c>
    </row>
    <row r="29" spans="1:15" ht="15" customHeight="1" x14ac:dyDescent="0.3">
      <c r="A29" s="9">
        <v>43575</v>
      </c>
      <c r="B29" s="12">
        <v>134</v>
      </c>
      <c r="C29" s="11">
        <v>1.7999999999999999E-2</v>
      </c>
      <c r="D29" s="12">
        <v>232</v>
      </c>
      <c r="E29" s="11">
        <v>1.2E-2</v>
      </c>
      <c r="F29" s="10">
        <v>31165</v>
      </c>
      <c r="G29" s="11">
        <v>0.01</v>
      </c>
      <c r="H29" s="11">
        <v>0.12</v>
      </c>
      <c r="I29" s="10">
        <v>34230940</v>
      </c>
      <c r="J29" s="12" t="s">
        <v>4856</v>
      </c>
      <c r="K29" s="10">
        <v>3740</v>
      </c>
      <c r="L29" s="12" t="s">
        <v>4857</v>
      </c>
      <c r="M29" s="10">
        <v>12538914204</v>
      </c>
      <c r="N29" s="10">
        <v>1469080</v>
      </c>
      <c r="O29" s="12">
        <v>16</v>
      </c>
    </row>
    <row r="30" spans="1:15" ht="15" customHeight="1" x14ac:dyDescent="0.3">
      <c r="A30" s="9">
        <v>43576</v>
      </c>
      <c r="B30" s="12">
        <v>127</v>
      </c>
      <c r="C30" s="11">
        <v>1.7000000000000001E-2</v>
      </c>
      <c r="D30" s="12">
        <v>221</v>
      </c>
      <c r="E30" s="11">
        <v>1.2E-2</v>
      </c>
      <c r="F30" s="10">
        <v>29835</v>
      </c>
      <c r="G30" s="11">
        <v>0.01</v>
      </c>
      <c r="H30" s="11">
        <v>9.4E-2</v>
      </c>
      <c r="I30" s="10">
        <v>25614960</v>
      </c>
      <c r="J30" s="12" t="s">
        <v>4858</v>
      </c>
      <c r="K30" s="10">
        <v>2792</v>
      </c>
      <c r="L30" s="12" t="s">
        <v>4859</v>
      </c>
      <c r="M30" s="10">
        <v>12564529164</v>
      </c>
      <c r="N30" s="10">
        <v>1471872</v>
      </c>
      <c r="O30" s="12">
        <v>18</v>
      </c>
    </row>
    <row r="31" spans="1:15" ht="15" customHeight="1" x14ac:dyDescent="0.3">
      <c r="A31" s="9">
        <v>43577</v>
      </c>
      <c r="B31" s="12">
        <v>103</v>
      </c>
      <c r="C31" s="11">
        <v>1.6E-2</v>
      </c>
      <c r="D31" s="12">
        <v>176</v>
      </c>
      <c r="E31" s="11">
        <v>1.0999999999999999E-2</v>
      </c>
      <c r="F31" s="10">
        <v>24636</v>
      </c>
      <c r="G31" s="11">
        <v>0.01</v>
      </c>
      <c r="H31" s="11">
        <v>3.5999999999999997E-2</v>
      </c>
      <c r="I31" s="10">
        <v>7147430</v>
      </c>
      <c r="J31" s="12" t="s">
        <v>4860</v>
      </c>
      <c r="K31" s="12">
        <v>875</v>
      </c>
      <c r="L31" s="12" t="s">
        <v>4861</v>
      </c>
      <c r="M31" s="10">
        <v>12571676594</v>
      </c>
      <c r="N31" s="10">
        <v>1472747</v>
      </c>
      <c r="O31" s="12">
        <v>18</v>
      </c>
    </row>
    <row r="32" spans="1:15" ht="15" customHeight="1" x14ac:dyDescent="0.3">
      <c r="A32" s="9">
        <v>43578</v>
      </c>
      <c r="B32" s="12">
        <v>102</v>
      </c>
      <c r="C32" s="11">
        <v>1.6E-2</v>
      </c>
      <c r="D32" s="12">
        <v>174</v>
      </c>
      <c r="E32" s="11">
        <v>1.0999999999999999E-2</v>
      </c>
      <c r="F32" s="10">
        <v>24797</v>
      </c>
      <c r="G32" s="11">
        <v>0.01</v>
      </c>
      <c r="H32" s="11">
        <v>3.2000000000000001E-2</v>
      </c>
      <c r="I32" s="10">
        <v>6842510</v>
      </c>
      <c r="J32" s="12" t="s">
        <v>4862</v>
      </c>
      <c r="K32" s="12">
        <v>803</v>
      </c>
      <c r="L32" s="12" t="s">
        <v>4863</v>
      </c>
      <c r="M32" s="10">
        <v>12578519104</v>
      </c>
      <c r="N32" s="10">
        <v>1473550</v>
      </c>
      <c r="O32" s="12">
        <v>19</v>
      </c>
    </row>
    <row r="33" spans="1:15" ht="15" customHeight="1" x14ac:dyDescent="0.3">
      <c r="A33" s="9">
        <v>43579</v>
      </c>
      <c r="B33" s="12">
        <v>6</v>
      </c>
      <c r="C33" s="11">
        <v>1E-3</v>
      </c>
      <c r="D33" s="12">
        <v>6</v>
      </c>
      <c r="E33" s="11">
        <v>0</v>
      </c>
      <c r="F33" s="12">
        <v>719</v>
      </c>
      <c r="G33" s="11">
        <v>0</v>
      </c>
      <c r="H33" s="11">
        <v>0.29899999999999999</v>
      </c>
      <c r="I33" s="10">
        <v>1090000</v>
      </c>
      <c r="J33" s="12" t="s">
        <v>4864</v>
      </c>
      <c r="K33" s="12">
        <v>215</v>
      </c>
      <c r="L33" s="12" t="s">
        <v>4865</v>
      </c>
      <c r="M33" s="10">
        <v>12579609104</v>
      </c>
      <c r="N33" s="10">
        <v>1473765</v>
      </c>
      <c r="O33" s="12">
        <v>33</v>
      </c>
    </row>
    <row r="34" spans="1:15" ht="15" customHeight="1" x14ac:dyDescent="0.3">
      <c r="A34" s="9">
        <v>43580</v>
      </c>
      <c r="B34" s="12">
        <v>2</v>
      </c>
      <c r="C34" s="11">
        <v>0</v>
      </c>
      <c r="D34" s="12">
        <v>2</v>
      </c>
      <c r="E34" s="11">
        <v>0</v>
      </c>
      <c r="F34" s="12">
        <v>214</v>
      </c>
      <c r="G34" s="11">
        <v>0</v>
      </c>
      <c r="H34" s="11">
        <v>0.318</v>
      </c>
      <c r="I34" s="10">
        <v>372000</v>
      </c>
      <c r="J34" s="12" t="s">
        <v>4866</v>
      </c>
      <c r="K34" s="12">
        <v>68</v>
      </c>
      <c r="L34" s="12" t="s">
        <v>4867</v>
      </c>
      <c r="M34" s="10">
        <v>12579981104</v>
      </c>
      <c r="N34" s="10">
        <v>1473833</v>
      </c>
      <c r="O34" s="12">
        <v>64</v>
      </c>
    </row>
    <row r="35" spans="1:15" ht="15" customHeight="1" x14ac:dyDescent="0.3">
      <c r="A35" s="9">
        <v>43581</v>
      </c>
      <c r="B35" s="12">
        <v>2</v>
      </c>
      <c r="C35" s="11">
        <v>0</v>
      </c>
      <c r="D35" s="12">
        <v>2</v>
      </c>
      <c r="E35" s="11">
        <v>0</v>
      </c>
      <c r="F35" s="12">
        <v>214</v>
      </c>
      <c r="G35" s="11">
        <v>0</v>
      </c>
      <c r="H35" s="11">
        <v>0.38300000000000001</v>
      </c>
      <c r="I35" s="10">
        <v>486000</v>
      </c>
      <c r="J35" s="12" t="s">
        <v>4868</v>
      </c>
      <c r="K35" s="12">
        <v>82</v>
      </c>
      <c r="L35" s="12" t="s">
        <v>4869</v>
      </c>
      <c r="M35" s="10">
        <v>12580467104</v>
      </c>
      <c r="N35" s="10">
        <v>1473915</v>
      </c>
      <c r="O35" s="12">
        <v>53</v>
      </c>
    </row>
    <row r="36" spans="1:15" ht="15" customHeight="1" x14ac:dyDescent="0.3">
      <c r="A36" s="9">
        <v>43582</v>
      </c>
      <c r="B36" s="12">
        <v>2</v>
      </c>
      <c r="C36" s="11">
        <v>0</v>
      </c>
      <c r="D36" s="12">
        <v>2</v>
      </c>
      <c r="E36" s="11">
        <v>0</v>
      </c>
      <c r="F36" s="12">
        <v>214</v>
      </c>
      <c r="G36" s="11">
        <v>0</v>
      </c>
      <c r="H36" s="11">
        <v>0.43</v>
      </c>
      <c r="I36" s="10">
        <v>492000</v>
      </c>
      <c r="J36" s="12" t="s">
        <v>4870</v>
      </c>
      <c r="K36" s="12">
        <v>92</v>
      </c>
      <c r="L36" s="12" t="s">
        <v>4871</v>
      </c>
      <c r="M36" s="10">
        <v>12580959104</v>
      </c>
      <c r="N36" s="10">
        <v>1474007</v>
      </c>
      <c r="O36" s="12">
        <v>57</v>
      </c>
    </row>
    <row r="37" spans="1:15" ht="15" customHeight="1" x14ac:dyDescent="0.3">
      <c r="A37" s="9">
        <v>43583</v>
      </c>
      <c r="B37" s="12">
        <v>2</v>
      </c>
      <c r="C37" s="11">
        <v>0</v>
      </c>
      <c r="D37" s="12">
        <v>2</v>
      </c>
      <c r="E37" s="11">
        <v>0</v>
      </c>
      <c r="F37" s="12">
        <v>542</v>
      </c>
      <c r="G37" s="11">
        <v>0</v>
      </c>
      <c r="H37" s="11">
        <v>0.19700000000000001</v>
      </c>
      <c r="I37" s="10">
        <v>743000</v>
      </c>
      <c r="J37" s="12" t="s">
        <v>4872</v>
      </c>
      <c r="K37" s="12">
        <v>107</v>
      </c>
      <c r="L37" s="12" t="s">
        <v>4873</v>
      </c>
      <c r="M37" s="10">
        <v>12581702104</v>
      </c>
      <c r="N37" s="10">
        <v>1474114</v>
      </c>
      <c r="O37" s="12">
        <v>50</v>
      </c>
    </row>
    <row r="38" spans="1:15" ht="15" customHeight="1" x14ac:dyDescent="0.3">
      <c r="A38" s="9">
        <v>43584</v>
      </c>
      <c r="B38" s="12">
        <v>2</v>
      </c>
      <c r="C38" s="11">
        <v>0</v>
      </c>
      <c r="D38" s="12">
        <v>2</v>
      </c>
      <c r="E38" s="11">
        <v>0</v>
      </c>
      <c r="F38" s="12">
        <v>214</v>
      </c>
      <c r="G38" s="11">
        <v>0</v>
      </c>
      <c r="H38" s="11">
        <v>0.38300000000000001</v>
      </c>
      <c r="I38" s="10">
        <v>483000</v>
      </c>
      <c r="J38" s="12" t="s">
        <v>4874</v>
      </c>
      <c r="K38" s="12">
        <v>82</v>
      </c>
      <c r="L38" s="12" t="s">
        <v>4875</v>
      </c>
      <c r="M38" s="10">
        <v>12582185104</v>
      </c>
      <c r="N38" s="10">
        <v>1474196</v>
      </c>
      <c r="O38" s="12">
        <v>52</v>
      </c>
    </row>
    <row r="39" spans="1:15" ht="15" customHeight="1" x14ac:dyDescent="0.3">
      <c r="A39" s="9">
        <v>43585</v>
      </c>
      <c r="B39" s="12">
        <v>2</v>
      </c>
      <c r="C39" s="11">
        <v>0</v>
      </c>
      <c r="D39" s="12">
        <v>2</v>
      </c>
      <c r="E39" s="11">
        <v>0</v>
      </c>
      <c r="F39" s="12">
        <v>214</v>
      </c>
      <c r="G39" s="11">
        <v>0</v>
      </c>
      <c r="H39" s="11">
        <v>0.40699999999999997</v>
      </c>
      <c r="I39" s="10">
        <v>494000</v>
      </c>
      <c r="J39" s="12" t="s">
        <v>4876</v>
      </c>
      <c r="K39" s="12">
        <v>87</v>
      </c>
      <c r="L39" s="12" t="s">
        <v>4877</v>
      </c>
      <c r="M39" s="10">
        <v>12582679104</v>
      </c>
      <c r="N39" s="10">
        <v>1474283</v>
      </c>
      <c r="O39" s="12">
        <v>59</v>
      </c>
    </row>
    <row r="40" spans="1:15" ht="15" customHeight="1" x14ac:dyDescent="0.3">
      <c r="A40" s="9">
        <v>43586</v>
      </c>
      <c r="B40" s="12">
        <v>1</v>
      </c>
      <c r="C40" s="11">
        <v>0</v>
      </c>
      <c r="D40" s="12">
        <v>1</v>
      </c>
      <c r="E40" s="11">
        <v>0</v>
      </c>
      <c r="F40" s="12">
        <v>160</v>
      </c>
      <c r="G40" s="11">
        <v>0</v>
      </c>
      <c r="H40" s="11">
        <v>0.375</v>
      </c>
      <c r="I40" s="10">
        <v>300000</v>
      </c>
      <c r="J40" s="12" t="s">
        <v>4878</v>
      </c>
      <c r="K40" s="12">
        <v>60</v>
      </c>
      <c r="L40" s="12" t="s">
        <v>4879</v>
      </c>
      <c r="M40" s="10">
        <v>12582979104</v>
      </c>
      <c r="N40" s="10">
        <v>1474343</v>
      </c>
      <c r="O40" s="12">
        <v>54</v>
      </c>
    </row>
    <row r="41" spans="1:15" ht="15" customHeight="1" x14ac:dyDescent="0.3">
      <c r="A41" s="9">
        <v>43587</v>
      </c>
      <c r="B41" s="12">
        <v>1</v>
      </c>
      <c r="C41" s="11">
        <v>0</v>
      </c>
      <c r="D41" s="12">
        <v>1</v>
      </c>
      <c r="E41" s="11">
        <v>0</v>
      </c>
      <c r="F41" s="12">
        <v>160</v>
      </c>
      <c r="G41" s="11">
        <v>0</v>
      </c>
      <c r="H41" s="11">
        <v>0.375</v>
      </c>
      <c r="I41" s="10">
        <v>300000</v>
      </c>
      <c r="J41" s="12" t="s">
        <v>292</v>
      </c>
      <c r="K41" s="12">
        <v>60</v>
      </c>
      <c r="L41" s="12" t="s">
        <v>292</v>
      </c>
      <c r="M41" s="10">
        <v>12583279104</v>
      </c>
      <c r="N41" s="10">
        <v>1474403</v>
      </c>
      <c r="O41" s="12">
        <v>51</v>
      </c>
    </row>
    <row r="42" spans="1:15" ht="15" customHeight="1" x14ac:dyDescent="0.3">
      <c r="A42" s="9">
        <v>43588</v>
      </c>
      <c r="B42" s="12">
        <v>1</v>
      </c>
      <c r="C42" s="11">
        <v>0</v>
      </c>
      <c r="D42" s="12">
        <v>1</v>
      </c>
      <c r="E42" s="11">
        <v>0</v>
      </c>
      <c r="F42" s="12">
        <v>160</v>
      </c>
      <c r="G42" s="11">
        <v>0</v>
      </c>
      <c r="H42" s="11">
        <v>0.375</v>
      </c>
      <c r="I42" s="10">
        <v>300000</v>
      </c>
      <c r="J42" s="12" t="s">
        <v>292</v>
      </c>
      <c r="K42" s="12">
        <v>60</v>
      </c>
      <c r="L42" s="12" t="s">
        <v>292</v>
      </c>
      <c r="M42" s="10">
        <v>12583579104</v>
      </c>
      <c r="N42" s="10">
        <v>1474463</v>
      </c>
      <c r="O42" s="12">
        <v>48</v>
      </c>
    </row>
    <row r="43" spans="1:15" ht="15" customHeight="1" x14ac:dyDescent="0.3">
      <c r="A43" s="9">
        <v>43589</v>
      </c>
      <c r="B43" s="12">
        <v>1</v>
      </c>
      <c r="C43" s="11">
        <v>0</v>
      </c>
      <c r="D43" s="12">
        <v>1</v>
      </c>
      <c r="E43" s="11">
        <v>0</v>
      </c>
      <c r="F43" s="12">
        <v>160</v>
      </c>
      <c r="G43" s="11">
        <v>0</v>
      </c>
      <c r="H43" s="11">
        <v>0.375</v>
      </c>
      <c r="I43" s="10">
        <v>300000</v>
      </c>
      <c r="J43" s="12" t="s">
        <v>292</v>
      </c>
      <c r="K43" s="12">
        <v>60</v>
      </c>
      <c r="L43" s="12" t="s">
        <v>292</v>
      </c>
      <c r="M43" s="10">
        <v>12583879104</v>
      </c>
      <c r="N43" s="10">
        <v>1474523</v>
      </c>
      <c r="O43" s="12">
        <v>48</v>
      </c>
    </row>
    <row r="44" spans="1:15" ht="15" customHeight="1" x14ac:dyDescent="0.3">
      <c r="A44" s="9">
        <v>43590</v>
      </c>
      <c r="B44" s="12">
        <v>1</v>
      </c>
      <c r="C44" s="11">
        <v>0</v>
      </c>
      <c r="D44" s="12">
        <v>1</v>
      </c>
      <c r="E44" s="11">
        <v>0</v>
      </c>
      <c r="F44" s="12">
        <v>160</v>
      </c>
      <c r="G44" s="11">
        <v>0</v>
      </c>
      <c r="H44" s="11">
        <v>0.375</v>
      </c>
      <c r="I44" s="10">
        <v>300000</v>
      </c>
      <c r="J44" s="12" t="s">
        <v>292</v>
      </c>
      <c r="K44" s="12">
        <v>60</v>
      </c>
      <c r="L44" s="12" t="s">
        <v>292</v>
      </c>
      <c r="M44" s="10">
        <v>12584179104</v>
      </c>
      <c r="N44" s="10">
        <v>1474583</v>
      </c>
      <c r="O44" s="12">
        <v>46</v>
      </c>
    </row>
    <row r="45" spans="1:15" ht="15" customHeight="1" x14ac:dyDescent="0.3">
      <c r="A45" s="9">
        <v>43591</v>
      </c>
      <c r="B45" s="12">
        <v>1</v>
      </c>
      <c r="C45" s="11">
        <v>0</v>
      </c>
      <c r="D45" s="12">
        <v>1</v>
      </c>
      <c r="E45" s="11">
        <v>0</v>
      </c>
      <c r="F45" s="12">
        <v>160</v>
      </c>
      <c r="G45" s="11">
        <v>0</v>
      </c>
      <c r="H45" s="11">
        <v>0.375</v>
      </c>
      <c r="I45" s="10">
        <v>300000</v>
      </c>
      <c r="J45" s="12" t="s">
        <v>292</v>
      </c>
      <c r="K45" s="12">
        <v>60</v>
      </c>
      <c r="L45" s="12" t="s">
        <v>292</v>
      </c>
      <c r="M45" s="10">
        <v>12584479104</v>
      </c>
      <c r="N45" s="10">
        <v>1474643</v>
      </c>
      <c r="O45" s="12">
        <v>48</v>
      </c>
    </row>
    <row r="46" spans="1:15" ht="15" customHeight="1" x14ac:dyDescent="0.3">
      <c r="A46" s="9">
        <v>43592</v>
      </c>
      <c r="B46" s="12">
        <v>2</v>
      </c>
      <c r="C46" s="11">
        <v>0</v>
      </c>
      <c r="D46" s="12">
        <v>2</v>
      </c>
      <c r="E46" s="11">
        <v>0</v>
      </c>
      <c r="F46" s="12">
        <v>190</v>
      </c>
      <c r="G46" s="11">
        <v>0</v>
      </c>
      <c r="H46" s="11">
        <v>0.442</v>
      </c>
      <c r="I46" s="10">
        <v>492000</v>
      </c>
      <c r="J46" s="12" t="s">
        <v>4880</v>
      </c>
      <c r="K46" s="12">
        <v>84</v>
      </c>
      <c r="L46" s="12" t="s">
        <v>4881</v>
      </c>
      <c r="M46" s="10">
        <v>12584971104</v>
      </c>
      <c r="N46" s="10">
        <v>1474727</v>
      </c>
      <c r="O46" s="12">
        <v>41</v>
      </c>
    </row>
    <row r="47" spans="1:15" ht="15" customHeight="1" x14ac:dyDescent="0.3">
      <c r="A47" s="9">
        <v>43593</v>
      </c>
      <c r="B47" s="12">
        <v>1</v>
      </c>
      <c r="C47" s="11">
        <v>0</v>
      </c>
      <c r="D47" s="12">
        <v>1</v>
      </c>
      <c r="E47" s="11">
        <v>0</v>
      </c>
      <c r="F47" s="12">
        <v>160</v>
      </c>
      <c r="G47" s="11">
        <v>0</v>
      </c>
      <c r="H47" s="11">
        <v>0.375</v>
      </c>
      <c r="I47" s="10">
        <v>300000</v>
      </c>
      <c r="J47" s="12" t="s">
        <v>4882</v>
      </c>
      <c r="K47" s="12">
        <v>60</v>
      </c>
      <c r="L47" s="12" t="s">
        <v>4883</v>
      </c>
      <c r="M47" s="10">
        <v>12585271104</v>
      </c>
      <c r="N47" s="10">
        <v>1474787</v>
      </c>
      <c r="O47" s="12">
        <v>54</v>
      </c>
    </row>
    <row r="48" spans="1:15" ht="15" customHeight="1" x14ac:dyDescent="0.3">
      <c r="A48" s="9">
        <v>43594</v>
      </c>
      <c r="B48" s="12">
        <v>1</v>
      </c>
      <c r="C48" s="11">
        <v>0</v>
      </c>
      <c r="D48" s="12">
        <v>1</v>
      </c>
      <c r="E48" s="11">
        <v>0</v>
      </c>
      <c r="F48" s="12">
        <v>160</v>
      </c>
      <c r="G48" s="11">
        <v>0</v>
      </c>
      <c r="H48" s="11">
        <v>0.375</v>
      </c>
      <c r="I48" s="10">
        <v>300000</v>
      </c>
      <c r="J48" s="12" t="s">
        <v>292</v>
      </c>
      <c r="K48" s="12">
        <v>60</v>
      </c>
      <c r="L48" s="12" t="s">
        <v>292</v>
      </c>
      <c r="M48" s="10">
        <v>12585571104</v>
      </c>
      <c r="N48" s="10">
        <v>1474847</v>
      </c>
      <c r="O48" s="12">
        <v>49</v>
      </c>
    </row>
    <row r="49" spans="1:15" ht="15" customHeight="1" x14ac:dyDescent="0.3">
      <c r="A49" s="9">
        <v>43595</v>
      </c>
      <c r="B49" s="12">
        <v>1</v>
      </c>
      <c r="C49" s="11">
        <v>0</v>
      </c>
      <c r="D49" s="12">
        <v>1</v>
      </c>
      <c r="E49" s="11">
        <v>0</v>
      </c>
      <c r="F49" s="12">
        <v>160</v>
      </c>
      <c r="G49" s="11">
        <v>0</v>
      </c>
      <c r="H49" s="11">
        <v>0.375</v>
      </c>
      <c r="I49" s="10">
        <v>300000</v>
      </c>
      <c r="J49" s="12" t="s">
        <v>292</v>
      </c>
      <c r="K49" s="12">
        <v>60</v>
      </c>
      <c r="L49" s="12" t="s">
        <v>292</v>
      </c>
      <c r="M49" s="10">
        <v>12585871104</v>
      </c>
      <c r="N49" s="10">
        <v>1474907</v>
      </c>
      <c r="O49" s="12">
        <v>46</v>
      </c>
    </row>
    <row r="50" spans="1:15" ht="15" customHeight="1" x14ac:dyDescent="0.3">
      <c r="A50" s="9">
        <v>43596</v>
      </c>
      <c r="B50" s="12">
        <v>1</v>
      </c>
      <c r="C50" s="11">
        <v>0</v>
      </c>
      <c r="D50" s="12">
        <v>1</v>
      </c>
      <c r="E50" s="11">
        <v>0</v>
      </c>
      <c r="F50" s="12">
        <v>160</v>
      </c>
      <c r="G50" s="11">
        <v>0</v>
      </c>
      <c r="H50" s="11">
        <v>0.375</v>
      </c>
      <c r="I50" s="10">
        <v>300000</v>
      </c>
      <c r="J50" s="12" t="s">
        <v>292</v>
      </c>
      <c r="K50" s="12">
        <v>60</v>
      </c>
      <c r="L50" s="12" t="s">
        <v>292</v>
      </c>
      <c r="M50" s="10">
        <v>12586171104</v>
      </c>
      <c r="N50" s="10">
        <v>1474967</v>
      </c>
      <c r="O50" s="12">
        <v>53</v>
      </c>
    </row>
    <row r="51" spans="1:15" ht="15" customHeight="1" x14ac:dyDescent="0.3">
      <c r="A51" s="9">
        <v>43597</v>
      </c>
      <c r="B51" s="12">
        <v>1</v>
      </c>
      <c r="C51" s="11">
        <v>0</v>
      </c>
      <c r="D51" s="12">
        <v>1</v>
      </c>
      <c r="E51" s="11">
        <v>0</v>
      </c>
      <c r="F51" s="12">
        <v>160</v>
      </c>
      <c r="G51" s="11">
        <v>0</v>
      </c>
      <c r="H51" s="11">
        <v>0.375</v>
      </c>
      <c r="I51" s="10">
        <v>300000</v>
      </c>
      <c r="J51" s="12" t="s">
        <v>292</v>
      </c>
      <c r="K51" s="12">
        <v>60</v>
      </c>
      <c r="L51" s="12" t="s">
        <v>292</v>
      </c>
      <c r="M51" s="10">
        <v>12586471104</v>
      </c>
      <c r="N51" s="10">
        <v>1475027</v>
      </c>
      <c r="O51" s="12">
        <v>43</v>
      </c>
    </row>
    <row r="52" spans="1:15" ht="15" customHeight="1" x14ac:dyDescent="0.3">
      <c r="A52" s="9">
        <v>43598</v>
      </c>
      <c r="B52" s="12">
        <v>1</v>
      </c>
      <c r="C52" s="11">
        <v>0</v>
      </c>
      <c r="D52" s="12">
        <v>1</v>
      </c>
      <c r="E52" s="11">
        <v>0</v>
      </c>
      <c r="F52" s="12">
        <v>160</v>
      </c>
      <c r="G52" s="11">
        <v>0</v>
      </c>
      <c r="H52" s="11">
        <v>0.375</v>
      </c>
      <c r="I52" s="10">
        <v>300000</v>
      </c>
      <c r="J52" s="12" t="s">
        <v>292</v>
      </c>
      <c r="K52" s="12">
        <v>60</v>
      </c>
      <c r="L52" s="12" t="s">
        <v>292</v>
      </c>
      <c r="M52" s="10">
        <v>12586771104</v>
      </c>
      <c r="N52" s="10">
        <v>1475087</v>
      </c>
      <c r="O52" s="12">
        <v>46</v>
      </c>
    </row>
    <row r="53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6685-D93C-4FE3-83F1-E837230F5097}">
  <dimension ref="A1:O44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18.75" bestFit="1" customWidth="1"/>
    <col min="11" max="11" width="7.12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4749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43537</v>
      </c>
      <c r="B5" s="12">
        <v>582</v>
      </c>
      <c r="C5" s="11">
        <v>0.105</v>
      </c>
      <c r="D5" s="10">
        <v>1513</v>
      </c>
      <c r="E5" s="11">
        <v>8.7999999999999995E-2</v>
      </c>
      <c r="F5" s="10">
        <v>208801</v>
      </c>
      <c r="G5" s="11">
        <v>7.6999999999999999E-2</v>
      </c>
      <c r="H5" s="11">
        <v>0.09</v>
      </c>
      <c r="I5" s="10">
        <v>160268730</v>
      </c>
      <c r="J5" s="12" t="s">
        <v>4750</v>
      </c>
      <c r="K5" s="10">
        <v>18779</v>
      </c>
      <c r="L5" s="12" t="s">
        <v>4751</v>
      </c>
      <c r="M5" s="10">
        <v>199565730</v>
      </c>
      <c r="N5" s="10">
        <v>23188</v>
      </c>
      <c r="O5" s="12">
        <v>2</v>
      </c>
    </row>
    <row r="6" spans="1:15" ht="15" customHeight="1" x14ac:dyDescent="0.3">
      <c r="A6" s="9">
        <v>43538</v>
      </c>
      <c r="B6" s="12">
        <v>686</v>
      </c>
      <c r="C6" s="11">
        <v>0.122</v>
      </c>
      <c r="D6" s="10">
        <v>3070</v>
      </c>
      <c r="E6" s="11">
        <v>0.17399999999999999</v>
      </c>
      <c r="F6" s="10">
        <v>453426</v>
      </c>
      <c r="G6" s="11">
        <v>0.16300000000000001</v>
      </c>
      <c r="H6" s="11">
        <v>0.11600000000000001</v>
      </c>
      <c r="I6" s="10">
        <v>444984780</v>
      </c>
      <c r="J6" s="12" t="s">
        <v>4752</v>
      </c>
      <c r="K6" s="10">
        <v>52817</v>
      </c>
      <c r="L6" s="12" t="s">
        <v>4753</v>
      </c>
      <c r="M6" s="10">
        <v>644550510</v>
      </c>
      <c r="N6" s="10">
        <v>76005</v>
      </c>
      <c r="O6" s="12">
        <v>2</v>
      </c>
    </row>
    <row r="7" spans="1:15" ht="15" customHeight="1" x14ac:dyDescent="0.3">
      <c r="A7" s="9">
        <v>43539</v>
      </c>
      <c r="B7" s="12">
        <v>718</v>
      </c>
      <c r="C7" s="11">
        <v>0.127</v>
      </c>
      <c r="D7" s="10">
        <v>3213</v>
      </c>
      <c r="E7" s="11">
        <v>0.17599999999999999</v>
      </c>
      <c r="F7" s="10">
        <v>467343</v>
      </c>
      <c r="G7" s="11">
        <v>0.16300000000000001</v>
      </c>
      <c r="H7" s="11">
        <v>0.13600000000000001</v>
      </c>
      <c r="I7" s="10">
        <v>585342294</v>
      </c>
      <c r="J7" s="12" t="s">
        <v>4754</v>
      </c>
      <c r="K7" s="10">
        <v>63544</v>
      </c>
      <c r="L7" s="12" t="s">
        <v>4755</v>
      </c>
      <c r="M7" s="10">
        <v>1229892804</v>
      </c>
      <c r="N7" s="10">
        <v>139549</v>
      </c>
      <c r="O7" s="12">
        <v>2</v>
      </c>
    </row>
    <row r="8" spans="1:15" ht="15" customHeight="1" x14ac:dyDescent="0.3">
      <c r="A8" s="9">
        <v>43540</v>
      </c>
      <c r="B8" s="12">
        <v>850</v>
      </c>
      <c r="C8" s="11">
        <v>0.127</v>
      </c>
      <c r="D8" s="10">
        <v>3465</v>
      </c>
      <c r="E8" s="11">
        <v>0.17699999999999999</v>
      </c>
      <c r="F8" s="10">
        <v>496647</v>
      </c>
      <c r="G8" s="11">
        <v>0.16400000000000001</v>
      </c>
      <c r="H8" s="11">
        <v>0.26800000000000002</v>
      </c>
      <c r="I8" s="10">
        <v>1210782007</v>
      </c>
      <c r="J8" s="12" t="s">
        <v>4756</v>
      </c>
      <c r="K8" s="10">
        <v>133134</v>
      </c>
      <c r="L8" s="12" t="s">
        <v>4757</v>
      </c>
      <c r="M8" s="10">
        <v>2440674811</v>
      </c>
      <c r="N8" s="10">
        <v>272683</v>
      </c>
      <c r="O8" s="12">
        <v>2</v>
      </c>
    </row>
    <row r="9" spans="1:15" ht="15" customHeight="1" x14ac:dyDescent="0.3">
      <c r="A9" s="9">
        <v>43541</v>
      </c>
      <c r="B9" s="12">
        <v>832</v>
      </c>
      <c r="C9" s="11">
        <v>0.127</v>
      </c>
      <c r="D9" s="10">
        <v>3443</v>
      </c>
      <c r="E9" s="11">
        <v>0.18099999999999999</v>
      </c>
      <c r="F9" s="10">
        <v>495772</v>
      </c>
      <c r="G9" s="11">
        <v>0.16800000000000001</v>
      </c>
      <c r="H9" s="11">
        <v>0.23599999999999999</v>
      </c>
      <c r="I9" s="10">
        <v>1063300620</v>
      </c>
      <c r="J9" s="12" t="s">
        <v>4758</v>
      </c>
      <c r="K9" s="10">
        <v>116887</v>
      </c>
      <c r="L9" s="12" t="s">
        <v>4759</v>
      </c>
      <c r="M9" s="10">
        <v>3503975431</v>
      </c>
      <c r="N9" s="10">
        <v>389570</v>
      </c>
      <c r="O9" s="12">
        <v>2</v>
      </c>
    </row>
    <row r="10" spans="1:15" ht="15" customHeight="1" x14ac:dyDescent="0.3">
      <c r="A10" s="9">
        <v>43542</v>
      </c>
      <c r="B10" s="12">
        <v>751</v>
      </c>
      <c r="C10" s="11">
        <v>0.13900000000000001</v>
      </c>
      <c r="D10" s="10">
        <v>3359</v>
      </c>
      <c r="E10" s="11">
        <v>0.19900000000000001</v>
      </c>
      <c r="F10" s="10">
        <v>493804</v>
      </c>
      <c r="G10" s="11">
        <v>0.185</v>
      </c>
      <c r="H10" s="11">
        <v>7.4999999999999997E-2</v>
      </c>
      <c r="I10" s="10">
        <v>310772720</v>
      </c>
      <c r="J10" s="12" t="s">
        <v>4760</v>
      </c>
      <c r="K10" s="10">
        <v>36891</v>
      </c>
      <c r="L10" s="12" t="s">
        <v>4761</v>
      </c>
      <c r="M10" s="10">
        <v>3814748151</v>
      </c>
      <c r="N10" s="10">
        <v>426461</v>
      </c>
      <c r="O10" s="12">
        <v>2</v>
      </c>
    </row>
    <row r="11" spans="1:15" ht="15" customHeight="1" x14ac:dyDescent="0.3">
      <c r="A11" s="9">
        <v>43543</v>
      </c>
      <c r="B11" s="12">
        <v>756</v>
      </c>
      <c r="C11" s="11">
        <v>0.13700000000000001</v>
      </c>
      <c r="D11" s="10">
        <v>3251</v>
      </c>
      <c r="E11" s="11">
        <v>0.19700000000000001</v>
      </c>
      <c r="F11" s="10">
        <v>479205</v>
      </c>
      <c r="G11" s="11">
        <v>0.184</v>
      </c>
      <c r="H11" s="11">
        <v>6.7000000000000004E-2</v>
      </c>
      <c r="I11" s="10">
        <v>271195500</v>
      </c>
      <c r="J11" s="12" t="s">
        <v>4762</v>
      </c>
      <c r="K11" s="10">
        <v>32292</v>
      </c>
      <c r="L11" s="12" t="s">
        <v>4763</v>
      </c>
      <c r="M11" s="10">
        <v>4085943651</v>
      </c>
      <c r="N11" s="10">
        <v>458753</v>
      </c>
      <c r="O11" s="12">
        <v>2</v>
      </c>
    </row>
    <row r="12" spans="1:15" ht="15" customHeight="1" x14ac:dyDescent="0.3">
      <c r="A12" s="9">
        <v>43544</v>
      </c>
      <c r="B12" s="12">
        <v>513</v>
      </c>
      <c r="C12" s="11">
        <v>9.7000000000000003E-2</v>
      </c>
      <c r="D12" s="10">
        <v>1196</v>
      </c>
      <c r="E12" s="11">
        <v>7.1999999999999995E-2</v>
      </c>
      <c r="F12" s="10">
        <v>152455</v>
      </c>
      <c r="G12" s="11">
        <v>5.8000000000000003E-2</v>
      </c>
      <c r="H12" s="11">
        <v>7.9000000000000001E-2</v>
      </c>
      <c r="I12" s="10">
        <v>101006850</v>
      </c>
      <c r="J12" s="12" t="s">
        <v>4764</v>
      </c>
      <c r="K12" s="10">
        <v>12025</v>
      </c>
      <c r="L12" s="12" t="s">
        <v>4765</v>
      </c>
      <c r="M12" s="10">
        <v>4186950501</v>
      </c>
      <c r="N12" s="10">
        <v>470778</v>
      </c>
      <c r="O12" s="12">
        <v>5</v>
      </c>
    </row>
    <row r="13" spans="1:15" ht="15" customHeight="1" x14ac:dyDescent="0.3">
      <c r="A13" s="9">
        <v>43545</v>
      </c>
      <c r="B13" s="12">
        <v>456</v>
      </c>
      <c r="C13" s="11">
        <v>8.6999999999999994E-2</v>
      </c>
      <c r="D13" s="10">
        <v>1050</v>
      </c>
      <c r="E13" s="11">
        <v>0.06</v>
      </c>
      <c r="F13" s="10">
        <v>131861</v>
      </c>
      <c r="G13" s="11">
        <v>4.8000000000000001E-2</v>
      </c>
      <c r="H13" s="11">
        <v>7.3999999999999996E-2</v>
      </c>
      <c r="I13" s="10">
        <v>82366980</v>
      </c>
      <c r="J13" s="12" t="s">
        <v>4766</v>
      </c>
      <c r="K13" s="10">
        <v>9784</v>
      </c>
      <c r="L13" s="12" t="s">
        <v>4767</v>
      </c>
      <c r="M13" s="10">
        <v>4269317481</v>
      </c>
      <c r="N13" s="10">
        <v>480562</v>
      </c>
      <c r="O13" s="12">
        <v>5</v>
      </c>
    </row>
    <row r="14" spans="1:15" ht="15" customHeight="1" x14ac:dyDescent="0.3">
      <c r="A14" s="9">
        <v>43546</v>
      </c>
      <c r="B14" s="12">
        <v>447</v>
      </c>
      <c r="C14" s="11">
        <v>8.4000000000000005E-2</v>
      </c>
      <c r="D14" s="10">
        <v>1051</v>
      </c>
      <c r="E14" s="11">
        <v>5.8999999999999997E-2</v>
      </c>
      <c r="F14" s="10">
        <v>131742</v>
      </c>
      <c r="G14" s="11">
        <v>4.7E-2</v>
      </c>
      <c r="H14" s="11">
        <v>9.5000000000000001E-2</v>
      </c>
      <c r="I14" s="10">
        <v>116031904</v>
      </c>
      <c r="J14" s="12" t="s">
        <v>4768</v>
      </c>
      <c r="K14" s="10">
        <v>12564</v>
      </c>
      <c r="L14" s="12" t="s">
        <v>4769</v>
      </c>
      <c r="M14" s="10">
        <v>4385349385</v>
      </c>
      <c r="N14" s="10">
        <v>493126</v>
      </c>
      <c r="O14" s="12">
        <v>5</v>
      </c>
    </row>
    <row r="15" spans="1:15" ht="15" customHeight="1" x14ac:dyDescent="0.3">
      <c r="A15" s="9">
        <v>43547</v>
      </c>
      <c r="B15" s="12">
        <v>496</v>
      </c>
      <c r="C15" s="11">
        <v>8.6999999999999994E-2</v>
      </c>
      <c r="D15" s="10">
        <v>1067</v>
      </c>
      <c r="E15" s="11">
        <v>5.6000000000000001E-2</v>
      </c>
      <c r="F15" s="10">
        <v>132100</v>
      </c>
      <c r="G15" s="11">
        <v>4.3999999999999997E-2</v>
      </c>
      <c r="H15" s="11">
        <v>0.21099999999999999</v>
      </c>
      <c r="I15" s="10">
        <v>253327669</v>
      </c>
      <c r="J15" s="12" t="s">
        <v>4770</v>
      </c>
      <c r="K15" s="10">
        <v>27842</v>
      </c>
      <c r="L15" s="12" t="s">
        <v>4771</v>
      </c>
      <c r="M15" s="10">
        <v>4638677054</v>
      </c>
      <c r="N15" s="10">
        <v>520968</v>
      </c>
      <c r="O15" s="12">
        <v>5</v>
      </c>
    </row>
    <row r="16" spans="1:15" ht="15" customHeight="1" x14ac:dyDescent="0.3">
      <c r="A16" s="9">
        <v>43548</v>
      </c>
      <c r="B16" s="12">
        <v>491</v>
      </c>
      <c r="C16" s="11">
        <v>8.5999999999999993E-2</v>
      </c>
      <c r="D16" s="10">
        <v>1060</v>
      </c>
      <c r="E16" s="11">
        <v>5.7000000000000002E-2</v>
      </c>
      <c r="F16" s="10">
        <v>130025</v>
      </c>
      <c r="G16" s="11">
        <v>4.4999999999999998E-2</v>
      </c>
      <c r="H16" s="11">
        <v>0.18099999999999999</v>
      </c>
      <c r="I16" s="10">
        <v>214363930</v>
      </c>
      <c r="J16" s="12" t="s">
        <v>4772</v>
      </c>
      <c r="K16" s="10">
        <v>23494</v>
      </c>
      <c r="L16" s="12" t="s">
        <v>4773</v>
      </c>
      <c r="M16" s="10">
        <v>4853040984</v>
      </c>
      <c r="N16" s="10">
        <v>544462</v>
      </c>
      <c r="O16" s="12">
        <v>5</v>
      </c>
    </row>
    <row r="17" spans="1:15" ht="15" customHeight="1" x14ac:dyDescent="0.3">
      <c r="A17" s="9">
        <v>43549</v>
      </c>
      <c r="B17" s="12">
        <v>415</v>
      </c>
      <c r="C17" s="11">
        <v>8.5000000000000006E-2</v>
      </c>
      <c r="D17" s="12">
        <v>967</v>
      </c>
      <c r="E17" s="11">
        <v>5.7000000000000002E-2</v>
      </c>
      <c r="F17" s="10">
        <v>127254</v>
      </c>
      <c r="G17" s="11">
        <v>4.7E-2</v>
      </c>
      <c r="H17" s="11">
        <v>5.6000000000000001E-2</v>
      </c>
      <c r="I17" s="10">
        <v>60514470</v>
      </c>
      <c r="J17" s="12" t="s">
        <v>4774</v>
      </c>
      <c r="K17" s="10">
        <v>7153</v>
      </c>
      <c r="L17" s="12" t="s">
        <v>4775</v>
      </c>
      <c r="M17" s="10">
        <v>4913555454</v>
      </c>
      <c r="N17" s="10">
        <v>551615</v>
      </c>
      <c r="O17" s="12">
        <v>5</v>
      </c>
    </row>
    <row r="18" spans="1:15" ht="15" customHeight="1" x14ac:dyDescent="0.3">
      <c r="A18" s="9">
        <v>43550</v>
      </c>
      <c r="B18" s="12">
        <v>421</v>
      </c>
      <c r="C18" s="11">
        <v>8.3000000000000004E-2</v>
      </c>
      <c r="D18" s="12">
        <v>945</v>
      </c>
      <c r="E18" s="11">
        <v>5.6000000000000001E-2</v>
      </c>
      <c r="F18" s="10">
        <v>123580</v>
      </c>
      <c r="G18" s="11">
        <v>4.5999999999999999E-2</v>
      </c>
      <c r="H18" s="11">
        <v>5.0999999999999997E-2</v>
      </c>
      <c r="I18" s="10">
        <v>52724540</v>
      </c>
      <c r="J18" s="12" t="s">
        <v>4776</v>
      </c>
      <c r="K18" s="10">
        <v>6261</v>
      </c>
      <c r="L18" s="12" t="s">
        <v>4777</v>
      </c>
      <c r="M18" s="10">
        <v>4966279994</v>
      </c>
      <c r="N18" s="10">
        <v>557876</v>
      </c>
      <c r="O18" s="12">
        <v>5</v>
      </c>
    </row>
    <row r="19" spans="1:15" ht="15" customHeight="1" x14ac:dyDescent="0.3">
      <c r="A19" s="9">
        <v>43551</v>
      </c>
      <c r="B19" s="12">
        <v>94</v>
      </c>
      <c r="C19" s="11">
        <v>1.4999999999999999E-2</v>
      </c>
      <c r="D19" s="12">
        <v>126</v>
      </c>
      <c r="E19" s="11">
        <v>7.0000000000000001E-3</v>
      </c>
      <c r="F19" s="10">
        <v>15493</v>
      </c>
      <c r="G19" s="11">
        <v>5.0000000000000001E-3</v>
      </c>
      <c r="H19" s="11">
        <v>6.7000000000000004E-2</v>
      </c>
      <c r="I19" s="10">
        <v>6764350</v>
      </c>
      <c r="J19" s="12" t="s">
        <v>4778</v>
      </c>
      <c r="K19" s="10">
        <v>1043</v>
      </c>
      <c r="L19" s="12" t="s">
        <v>4779</v>
      </c>
      <c r="M19" s="10">
        <v>4973044344</v>
      </c>
      <c r="N19" s="10">
        <v>558919</v>
      </c>
      <c r="O19" s="12">
        <v>14</v>
      </c>
    </row>
    <row r="20" spans="1:15" ht="15" customHeight="1" x14ac:dyDescent="0.3">
      <c r="A20" s="9">
        <v>43552</v>
      </c>
      <c r="B20" s="12">
        <v>51</v>
      </c>
      <c r="C20" s="11">
        <v>8.9999999999999993E-3</v>
      </c>
      <c r="D20" s="12">
        <v>68</v>
      </c>
      <c r="E20" s="11">
        <v>4.0000000000000001E-3</v>
      </c>
      <c r="F20" s="10">
        <v>8534</v>
      </c>
      <c r="G20" s="11">
        <v>3.0000000000000001E-3</v>
      </c>
      <c r="H20" s="11">
        <v>0.05</v>
      </c>
      <c r="I20" s="10">
        <v>3461730</v>
      </c>
      <c r="J20" s="12" t="s">
        <v>4780</v>
      </c>
      <c r="K20" s="12">
        <v>426</v>
      </c>
      <c r="L20" s="12" t="s">
        <v>4781</v>
      </c>
      <c r="M20" s="10">
        <v>4976506074</v>
      </c>
      <c r="N20" s="10">
        <v>559345</v>
      </c>
      <c r="O20" s="12">
        <v>29</v>
      </c>
    </row>
    <row r="21" spans="1:15" ht="15" customHeight="1" x14ac:dyDescent="0.3">
      <c r="A21" s="9">
        <v>43553</v>
      </c>
      <c r="B21" s="12">
        <v>50</v>
      </c>
      <c r="C21" s="11">
        <v>8.9999999999999993E-3</v>
      </c>
      <c r="D21" s="12">
        <v>70</v>
      </c>
      <c r="E21" s="11">
        <v>4.0000000000000001E-3</v>
      </c>
      <c r="F21" s="10">
        <v>8658</v>
      </c>
      <c r="G21" s="11">
        <v>3.0000000000000001E-3</v>
      </c>
      <c r="H21" s="11">
        <v>7.0999999999999994E-2</v>
      </c>
      <c r="I21" s="10">
        <v>5626950</v>
      </c>
      <c r="J21" s="12" t="s">
        <v>4782</v>
      </c>
      <c r="K21" s="12">
        <v>618</v>
      </c>
      <c r="L21" s="12" t="s">
        <v>4783</v>
      </c>
      <c r="M21" s="10">
        <v>4982133024</v>
      </c>
      <c r="N21" s="10">
        <v>559963</v>
      </c>
      <c r="O21" s="12">
        <v>19</v>
      </c>
    </row>
    <row r="22" spans="1:15" ht="15" customHeight="1" x14ac:dyDescent="0.3">
      <c r="A22" s="9">
        <v>43554</v>
      </c>
      <c r="B22" s="12">
        <v>49</v>
      </c>
      <c r="C22" s="11">
        <v>8.0000000000000002E-3</v>
      </c>
      <c r="D22" s="12">
        <v>75</v>
      </c>
      <c r="E22" s="11">
        <v>4.0000000000000001E-3</v>
      </c>
      <c r="F22" s="10">
        <v>8667</v>
      </c>
      <c r="G22" s="11">
        <v>3.0000000000000001E-3</v>
      </c>
      <c r="H22" s="11">
        <v>0.12</v>
      </c>
      <c r="I22" s="10">
        <v>9241660</v>
      </c>
      <c r="J22" s="12" t="s">
        <v>4784</v>
      </c>
      <c r="K22" s="10">
        <v>1040</v>
      </c>
      <c r="L22" s="12" t="s">
        <v>4785</v>
      </c>
      <c r="M22" s="10">
        <v>4991374684</v>
      </c>
      <c r="N22" s="10">
        <v>561003</v>
      </c>
      <c r="O22" s="12">
        <v>18</v>
      </c>
    </row>
    <row r="23" spans="1:15" ht="15" customHeight="1" x14ac:dyDescent="0.3">
      <c r="A23" s="9">
        <v>43555</v>
      </c>
      <c r="B23" s="12">
        <v>49</v>
      </c>
      <c r="C23" s="11">
        <v>8.0000000000000002E-3</v>
      </c>
      <c r="D23" s="12">
        <v>66</v>
      </c>
      <c r="E23" s="11">
        <v>3.0000000000000001E-3</v>
      </c>
      <c r="F23" s="10">
        <v>7934</v>
      </c>
      <c r="G23" s="11">
        <v>3.0000000000000001E-3</v>
      </c>
      <c r="H23" s="11">
        <v>0.10199999999999999</v>
      </c>
      <c r="I23" s="10">
        <v>7101600</v>
      </c>
      <c r="J23" s="12" t="s">
        <v>4786</v>
      </c>
      <c r="K23" s="12">
        <v>809</v>
      </c>
      <c r="L23" s="12" t="s">
        <v>4787</v>
      </c>
      <c r="M23" s="10">
        <v>4998476284</v>
      </c>
      <c r="N23" s="10">
        <v>561812</v>
      </c>
      <c r="O23" s="12">
        <v>16</v>
      </c>
    </row>
    <row r="24" spans="1:15" ht="15" customHeight="1" x14ac:dyDescent="0.3">
      <c r="A24" s="9">
        <v>43556</v>
      </c>
      <c r="B24" s="12">
        <v>43</v>
      </c>
      <c r="C24" s="11">
        <v>8.0000000000000002E-3</v>
      </c>
      <c r="D24" s="12">
        <v>65</v>
      </c>
      <c r="E24" s="11">
        <v>4.0000000000000001E-3</v>
      </c>
      <c r="F24" s="10">
        <v>7917</v>
      </c>
      <c r="G24" s="11">
        <v>3.0000000000000001E-3</v>
      </c>
      <c r="H24" s="11">
        <v>4.8000000000000001E-2</v>
      </c>
      <c r="I24" s="10">
        <v>2924600</v>
      </c>
      <c r="J24" s="12" t="s">
        <v>4788</v>
      </c>
      <c r="K24" s="12">
        <v>380</v>
      </c>
      <c r="L24" s="12" t="s">
        <v>4789</v>
      </c>
      <c r="M24" s="10">
        <v>5001400884</v>
      </c>
      <c r="N24" s="10">
        <v>562192</v>
      </c>
      <c r="O24" s="12">
        <v>17</v>
      </c>
    </row>
    <row r="25" spans="1:15" ht="15" customHeight="1" x14ac:dyDescent="0.3">
      <c r="A25" s="9">
        <v>43557</v>
      </c>
      <c r="B25" s="12">
        <v>40</v>
      </c>
      <c r="C25" s="11">
        <v>7.0000000000000001E-3</v>
      </c>
      <c r="D25" s="12">
        <v>59</v>
      </c>
      <c r="E25" s="11">
        <v>3.0000000000000001E-3</v>
      </c>
      <c r="F25" s="10">
        <v>6814</v>
      </c>
      <c r="G25" s="11">
        <v>3.0000000000000001E-3</v>
      </c>
      <c r="H25" s="11">
        <v>5.1999999999999998E-2</v>
      </c>
      <c r="I25" s="10">
        <v>2808780</v>
      </c>
      <c r="J25" s="12" t="s">
        <v>4790</v>
      </c>
      <c r="K25" s="12">
        <v>354</v>
      </c>
      <c r="L25" s="12" t="s">
        <v>4791</v>
      </c>
      <c r="M25" s="10">
        <v>5004209664</v>
      </c>
      <c r="N25" s="10">
        <v>562546</v>
      </c>
      <c r="O25" s="12">
        <v>22</v>
      </c>
    </row>
    <row r="26" spans="1:15" ht="15" customHeight="1" x14ac:dyDescent="0.3">
      <c r="A26" s="9">
        <v>43558</v>
      </c>
      <c r="B26" s="12">
        <v>4</v>
      </c>
      <c r="C26" s="11">
        <v>1E-3</v>
      </c>
      <c r="D26" s="12">
        <v>6</v>
      </c>
      <c r="E26" s="11">
        <v>0</v>
      </c>
      <c r="F26" s="12">
        <v>554</v>
      </c>
      <c r="G26" s="11">
        <v>0</v>
      </c>
      <c r="H26" s="11">
        <v>4.2000000000000003E-2</v>
      </c>
      <c r="I26" s="10">
        <v>176000</v>
      </c>
      <c r="J26" s="12" t="s">
        <v>4792</v>
      </c>
      <c r="K26" s="12">
        <v>23</v>
      </c>
      <c r="L26" s="12" t="s">
        <v>4793</v>
      </c>
      <c r="M26" s="10">
        <v>5004385664</v>
      </c>
      <c r="N26" s="10">
        <v>562569</v>
      </c>
      <c r="O26" s="12">
        <v>65</v>
      </c>
    </row>
    <row r="27" spans="1:15" ht="15" customHeight="1" x14ac:dyDescent="0.3">
      <c r="A27" s="9">
        <v>43559</v>
      </c>
      <c r="B27" s="12">
        <v>2</v>
      </c>
      <c r="C27" s="11">
        <v>0</v>
      </c>
      <c r="D27" s="12">
        <v>2</v>
      </c>
      <c r="E27" s="11">
        <v>0</v>
      </c>
      <c r="F27" s="12">
        <v>190</v>
      </c>
      <c r="G27" s="11">
        <v>0</v>
      </c>
      <c r="H27" s="11">
        <v>4.7E-2</v>
      </c>
      <c r="I27" s="10">
        <v>88000</v>
      </c>
      <c r="J27" s="12" t="s">
        <v>4794</v>
      </c>
      <c r="K27" s="12">
        <v>9</v>
      </c>
      <c r="L27" s="12" t="s">
        <v>4795</v>
      </c>
      <c r="M27" s="10">
        <v>5004473664</v>
      </c>
      <c r="N27" s="10">
        <v>562578</v>
      </c>
      <c r="O27" s="12">
        <v>77</v>
      </c>
    </row>
    <row r="28" spans="1:15" ht="15" customHeight="1" x14ac:dyDescent="0.3">
      <c r="A28" s="9">
        <v>43560</v>
      </c>
      <c r="B28" s="12">
        <v>1</v>
      </c>
      <c r="C28" s="11">
        <v>0</v>
      </c>
      <c r="D28" s="12">
        <v>1</v>
      </c>
      <c r="E28" s="11">
        <v>0</v>
      </c>
      <c r="F28" s="12">
        <v>93</v>
      </c>
      <c r="G28" s="11">
        <v>0</v>
      </c>
      <c r="H28" s="11">
        <v>0.129</v>
      </c>
      <c r="I28" s="10">
        <v>138000</v>
      </c>
      <c r="J28" s="12" t="s">
        <v>4796</v>
      </c>
      <c r="K28" s="12">
        <v>12</v>
      </c>
      <c r="L28" s="12" t="s">
        <v>1308</v>
      </c>
      <c r="M28" s="10">
        <v>5004611664</v>
      </c>
      <c r="N28" s="10">
        <v>562590</v>
      </c>
      <c r="O28" s="12">
        <v>79</v>
      </c>
    </row>
    <row r="29" spans="1:15" ht="15" customHeight="1" x14ac:dyDescent="0.3">
      <c r="A29" s="9">
        <v>43561</v>
      </c>
      <c r="B29" s="12">
        <v>1</v>
      </c>
      <c r="C29" s="11">
        <v>0</v>
      </c>
      <c r="D29" s="12">
        <v>1</v>
      </c>
      <c r="E29" s="11">
        <v>0</v>
      </c>
      <c r="F29" s="12">
        <v>93</v>
      </c>
      <c r="G29" s="11">
        <v>0</v>
      </c>
      <c r="H29" s="11">
        <v>0.19400000000000001</v>
      </c>
      <c r="I29" s="10">
        <v>176000</v>
      </c>
      <c r="J29" s="12" t="s">
        <v>4797</v>
      </c>
      <c r="K29" s="12">
        <v>18</v>
      </c>
      <c r="L29" s="12" t="s">
        <v>4798</v>
      </c>
      <c r="M29" s="10">
        <v>5004787664</v>
      </c>
      <c r="N29" s="10">
        <v>562608</v>
      </c>
      <c r="O29" s="12">
        <v>79</v>
      </c>
    </row>
    <row r="30" spans="1:15" ht="15" customHeight="1" x14ac:dyDescent="0.3">
      <c r="A30" s="9">
        <v>43562</v>
      </c>
      <c r="B30" s="12">
        <v>2</v>
      </c>
      <c r="C30" s="11">
        <v>0</v>
      </c>
      <c r="D30" s="12">
        <v>2</v>
      </c>
      <c r="E30" s="11">
        <v>0</v>
      </c>
      <c r="F30" s="12">
        <v>190</v>
      </c>
      <c r="G30" s="11">
        <v>0</v>
      </c>
      <c r="H30" s="11">
        <v>4.7E-2</v>
      </c>
      <c r="I30" s="10">
        <v>87000</v>
      </c>
      <c r="J30" s="12" t="s">
        <v>4799</v>
      </c>
      <c r="K30" s="12">
        <v>9</v>
      </c>
      <c r="L30" s="12" t="s">
        <v>1108</v>
      </c>
      <c r="M30" s="10">
        <v>5004874664</v>
      </c>
      <c r="N30" s="10">
        <v>562617</v>
      </c>
      <c r="O30" s="12">
        <v>89</v>
      </c>
    </row>
    <row r="31" spans="1:15" ht="15" customHeight="1" x14ac:dyDescent="0.3">
      <c r="A31" s="9">
        <v>43563</v>
      </c>
      <c r="B31" s="12">
        <v>1</v>
      </c>
      <c r="C31" s="11">
        <v>0</v>
      </c>
      <c r="D31" s="12">
        <v>1</v>
      </c>
      <c r="E31" s="11">
        <v>0</v>
      </c>
      <c r="F31" s="12">
        <v>93</v>
      </c>
      <c r="G31" s="11">
        <v>0</v>
      </c>
      <c r="H31" s="11">
        <v>7.4999999999999997E-2</v>
      </c>
      <c r="I31" s="10">
        <v>54000</v>
      </c>
      <c r="J31" s="12" t="s">
        <v>4800</v>
      </c>
      <c r="K31" s="12">
        <v>7</v>
      </c>
      <c r="L31" s="12" t="s">
        <v>2515</v>
      </c>
      <c r="M31" s="10">
        <v>5004928664</v>
      </c>
      <c r="N31" s="10">
        <v>562624</v>
      </c>
      <c r="O31" s="12">
        <v>73</v>
      </c>
    </row>
    <row r="32" spans="1:15" ht="15" customHeight="1" x14ac:dyDescent="0.3">
      <c r="A32" s="9">
        <v>43564</v>
      </c>
      <c r="B32" s="12">
        <v>1</v>
      </c>
      <c r="C32" s="11">
        <v>0</v>
      </c>
      <c r="D32" s="12">
        <v>1</v>
      </c>
      <c r="E32" s="11">
        <v>0</v>
      </c>
      <c r="F32" s="12">
        <v>93</v>
      </c>
      <c r="G32" s="11">
        <v>0</v>
      </c>
      <c r="H32" s="11">
        <v>1.0999999999999999E-2</v>
      </c>
      <c r="I32" s="10">
        <v>7000</v>
      </c>
      <c r="J32" s="12" t="s">
        <v>4801</v>
      </c>
      <c r="K32" s="12">
        <v>1</v>
      </c>
      <c r="L32" s="12" t="s">
        <v>4802</v>
      </c>
      <c r="M32" s="10">
        <v>5004935664</v>
      </c>
      <c r="N32" s="10">
        <v>562625</v>
      </c>
      <c r="O32" s="12">
        <v>98</v>
      </c>
    </row>
    <row r="33" spans="1:15" ht="15" customHeight="1" x14ac:dyDescent="0.3">
      <c r="A33" s="9">
        <v>43565</v>
      </c>
      <c r="B33" s="12">
        <v>1</v>
      </c>
      <c r="C33" s="11">
        <v>0</v>
      </c>
      <c r="D33" s="12">
        <v>1</v>
      </c>
      <c r="E33" s="11">
        <v>0</v>
      </c>
      <c r="F33" s="12">
        <v>97</v>
      </c>
      <c r="G33" s="11">
        <v>0</v>
      </c>
      <c r="H33" s="11">
        <v>9.2999999999999999E-2</v>
      </c>
      <c r="I33" s="10">
        <v>85000</v>
      </c>
      <c r="J33" s="12" t="s">
        <v>4803</v>
      </c>
      <c r="K33" s="12">
        <v>9</v>
      </c>
      <c r="L33" s="12" t="s">
        <v>4804</v>
      </c>
      <c r="M33" s="10">
        <v>5005020664</v>
      </c>
      <c r="N33" s="10">
        <v>562634</v>
      </c>
      <c r="O33" s="12">
        <v>83</v>
      </c>
    </row>
    <row r="34" spans="1:15" ht="15" customHeight="1" x14ac:dyDescent="0.3">
      <c r="A34" s="9">
        <v>43566</v>
      </c>
      <c r="B34" s="12">
        <v>1</v>
      </c>
      <c r="C34" s="11">
        <v>0</v>
      </c>
      <c r="D34" s="12">
        <v>1</v>
      </c>
      <c r="E34" s="11">
        <v>0</v>
      </c>
      <c r="F34" s="12">
        <v>92</v>
      </c>
      <c r="G34" s="11">
        <v>0</v>
      </c>
      <c r="H34" s="11">
        <v>0.65200000000000002</v>
      </c>
      <c r="I34" s="10">
        <v>300000</v>
      </c>
      <c r="J34" s="12" t="s">
        <v>4805</v>
      </c>
      <c r="K34" s="12">
        <v>60</v>
      </c>
      <c r="L34" s="12" t="s">
        <v>4806</v>
      </c>
      <c r="M34" s="10">
        <v>5005320664</v>
      </c>
      <c r="N34" s="10">
        <v>562694</v>
      </c>
      <c r="O34" s="12">
        <v>58</v>
      </c>
    </row>
    <row r="35" spans="1:15" ht="15" customHeight="1" x14ac:dyDescent="0.3">
      <c r="A35" s="9">
        <v>43567</v>
      </c>
      <c r="B35" s="12">
        <v>1</v>
      </c>
      <c r="C35" s="11">
        <v>0</v>
      </c>
      <c r="D35" s="12">
        <v>1</v>
      </c>
      <c r="E35" s="11">
        <v>0</v>
      </c>
      <c r="F35" s="12">
        <v>84</v>
      </c>
      <c r="G35" s="11">
        <v>0</v>
      </c>
      <c r="H35" s="11">
        <v>0.71399999999999997</v>
      </c>
      <c r="I35" s="10">
        <v>300000</v>
      </c>
      <c r="J35" s="12" t="s">
        <v>292</v>
      </c>
      <c r="K35" s="12">
        <v>60</v>
      </c>
      <c r="L35" s="12" t="s">
        <v>292</v>
      </c>
      <c r="M35" s="10">
        <v>5005620664</v>
      </c>
      <c r="N35" s="10">
        <v>562754</v>
      </c>
      <c r="O35" s="12">
        <v>55</v>
      </c>
    </row>
    <row r="36" spans="1:15" ht="15" customHeight="1" x14ac:dyDescent="0.3">
      <c r="A36" s="9">
        <v>43568</v>
      </c>
      <c r="B36" s="12">
        <v>1</v>
      </c>
      <c r="C36" s="11">
        <v>0</v>
      </c>
      <c r="D36" s="12">
        <v>1</v>
      </c>
      <c r="E36" s="11">
        <v>0</v>
      </c>
      <c r="F36" s="12">
        <v>84</v>
      </c>
      <c r="G36" s="11">
        <v>0</v>
      </c>
      <c r="H36" s="11">
        <v>0.71399999999999997</v>
      </c>
      <c r="I36" s="10">
        <v>300000</v>
      </c>
      <c r="J36" s="12" t="s">
        <v>292</v>
      </c>
      <c r="K36" s="12">
        <v>60</v>
      </c>
      <c r="L36" s="12" t="s">
        <v>292</v>
      </c>
      <c r="M36" s="10">
        <v>5005920664</v>
      </c>
      <c r="N36" s="10">
        <v>562814</v>
      </c>
      <c r="O36" s="12">
        <v>56</v>
      </c>
    </row>
    <row r="37" spans="1:15" ht="15" customHeight="1" x14ac:dyDescent="0.3">
      <c r="A37" s="9">
        <v>43569</v>
      </c>
      <c r="B37" s="12">
        <v>1</v>
      </c>
      <c r="C37" s="11">
        <v>0</v>
      </c>
      <c r="D37" s="12">
        <v>1</v>
      </c>
      <c r="E37" s="11">
        <v>0</v>
      </c>
      <c r="F37" s="12">
        <v>84</v>
      </c>
      <c r="G37" s="11">
        <v>0</v>
      </c>
      <c r="H37" s="11">
        <v>0.71399999999999997</v>
      </c>
      <c r="I37" s="10">
        <v>300000</v>
      </c>
      <c r="J37" s="12" t="s">
        <v>292</v>
      </c>
      <c r="K37" s="12">
        <v>60</v>
      </c>
      <c r="L37" s="12" t="s">
        <v>292</v>
      </c>
      <c r="M37" s="10">
        <v>5006220664</v>
      </c>
      <c r="N37" s="10">
        <v>562874</v>
      </c>
      <c r="O37" s="12">
        <v>55</v>
      </c>
    </row>
    <row r="38" spans="1:15" ht="15" customHeight="1" x14ac:dyDescent="0.3">
      <c r="A38" s="9">
        <v>43570</v>
      </c>
      <c r="B38" s="12">
        <v>1</v>
      </c>
      <c r="C38" s="11">
        <v>0</v>
      </c>
      <c r="D38" s="12">
        <v>1</v>
      </c>
      <c r="E38" s="11">
        <v>0</v>
      </c>
      <c r="F38" s="12">
        <v>84</v>
      </c>
      <c r="G38" s="11">
        <v>0</v>
      </c>
      <c r="H38" s="11">
        <v>0.71399999999999997</v>
      </c>
      <c r="I38" s="10">
        <v>300000</v>
      </c>
      <c r="J38" s="12" t="s">
        <v>292</v>
      </c>
      <c r="K38" s="12">
        <v>60</v>
      </c>
      <c r="L38" s="12" t="s">
        <v>292</v>
      </c>
      <c r="M38" s="10">
        <v>5006520664</v>
      </c>
      <c r="N38" s="10">
        <v>562934</v>
      </c>
      <c r="O38" s="12">
        <v>46</v>
      </c>
    </row>
    <row r="39" spans="1:15" ht="15" customHeight="1" x14ac:dyDescent="0.3">
      <c r="A39" s="9">
        <v>43571</v>
      </c>
      <c r="B39" s="12">
        <v>1</v>
      </c>
      <c r="C39" s="11">
        <v>0</v>
      </c>
      <c r="D39" s="12">
        <v>1</v>
      </c>
      <c r="E39" s="11">
        <v>0</v>
      </c>
      <c r="F39" s="12">
        <v>84</v>
      </c>
      <c r="G39" s="11">
        <v>0</v>
      </c>
      <c r="H39" s="11">
        <v>0.71399999999999997</v>
      </c>
      <c r="I39" s="10">
        <v>300000</v>
      </c>
      <c r="J39" s="12" t="s">
        <v>292</v>
      </c>
      <c r="K39" s="12">
        <v>60</v>
      </c>
      <c r="L39" s="12" t="s">
        <v>292</v>
      </c>
      <c r="M39" s="10">
        <v>5006820664</v>
      </c>
      <c r="N39" s="10">
        <v>562994</v>
      </c>
      <c r="O39" s="12">
        <v>54</v>
      </c>
    </row>
    <row r="40" spans="1:15" ht="15" customHeight="1" x14ac:dyDescent="0.3">
      <c r="A40" s="9">
        <v>43572</v>
      </c>
      <c r="B40" s="12">
        <v>1</v>
      </c>
      <c r="C40" s="11">
        <v>0</v>
      </c>
      <c r="D40" s="12">
        <v>1</v>
      </c>
      <c r="E40" s="11">
        <v>0</v>
      </c>
      <c r="F40" s="12">
        <v>84</v>
      </c>
      <c r="G40" s="11">
        <v>0</v>
      </c>
      <c r="H40" s="11">
        <v>0.71399999999999997</v>
      </c>
      <c r="I40" s="10">
        <v>300000</v>
      </c>
      <c r="J40" s="12" t="s">
        <v>292</v>
      </c>
      <c r="K40" s="12">
        <v>60</v>
      </c>
      <c r="L40" s="12" t="s">
        <v>292</v>
      </c>
      <c r="M40" s="10">
        <v>5007120664</v>
      </c>
      <c r="N40" s="10">
        <v>563054</v>
      </c>
      <c r="O40" s="12">
        <v>55</v>
      </c>
    </row>
    <row r="41" spans="1:15" ht="15" customHeight="1" x14ac:dyDescent="0.3">
      <c r="A41" s="9">
        <v>43573</v>
      </c>
      <c r="B41" s="12">
        <v>1</v>
      </c>
      <c r="C41" s="11">
        <v>0</v>
      </c>
      <c r="D41" s="12">
        <v>1</v>
      </c>
      <c r="E41" s="11">
        <v>0</v>
      </c>
      <c r="F41" s="12">
        <v>84</v>
      </c>
      <c r="G41" s="11">
        <v>0</v>
      </c>
      <c r="H41" s="11">
        <v>0.71399999999999997</v>
      </c>
      <c r="I41" s="10">
        <v>300000</v>
      </c>
      <c r="J41" s="12" t="s">
        <v>292</v>
      </c>
      <c r="K41" s="12">
        <v>60</v>
      </c>
      <c r="L41" s="12" t="s">
        <v>292</v>
      </c>
      <c r="M41" s="10">
        <v>5007420664</v>
      </c>
      <c r="N41" s="10">
        <v>563114</v>
      </c>
      <c r="O41" s="12">
        <v>63</v>
      </c>
    </row>
    <row r="42" spans="1:15" ht="15" customHeight="1" x14ac:dyDescent="0.3"/>
    <row r="43" spans="1:15" ht="15" customHeight="1" x14ac:dyDescent="0.3"/>
    <row r="44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A03D-9F6C-4221-AEAB-100EA416F2A6}">
  <dimension ref="A1:O31"/>
  <sheetViews>
    <sheetView showGridLines="0" workbookViewId="0">
      <selection activeCell="A5" sqref="A5:O6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4698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43544</v>
      </c>
      <c r="B5" s="12">
        <v>833</v>
      </c>
      <c r="C5" s="11">
        <v>0.157</v>
      </c>
      <c r="D5" s="10">
        <v>3059</v>
      </c>
      <c r="E5" s="11">
        <v>0.183</v>
      </c>
      <c r="F5" s="10">
        <v>435573</v>
      </c>
      <c r="G5" s="11">
        <v>0.16500000000000001</v>
      </c>
      <c r="H5" s="11">
        <v>7.5999999999999998E-2</v>
      </c>
      <c r="I5" s="10">
        <v>270162120</v>
      </c>
      <c r="J5" s="12" t="s">
        <v>4699</v>
      </c>
      <c r="K5" s="10">
        <v>33072</v>
      </c>
      <c r="L5" s="12" t="s">
        <v>4700</v>
      </c>
      <c r="M5" s="10">
        <v>297917120</v>
      </c>
      <c r="N5" s="10">
        <v>36155</v>
      </c>
      <c r="O5" s="12">
        <v>3</v>
      </c>
    </row>
    <row r="6" spans="1:15" ht="15" customHeight="1" x14ac:dyDescent="0.3">
      <c r="A6" s="9">
        <v>43545</v>
      </c>
      <c r="B6" s="12">
        <v>807</v>
      </c>
      <c r="C6" s="11">
        <v>0.154</v>
      </c>
      <c r="D6" s="10">
        <v>3106</v>
      </c>
      <c r="E6" s="11">
        <v>0.17899999999999999</v>
      </c>
      <c r="F6" s="10">
        <v>441029</v>
      </c>
      <c r="G6" s="11">
        <v>0.16</v>
      </c>
      <c r="H6" s="11">
        <v>6.6000000000000003E-2</v>
      </c>
      <c r="I6" s="10">
        <v>237173250</v>
      </c>
      <c r="J6" s="12" t="s">
        <v>4701</v>
      </c>
      <c r="K6" s="10">
        <v>29275</v>
      </c>
      <c r="L6" s="12" t="s">
        <v>4702</v>
      </c>
      <c r="M6" s="10">
        <v>535090370</v>
      </c>
      <c r="N6" s="10">
        <v>65430</v>
      </c>
      <c r="O6" s="12">
        <v>3</v>
      </c>
    </row>
    <row r="7" spans="1:15" ht="15" customHeight="1" x14ac:dyDescent="0.3">
      <c r="A7" s="9">
        <v>43546</v>
      </c>
      <c r="B7" s="12">
        <v>772</v>
      </c>
      <c r="C7" s="11">
        <v>0.14599999999999999</v>
      </c>
      <c r="D7" s="10">
        <v>2910</v>
      </c>
      <c r="E7" s="11">
        <v>0.16400000000000001</v>
      </c>
      <c r="F7" s="10">
        <v>404993</v>
      </c>
      <c r="G7" s="11">
        <v>0.14399999999999999</v>
      </c>
      <c r="H7" s="11">
        <v>6.8000000000000005E-2</v>
      </c>
      <c r="I7" s="10">
        <v>247429553</v>
      </c>
      <c r="J7" s="12" t="s">
        <v>4703</v>
      </c>
      <c r="K7" s="10">
        <v>27478</v>
      </c>
      <c r="L7" s="12" t="s">
        <v>4704</v>
      </c>
      <c r="M7" s="10">
        <v>782519923</v>
      </c>
      <c r="N7" s="10">
        <v>92908</v>
      </c>
      <c r="O7" s="12">
        <v>3</v>
      </c>
    </row>
    <row r="8" spans="1:15" ht="15" customHeight="1" x14ac:dyDescent="0.3">
      <c r="A8" s="9">
        <v>43547</v>
      </c>
      <c r="B8" s="12">
        <v>731</v>
      </c>
      <c r="C8" s="11">
        <v>0.128</v>
      </c>
      <c r="D8" s="10">
        <v>2676</v>
      </c>
      <c r="E8" s="11">
        <v>0.14000000000000001</v>
      </c>
      <c r="F8" s="10">
        <v>371977</v>
      </c>
      <c r="G8" s="11">
        <v>0.125</v>
      </c>
      <c r="H8" s="11">
        <v>0.13500000000000001</v>
      </c>
      <c r="I8" s="10">
        <v>459773175</v>
      </c>
      <c r="J8" s="12" t="s">
        <v>4705</v>
      </c>
      <c r="K8" s="10">
        <v>50107</v>
      </c>
      <c r="L8" s="12" t="s">
        <v>4706</v>
      </c>
      <c r="M8" s="10">
        <v>1242293098</v>
      </c>
      <c r="N8" s="10">
        <v>143015</v>
      </c>
      <c r="O8" s="12">
        <v>3</v>
      </c>
    </row>
    <row r="9" spans="1:15" ht="15" customHeight="1" x14ac:dyDescent="0.3">
      <c r="A9" s="9">
        <v>43548</v>
      </c>
      <c r="B9" s="12">
        <v>718</v>
      </c>
      <c r="C9" s="11">
        <v>0.125</v>
      </c>
      <c r="D9" s="10">
        <v>2513</v>
      </c>
      <c r="E9" s="11">
        <v>0.13500000000000001</v>
      </c>
      <c r="F9" s="10">
        <v>349897</v>
      </c>
      <c r="G9" s="11">
        <v>0.12</v>
      </c>
      <c r="H9" s="11">
        <v>0.13300000000000001</v>
      </c>
      <c r="I9" s="10">
        <v>427941590</v>
      </c>
      <c r="J9" s="12" t="s">
        <v>4707</v>
      </c>
      <c r="K9" s="10">
        <v>46589</v>
      </c>
      <c r="L9" s="12" t="s">
        <v>4708</v>
      </c>
      <c r="M9" s="10">
        <v>1670234688</v>
      </c>
      <c r="N9" s="10">
        <v>189604</v>
      </c>
      <c r="O9" s="12">
        <v>3</v>
      </c>
    </row>
    <row r="10" spans="1:15" ht="15" customHeight="1" x14ac:dyDescent="0.3">
      <c r="A10" s="9">
        <v>43549</v>
      </c>
      <c r="B10" s="12">
        <v>687</v>
      </c>
      <c r="C10" s="11">
        <v>0.14000000000000001</v>
      </c>
      <c r="D10" s="10">
        <v>2381</v>
      </c>
      <c r="E10" s="11">
        <v>0.14099999999999999</v>
      </c>
      <c r="F10" s="10">
        <v>320093</v>
      </c>
      <c r="G10" s="11">
        <v>0.11899999999999999</v>
      </c>
      <c r="H10" s="11">
        <v>5.8000000000000003E-2</v>
      </c>
      <c r="I10" s="10">
        <v>153190910</v>
      </c>
      <c r="J10" s="12" t="s">
        <v>4709</v>
      </c>
      <c r="K10" s="10">
        <v>18692</v>
      </c>
      <c r="L10" s="12" t="s">
        <v>4710</v>
      </c>
      <c r="M10" s="10">
        <v>1823425598</v>
      </c>
      <c r="N10" s="10">
        <v>208296</v>
      </c>
      <c r="O10" s="12">
        <v>3</v>
      </c>
    </row>
    <row r="11" spans="1:15" ht="15" customHeight="1" x14ac:dyDescent="0.3">
      <c r="A11" s="9">
        <v>43550</v>
      </c>
      <c r="B11" s="12">
        <v>691</v>
      </c>
      <c r="C11" s="11">
        <v>0.13600000000000001</v>
      </c>
      <c r="D11" s="10">
        <v>2345</v>
      </c>
      <c r="E11" s="11">
        <v>0.14000000000000001</v>
      </c>
      <c r="F11" s="10">
        <v>314805</v>
      </c>
      <c r="G11" s="11">
        <v>0.11700000000000001</v>
      </c>
      <c r="H11" s="11">
        <v>5.2999999999999999E-2</v>
      </c>
      <c r="I11" s="10">
        <v>135373220</v>
      </c>
      <c r="J11" s="12" t="s">
        <v>4711</v>
      </c>
      <c r="K11" s="10">
        <v>16565</v>
      </c>
      <c r="L11" s="12" t="s">
        <v>4712</v>
      </c>
      <c r="M11" s="10">
        <v>1958798818</v>
      </c>
      <c r="N11" s="10">
        <v>224861</v>
      </c>
      <c r="O11" s="12">
        <v>3</v>
      </c>
    </row>
    <row r="12" spans="1:15" ht="15" customHeight="1" x14ac:dyDescent="0.3">
      <c r="A12" s="9">
        <v>43551</v>
      </c>
      <c r="B12" s="12">
        <v>444</v>
      </c>
      <c r="C12" s="11">
        <v>7.0999999999999994E-2</v>
      </c>
      <c r="D12" s="12">
        <v>749</v>
      </c>
      <c r="E12" s="11">
        <v>4.2000000000000003E-2</v>
      </c>
      <c r="F12" s="10">
        <v>91400</v>
      </c>
      <c r="G12" s="11">
        <v>3.2000000000000001E-2</v>
      </c>
      <c r="H12" s="11">
        <v>8.8999999999999996E-2</v>
      </c>
      <c r="I12" s="10">
        <v>51673220</v>
      </c>
      <c r="J12" s="12" t="s">
        <v>4713</v>
      </c>
      <c r="K12" s="10">
        <v>8176</v>
      </c>
      <c r="L12" s="12" t="s">
        <v>4714</v>
      </c>
      <c r="M12" s="10">
        <v>2010472038</v>
      </c>
      <c r="N12" s="10">
        <v>233037</v>
      </c>
      <c r="O12" s="12">
        <v>6</v>
      </c>
    </row>
    <row r="13" spans="1:15" ht="15" customHeight="1" x14ac:dyDescent="0.3">
      <c r="A13" s="9">
        <v>43552</v>
      </c>
      <c r="B13" s="12">
        <v>355</v>
      </c>
      <c r="C13" s="11">
        <v>0.06</v>
      </c>
      <c r="D13" s="12">
        <v>598</v>
      </c>
      <c r="E13" s="11">
        <v>3.4000000000000002E-2</v>
      </c>
      <c r="F13" s="10">
        <v>70901</v>
      </c>
      <c r="G13" s="11">
        <v>2.5000000000000001E-2</v>
      </c>
      <c r="H13" s="11">
        <v>5.8000000000000003E-2</v>
      </c>
      <c r="I13" s="10">
        <v>32722990</v>
      </c>
      <c r="J13" s="12" t="s">
        <v>4715</v>
      </c>
      <c r="K13" s="10">
        <v>4120</v>
      </c>
      <c r="L13" s="12" t="s">
        <v>4716</v>
      </c>
      <c r="M13" s="10">
        <v>2043195028</v>
      </c>
      <c r="N13" s="10">
        <v>237157</v>
      </c>
      <c r="O13" s="12">
        <v>7</v>
      </c>
    </row>
    <row r="14" spans="1:15" ht="15" customHeight="1" x14ac:dyDescent="0.3">
      <c r="A14" s="9">
        <v>43553</v>
      </c>
      <c r="B14" s="12">
        <v>346</v>
      </c>
      <c r="C14" s="11">
        <v>5.8999999999999997E-2</v>
      </c>
      <c r="D14" s="12">
        <v>556</v>
      </c>
      <c r="E14" s="11">
        <v>3.1E-2</v>
      </c>
      <c r="F14" s="10">
        <v>63839</v>
      </c>
      <c r="G14" s="11">
        <v>2.1999999999999999E-2</v>
      </c>
      <c r="H14" s="11">
        <v>6.4000000000000001E-2</v>
      </c>
      <c r="I14" s="10">
        <v>35221050</v>
      </c>
      <c r="J14" s="12" t="s">
        <v>4717</v>
      </c>
      <c r="K14" s="10">
        <v>4063</v>
      </c>
      <c r="L14" s="12" t="s">
        <v>4718</v>
      </c>
      <c r="M14" s="10">
        <v>2078416078</v>
      </c>
      <c r="N14" s="10">
        <v>241220</v>
      </c>
      <c r="O14" s="12">
        <v>6</v>
      </c>
    </row>
    <row r="15" spans="1:15" ht="15" customHeight="1" x14ac:dyDescent="0.3">
      <c r="A15" s="9">
        <v>43554</v>
      </c>
      <c r="B15" s="12">
        <v>301</v>
      </c>
      <c r="C15" s="11">
        <v>4.8000000000000001E-2</v>
      </c>
      <c r="D15" s="12">
        <v>458</v>
      </c>
      <c r="E15" s="11">
        <v>2.3E-2</v>
      </c>
      <c r="F15" s="10">
        <v>51123</v>
      </c>
      <c r="G15" s="11">
        <v>1.7000000000000001E-2</v>
      </c>
      <c r="H15" s="11">
        <v>0.13400000000000001</v>
      </c>
      <c r="I15" s="10">
        <v>60603610</v>
      </c>
      <c r="J15" s="12" t="s">
        <v>4719</v>
      </c>
      <c r="K15" s="10">
        <v>6852</v>
      </c>
      <c r="L15" s="12" t="s">
        <v>4720</v>
      </c>
      <c r="M15" s="10">
        <v>2139019688</v>
      </c>
      <c r="N15" s="10">
        <v>248072</v>
      </c>
      <c r="O15" s="12">
        <v>6</v>
      </c>
    </row>
    <row r="16" spans="1:15" ht="15" customHeight="1" x14ac:dyDescent="0.3">
      <c r="A16" s="9">
        <v>43555</v>
      </c>
      <c r="B16" s="12">
        <v>290</v>
      </c>
      <c r="C16" s="11">
        <v>4.5999999999999999E-2</v>
      </c>
      <c r="D16" s="12">
        <v>423</v>
      </c>
      <c r="E16" s="11">
        <v>2.1999999999999999E-2</v>
      </c>
      <c r="F16" s="10">
        <v>47274</v>
      </c>
      <c r="G16" s="11">
        <v>1.6E-2</v>
      </c>
      <c r="H16" s="11">
        <v>0.13500000000000001</v>
      </c>
      <c r="I16" s="10">
        <v>56236110</v>
      </c>
      <c r="J16" s="12" t="s">
        <v>4721</v>
      </c>
      <c r="K16" s="10">
        <v>6379</v>
      </c>
      <c r="L16" s="12" t="s">
        <v>4722</v>
      </c>
      <c r="M16" s="10">
        <v>2195255798</v>
      </c>
      <c r="N16" s="10">
        <v>254451</v>
      </c>
      <c r="O16" s="12">
        <v>6</v>
      </c>
    </row>
    <row r="17" spans="1:15" ht="15" customHeight="1" x14ac:dyDescent="0.3">
      <c r="A17" s="9">
        <v>43556</v>
      </c>
      <c r="B17" s="12">
        <v>305</v>
      </c>
      <c r="C17" s="11">
        <v>5.5E-2</v>
      </c>
      <c r="D17" s="12">
        <v>461</v>
      </c>
      <c r="E17" s="11">
        <v>2.7E-2</v>
      </c>
      <c r="F17" s="10">
        <v>53106</v>
      </c>
      <c r="G17" s="11">
        <v>1.9E-2</v>
      </c>
      <c r="H17" s="11">
        <v>5.8000000000000003E-2</v>
      </c>
      <c r="I17" s="10">
        <v>23995780</v>
      </c>
      <c r="J17" s="12" t="s">
        <v>4723</v>
      </c>
      <c r="K17" s="10">
        <v>3091</v>
      </c>
      <c r="L17" s="12" t="s">
        <v>4724</v>
      </c>
      <c r="M17" s="10">
        <v>2219251578</v>
      </c>
      <c r="N17" s="10">
        <v>257542</v>
      </c>
      <c r="O17" s="12">
        <v>6</v>
      </c>
    </row>
    <row r="18" spans="1:15" ht="15" customHeight="1" x14ac:dyDescent="0.3">
      <c r="A18" s="9">
        <v>43557</v>
      </c>
      <c r="B18" s="12">
        <v>291</v>
      </c>
      <c r="C18" s="11">
        <v>5.2999999999999999E-2</v>
      </c>
      <c r="D18" s="12">
        <v>440</v>
      </c>
      <c r="E18" s="11">
        <v>2.5999999999999999E-2</v>
      </c>
      <c r="F18" s="10">
        <v>50164</v>
      </c>
      <c r="G18" s="11">
        <v>1.9E-2</v>
      </c>
      <c r="H18" s="11">
        <v>5.1999999999999998E-2</v>
      </c>
      <c r="I18" s="10">
        <v>19908900</v>
      </c>
      <c r="J18" s="12" t="s">
        <v>4725</v>
      </c>
      <c r="K18" s="10">
        <v>2596</v>
      </c>
      <c r="L18" s="12" t="s">
        <v>4726</v>
      </c>
      <c r="M18" s="10">
        <v>2239160478</v>
      </c>
      <c r="N18" s="10">
        <v>260138</v>
      </c>
      <c r="O18" s="12">
        <v>8</v>
      </c>
    </row>
    <row r="19" spans="1:15" ht="15" customHeight="1" x14ac:dyDescent="0.3">
      <c r="A19" s="9">
        <v>43558</v>
      </c>
      <c r="B19" s="12">
        <v>17</v>
      </c>
      <c r="C19" s="11">
        <v>3.0000000000000001E-3</v>
      </c>
      <c r="D19" s="12">
        <v>21</v>
      </c>
      <c r="E19" s="11">
        <v>1E-3</v>
      </c>
      <c r="F19" s="10">
        <v>1984</v>
      </c>
      <c r="G19" s="11">
        <v>1E-3</v>
      </c>
      <c r="H19" s="11">
        <v>0.126</v>
      </c>
      <c r="I19" s="10">
        <v>1760300</v>
      </c>
      <c r="J19" s="12" t="s">
        <v>4727</v>
      </c>
      <c r="K19" s="12">
        <v>249</v>
      </c>
      <c r="L19" s="12" t="s">
        <v>4728</v>
      </c>
      <c r="M19" s="10">
        <v>2240920778</v>
      </c>
      <c r="N19" s="10">
        <v>260387</v>
      </c>
      <c r="O19" s="12">
        <v>22</v>
      </c>
    </row>
    <row r="20" spans="1:15" ht="15" customHeight="1" x14ac:dyDescent="0.3">
      <c r="A20" s="9">
        <v>43559</v>
      </c>
      <c r="B20" s="12">
        <v>13</v>
      </c>
      <c r="C20" s="11">
        <v>2E-3</v>
      </c>
      <c r="D20" s="12">
        <v>14</v>
      </c>
      <c r="E20" s="11">
        <v>1E-3</v>
      </c>
      <c r="F20" s="10">
        <v>1432</v>
      </c>
      <c r="G20" s="11">
        <v>1E-3</v>
      </c>
      <c r="H20" s="11">
        <v>0.121</v>
      </c>
      <c r="I20" s="10">
        <v>1319000</v>
      </c>
      <c r="J20" s="12" t="s">
        <v>4729</v>
      </c>
      <c r="K20" s="12">
        <v>173</v>
      </c>
      <c r="L20" s="12" t="s">
        <v>4730</v>
      </c>
      <c r="M20" s="10">
        <v>2242239778</v>
      </c>
      <c r="N20" s="10">
        <v>260560</v>
      </c>
      <c r="O20" s="12">
        <v>31</v>
      </c>
    </row>
    <row r="21" spans="1:15" ht="15" customHeight="1" x14ac:dyDescent="0.3">
      <c r="A21" s="9">
        <v>43560</v>
      </c>
      <c r="B21" s="12">
        <v>13</v>
      </c>
      <c r="C21" s="11">
        <v>2E-3</v>
      </c>
      <c r="D21" s="12">
        <v>13</v>
      </c>
      <c r="E21" s="11">
        <v>1E-3</v>
      </c>
      <c r="F21" s="10">
        <v>1302</v>
      </c>
      <c r="G21" s="11">
        <v>0</v>
      </c>
      <c r="H21" s="11">
        <v>9.7000000000000003E-2</v>
      </c>
      <c r="I21" s="10">
        <v>1118800</v>
      </c>
      <c r="J21" s="12" t="s">
        <v>4731</v>
      </c>
      <c r="K21" s="12">
        <v>126</v>
      </c>
      <c r="L21" s="12" t="s">
        <v>4732</v>
      </c>
      <c r="M21" s="10">
        <v>2243358578</v>
      </c>
      <c r="N21" s="10">
        <v>260686</v>
      </c>
      <c r="O21" s="12">
        <v>39</v>
      </c>
    </row>
    <row r="22" spans="1:15" ht="15" customHeight="1" x14ac:dyDescent="0.3">
      <c r="A22" s="9">
        <v>43561</v>
      </c>
      <c r="B22" s="12">
        <v>10</v>
      </c>
      <c r="C22" s="11">
        <v>2E-3</v>
      </c>
      <c r="D22" s="12">
        <v>10</v>
      </c>
      <c r="E22" s="11">
        <v>1E-3</v>
      </c>
      <c r="F22" s="10">
        <v>1018</v>
      </c>
      <c r="G22" s="11">
        <v>0</v>
      </c>
      <c r="H22" s="11">
        <v>0.155</v>
      </c>
      <c r="I22" s="10">
        <v>1372300</v>
      </c>
      <c r="J22" s="12" t="s">
        <v>4733</v>
      </c>
      <c r="K22" s="12">
        <v>158</v>
      </c>
      <c r="L22" s="12" t="s">
        <v>4734</v>
      </c>
      <c r="M22" s="10">
        <v>2244730878</v>
      </c>
      <c r="N22" s="10">
        <v>260844</v>
      </c>
      <c r="O22" s="12">
        <v>36</v>
      </c>
    </row>
    <row r="23" spans="1:15" ht="15" customHeight="1" x14ac:dyDescent="0.3">
      <c r="A23" s="9">
        <v>43562</v>
      </c>
      <c r="B23" s="12">
        <v>9</v>
      </c>
      <c r="C23" s="11">
        <v>1E-3</v>
      </c>
      <c r="D23" s="12">
        <v>10</v>
      </c>
      <c r="E23" s="11">
        <v>1E-3</v>
      </c>
      <c r="F23" s="12">
        <v>934</v>
      </c>
      <c r="G23" s="11">
        <v>0</v>
      </c>
      <c r="H23" s="11">
        <v>0.157</v>
      </c>
      <c r="I23" s="10">
        <v>1206000</v>
      </c>
      <c r="J23" s="12" t="s">
        <v>4735</v>
      </c>
      <c r="K23" s="12">
        <v>147</v>
      </c>
      <c r="L23" s="12" t="s">
        <v>4736</v>
      </c>
      <c r="M23" s="10">
        <v>2245936878</v>
      </c>
      <c r="N23" s="10">
        <v>260991</v>
      </c>
      <c r="O23" s="12">
        <v>30</v>
      </c>
    </row>
    <row r="24" spans="1:15" ht="15" customHeight="1" x14ac:dyDescent="0.3">
      <c r="A24" s="9">
        <v>43563</v>
      </c>
      <c r="B24" s="12">
        <v>10</v>
      </c>
      <c r="C24" s="11">
        <v>2E-3</v>
      </c>
      <c r="D24" s="12">
        <v>12</v>
      </c>
      <c r="E24" s="11">
        <v>1E-3</v>
      </c>
      <c r="F24" s="10">
        <v>1351</v>
      </c>
      <c r="G24" s="11">
        <v>1E-3</v>
      </c>
      <c r="H24" s="11">
        <v>8.5999999999999993E-2</v>
      </c>
      <c r="I24" s="10">
        <v>861100</v>
      </c>
      <c r="J24" s="12" t="s">
        <v>4737</v>
      </c>
      <c r="K24" s="12">
        <v>116</v>
      </c>
      <c r="L24" s="12" t="s">
        <v>4738</v>
      </c>
      <c r="M24" s="10">
        <v>2246797978</v>
      </c>
      <c r="N24" s="10">
        <v>261107</v>
      </c>
      <c r="O24" s="12">
        <v>31</v>
      </c>
    </row>
    <row r="25" spans="1:15" ht="15" customHeight="1" x14ac:dyDescent="0.3">
      <c r="A25" s="9">
        <v>43564</v>
      </c>
      <c r="B25" s="12">
        <v>9</v>
      </c>
      <c r="C25" s="11">
        <v>2E-3</v>
      </c>
      <c r="D25" s="12">
        <v>10</v>
      </c>
      <c r="E25" s="11">
        <v>1E-3</v>
      </c>
      <c r="F25" s="10">
        <v>1043</v>
      </c>
      <c r="G25" s="11">
        <v>0</v>
      </c>
      <c r="H25" s="11">
        <v>8.1000000000000003E-2</v>
      </c>
      <c r="I25" s="10">
        <v>608500</v>
      </c>
      <c r="J25" s="12" t="s">
        <v>4739</v>
      </c>
      <c r="K25" s="12">
        <v>85</v>
      </c>
      <c r="L25" s="12" t="s">
        <v>4740</v>
      </c>
      <c r="M25" s="10">
        <v>2247406478</v>
      </c>
      <c r="N25" s="10">
        <v>261192</v>
      </c>
      <c r="O25" s="12">
        <v>46</v>
      </c>
    </row>
    <row r="26" spans="1:15" ht="15" customHeight="1" x14ac:dyDescent="0.3">
      <c r="A26" s="9">
        <v>43565</v>
      </c>
      <c r="B26" s="12">
        <v>3</v>
      </c>
      <c r="C26" s="11">
        <v>1E-3</v>
      </c>
      <c r="D26" s="12">
        <v>4</v>
      </c>
      <c r="E26" s="11">
        <v>0</v>
      </c>
      <c r="F26" s="12">
        <v>388</v>
      </c>
      <c r="G26" s="11">
        <v>0</v>
      </c>
      <c r="H26" s="11">
        <v>0.14399999999999999</v>
      </c>
      <c r="I26" s="10">
        <v>447000</v>
      </c>
      <c r="J26" s="12" t="s">
        <v>4741</v>
      </c>
      <c r="K26" s="12">
        <v>56</v>
      </c>
      <c r="L26" s="12" t="s">
        <v>4742</v>
      </c>
      <c r="M26" s="10">
        <v>2247853478</v>
      </c>
      <c r="N26" s="10">
        <v>261248</v>
      </c>
      <c r="O26" s="12">
        <v>49</v>
      </c>
    </row>
    <row r="27" spans="1:15" ht="15" customHeight="1" x14ac:dyDescent="0.3">
      <c r="A27" s="9">
        <v>43572</v>
      </c>
      <c r="B27" s="12">
        <v>3</v>
      </c>
      <c r="C27" s="11">
        <v>1E-3</v>
      </c>
      <c r="D27" s="12">
        <v>3</v>
      </c>
      <c r="E27" s="11">
        <v>0</v>
      </c>
      <c r="F27" s="12">
        <v>934</v>
      </c>
      <c r="G27" s="11">
        <v>0</v>
      </c>
      <c r="H27" s="11">
        <v>0.97399999999999998</v>
      </c>
      <c r="I27" s="10">
        <v>8190000</v>
      </c>
      <c r="J27" s="12" t="s">
        <v>4743</v>
      </c>
      <c r="K27" s="12">
        <v>910</v>
      </c>
      <c r="L27" s="12" t="s">
        <v>4744</v>
      </c>
      <c r="M27" s="10">
        <v>2256043478</v>
      </c>
      <c r="N27" s="10">
        <v>262158</v>
      </c>
      <c r="O27" s="12">
        <v>19</v>
      </c>
    </row>
    <row r="28" spans="1:15" ht="15" customHeight="1" x14ac:dyDescent="0.3">
      <c r="A28" s="9">
        <v>43573</v>
      </c>
      <c r="B28" s="12">
        <v>2</v>
      </c>
      <c r="C28" s="11">
        <v>0</v>
      </c>
      <c r="D28" s="12">
        <v>2</v>
      </c>
      <c r="E28" s="11">
        <v>0</v>
      </c>
      <c r="F28" s="12">
        <v>250</v>
      </c>
      <c r="G28" s="11">
        <v>0</v>
      </c>
      <c r="H28" s="11">
        <v>0.19600000000000001</v>
      </c>
      <c r="I28" s="10">
        <v>364800</v>
      </c>
      <c r="J28" s="12" t="s">
        <v>4745</v>
      </c>
      <c r="K28" s="12">
        <v>49</v>
      </c>
      <c r="L28" s="12" t="s">
        <v>4746</v>
      </c>
      <c r="M28" s="10">
        <v>2256408278</v>
      </c>
      <c r="N28" s="10">
        <v>262207</v>
      </c>
      <c r="O28" s="12">
        <v>65</v>
      </c>
    </row>
    <row r="29" spans="1:15" ht="15" customHeight="1" x14ac:dyDescent="0.3">
      <c r="A29" s="9">
        <v>43577</v>
      </c>
      <c r="B29" s="12">
        <v>2</v>
      </c>
      <c r="C29" s="11">
        <v>0</v>
      </c>
      <c r="D29" s="12">
        <v>2</v>
      </c>
      <c r="E29" s="11">
        <v>0</v>
      </c>
      <c r="F29" s="12">
        <v>250</v>
      </c>
      <c r="G29" s="11">
        <v>0</v>
      </c>
      <c r="H29" s="11">
        <v>0.112</v>
      </c>
      <c r="I29" s="10">
        <v>217000</v>
      </c>
      <c r="J29" s="12" t="s">
        <v>4747</v>
      </c>
      <c r="K29" s="12">
        <v>28</v>
      </c>
      <c r="L29" s="12" t="s">
        <v>4748</v>
      </c>
      <c r="M29" s="10">
        <v>2256625278</v>
      </c>
      <c r="N29" s="10">
        <v>262235</v>
      </c>
      <c r="O29" s="12">
        <v>58</v>
      </c>
    </row>
    <row r="30" spans="1:15" ht="15" customHeight="1" x14ac:dyDescent="0.3"/>
    <row r="31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5CBB-E6A6-4EA5-8809-350E8417F8E4}">
  <dimension ref="A1:O43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9.2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4624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43551</v>
      </c>
      <c r="B5" s="12">
        <v>569</v>
      </c>
      <c r="C5" s="11">
        <v>9.0999999999999998E-2</v>
      </c>
      <c r="D5" s="10">
        <v>1077</v>
      </c>
      <c r="E5" s="11">
        <v>0.06</v>
      </c>
      <c r="F5" s="10">
        <v>151772</v>
      </c>
      <c r="G5" s="11">
        <v>5.2999999999999999E-2</v>
      </c>
      <c r="H5" s="11">
        <v>0.16400000000000001</v>
      </c>
      <c r="I5" s="10">
        <v>143508030</v>
      </c>
      <c r="J5" s="12" t="s">
        <v>4625</v>
      </c>
      <c r="K5" s="10">
        <v>24835</v>
      </c>
      <c r="L5" s="12" t="s">
        <v>4626</v>
      </c>
      <c r="M5" s="10">
        <v>145236030</v>
      </c>
      <c r="N5" s="10">
        <v>25027</v>
      </c>
      <c r="O5" s="12">
        <v>5</v>
      </c>
    </row>
    <row r="6" spans="1:15" ht="15" customHeight="1" x14ac:dyDescent="0.3">
      <c r="A6" s="9">
        <v>43552</v>
      </c>
      <c r="B6" s="12">
        <v>564</v>
      </c>
      <c r="C6" s="11">
        <v>9.6000000000000002E-2</v>
      </c>
      <c r="D6" s="10">
        <v>1660</v>
      </c>
      <c r="E6" s="11">
        <v>9.4E-2</v>
      </c>
      <c r="F6" s="10">
        <v>240841</v>
      </c>
      <c r="G6" s="11">
        <v>8.5999999999999993E-2</v>
      </c>
      <c r="H6" s="11">
        <v>0.05</v>
      </c>
      <c r="I6" s="10">
        <v>96581130</v>
      </c>
      <c r="J6" s="12" t="s">
        <v>4627</v>
      </c>
      <c r="K6" s="10">
        <v>11990</v>
      </c>
      <c r="L6" s="12" t="s">
        <v>4628</v>
      </c>
      <c r="M6" s="10">
        <v>241817160</v>
      </c>
      <c r="N6" s="10">
        <v>37017</v>
      </c>
      <c r="O6" s="12">
        <v>5</v>
      </c>
    </row>
    <row r="7" spans="1:15" ht="15" customHeight="1" x14ac:dyDescent="0.3">
      <c r="A7" s="9">
        <v>43553</v>
      </c>
      <c r="B7" s="12">
        <v>595</v>
      </c>
      <c r="C7" s="11">
        <v>0.10199999999999999</v>
      </c>
      <c r="D7" s="10">
        <v>1700</v>
      </c>
      <c r="E7" s="11">
        <v>9.2999999999999999E-2</v>
      </c>
      <c r="F7" s="10">
        <v>244911</v>
      </c>
      <c r="G7" s="11">
        <v>8.5000000000000006E-2</v>
      </c>
      <c r="H7" s="11">
        <v>6.8000000000000005E-2</v>
      </c>
      <c r="I7" s="10">
        <v>146237293</v>
      </c>
      <c r="J7" s="12" t="s">
        <v>4629</v>
      </c>
      <c r="K7" s="10">
        <v>16537</v>
      </c>
      <c r="L7" s="12" t="s">
        <v>4630</v>
      </c>
      <c r="M7" s="10">
        <v>388054453</v>
      </c>
      <c r="N7" s="10">
        <v>53554</v>
      </c>
      <c r="O7" s="12">
        <v>5</v>
      </c>
    </row>
    <row r="8" spans="1:15" ht="15" customHeight="1" x14ac:dyDescent="0.3">
      <c r="A8" s="9">
        <v>43554</v>
      </c>
      <c r="B8" s="12">
        <v>761</v>
      </c>
      <c r="C8" s="11">
        <v>0.121</v>
      </c>
      <c r="D8" s="10">
        <v>2200</v>
      </c>
      <c r="E8" s="11">
        <v>0.112</v>
      </c>
      <c r="F8" s="10">
        <v>303683</v>
      </c>
      <c r="G8" s="11">
        <v>9.9000000000000005E-2</v>
      </c>
      <c r="H8" s="11">
        <v>0.25900000000000001</v>
      </c>
      <c r="I8" s="10">
        <v>660853559</v>
      </c>
      <c r="J8" s="12" t="s">
        <v>4631</v>
      </c>
      <c r="K8" s="10">
        <v>78695</v>
      </c>
      <c r="L8" s="12" t="s">
        <v>4632</v>
      </c>
      <c r="M8" s="10">
        <v>1048908012</v>
      </c>
      <c r="N8" s="10">
        <v>132249</v>
      </c>
      <c r="O8" s="12">
        <v>3</v>
      </c>
    </row>
    <row r="9" spans="1:15" ht="15" customHeight="1" x14ac:dyDescent="0.3">
      <c r="A9" s="9">
        <v>43555</v>
      </c>
      <c r="B9" s="12">
        <v>797</v>
      </c>
      <c r="C9" s="11">
        <v>0.127</v>
      </c>
      <c r="D9" s="10">
        <v>2198</v>
      </c>
      <c r="E9" s="11">
        <v>0.115</v>
      </c>
      <c r="F9" s="10">
        <v>303844</v>
      </c>
      <c r="G9" s="11">
        <v>0.10199999999999999</v>
      </c>
      <c r="H9" s="11">
        <v>0.26500000000000001</v>
      </c>
      <c r="I9" s="10">
        <v>668060240</v>
      </c>
      <c r="J9" s="12" t="s">
        <v>4633</v>
      </c>
      <c r="K9" s="10">
        <v>80587</v>
      </c>
      <c r="L9" s="12" t="s">
        <v>4634</v>
      </c>
      <c r="M9" s="10">
        <v>1716968252</v>
      </c>
      <c r="N9" s="10">
        <v>212836</v>
      </c>
      <c r="O9" s="12">
        <v>3</v>
      </c>
    </row>
    <row r="10" spans="1:15" ht="15" customHeight="1" x14ac:dyDescent="0.3">
      <c r="A10" s="9">
        <v>43556</v>
      </c>
      <c r="B10" s="12">
        <v>565</v>
      </c>
      <c r="C10" s="11">
        <v>0.10199999999999999</v>
      </c>
      <c r="D10" s="10">
        <v>1504</v>
      </c>
      <c r="E10" s="11">
        <v>8.6999999999999994E-2</v>
      </c>
      <c r="F10" s="10">
        <v>215639</v>
      </c>
      <c r="G10" s="11">
        <v>7.9000000000000001E-2</v>
      </c>
      <c r="H10" s="11">
        <v>5.3999999999999999E-2</v>
      </c>
      <c r="I10" s="10">
        <v>91770550</v>
      </c>
      <c r="J10" s="12" t="s">
        <v>4635</v>
      </c>
      <c r="K10" s="10">
        <v>11698</v>
      </c>
      <c r="L10" s="12" t="s">
        <v>4636</v>
      </c>
      <c r="M10" s="10">
        <v>1808738802</v>
      </c>
      <c r="N10" s="10">
        <v>224534</v>
      </c>
      <c r="O10" s="12">
        <v>5</v>
      </c>
    </row>
    <row r="11" spans="1:15" ht="15" customHeight="1" x14ac:dyDescent="0.3">
      <c r="A11" s="9">
        <v>43557</v>
      </c>
      <c r="B11" s="12">
        <v>547</v>
      </c>
      <c r="C11" s="11">
        <v>9.9000000000000005E-2</v>
      </c>
      <c r="D11" s="10">
        <v>1381</v>
      </c>
      <c r="E11" s="11">
        <v>8.2000000000000003E-2</v>
      </c>
      <c r="F11" s="10">
        <v>198631</v>
      </c>
      <c r="G11" s="11">
        <v>7.3999999999999996E-2</v>
      </c>
      <c r="H11" s="11">
        <v>4.4999999999999998E-2</v>
      </c>
      <c r="I11" s="10">
        <v>72749740</v>
      </c>
      <c r="J11" s="12" t="s">
        <v>4637</v>
      </c>
      <c r="K11" s="10">
        <v>8960</v>
      </c>
      <c r="L11" s="12" t="s">
        <v>4638</v>
      </c>
      <c r="M11" s="10">
        <v>1881488542</v>
      </c>
      <c r="N11" s="10">
        <v>233494</v>
      </c>
      <c r="O11" s="12">
        <v>5</v>
      </c>
    </row>
    <row r="12" spans="1:15" ht="15" customHeight="1" x14ac:dyDescent="0.3">
      <c r="A12" s="9">
        <v>43558</v>
      </c>
      <c r="B12" s="12">
        <v>257</v>
      </c>
      <c r="C12" s="11">
        <v>4.8000000000000001E-2</v>
      </c>
      <c r="D12" s="12">
        <v>355</v>
      </c>
      <c r="E12" s="11">
        <v>2.1000000000000001E-2</v>
      </c>
      <c r="F12" s="10">
        <v>44760</v>
      </c>
      <c r="G12" s="11">
        <v>1.7000000000000001E-2</v>
      </c>
      <c r="H12" s="11">
        <v>6.4000000000000001E-2</v>
      </c>
      <c r="I12" s="10">
        <v>22696080</v>
      </c>
      <c r="J12" s="12" t="s">
        <v>4639</v>
      </c>
      <c r="K12" s="10">
        <v>2863</v>
      </c>
      <c r="L12" s="12" t="s">
        <v>4640</v>
      </c>
      <c r="M12" s="10">
        <v>1904184622</v>
      </c>
      <c r="N12" s="10">
        <v>236357</v>
      </c>
      <c r="O12" s="12">
        <v>8</v>
      </c>
    </row>
    <row r="13" spans="1:15" ht="15" customHeight="1" x14ac:dyDescent="0.3">
      <c r="A13" s="9">
        <v>43559</v>
      </c>
      <c r="B13" s="12">
        <v>248</v>
      </c>
      <c r="C13" s="11">
        <v>4.3999999999999997E-2</v>
      </c>
      <c r="D13" s="12">
        <v>327</v>
      </c>
      <c r="E13" s="11">
        <v>1.9E-2</v>
      </c>
      <c r="F13" s="10">
        <v>42211</v>
      </c>
      <c r="G13" s="11">
        <v>1.6E-2</v>
      </c>
      <c r="H13" s="11">
        <v>7.1999999999999995E-2</v>
      </c>
      <c r="I13" s="10">
        <v>22547720</v>
      </c>
      <c r="J13" s="12" t="s">
        <v>4641</v>
      </c>
      <c r="K13" s="10">
        <v>3036</v>
      </c>
      <c r="L13" s="12" t="s">
        <v>4642</v>
      </c>
      <c r="M13" s="10">
        <v>1926732342</v>
      </c>
      <c r="N13" s="10">
        <v>239393</v>
      </c>
      <c r="O13" s="12">
        <v>8</v>
      </c>
    </row>
    <row r="14" spans="1:15" ht="15" customHeight="1" x14ac:dyDescent="0.3">
      <c r="A14" s="9">
        <v>43560</v>
      </c>
      <c r="B14" s="12">
        <v>268</v>
      </c>
      <c r="C14" s="11">
        <v>4.5999999999999999E-2</v>
      </c>
      <c r="D14" s="12">
        <v>361</v>
      </c>
      <c r="E14" s="11">
        <v>2.1000000000000001E-2</v>
      </c>
      <c r="F14" s="10">
        <v>43669</v>
      </c>
      <c r="G14" s="11">
        <v>1.6E-2</v>
      </c>
      <c r="H14" s="11">
        <v>7.6999999999999999E-2</v>
      </c>
      <c r="I14" s="10">
        <v>27821330</v>
      </c>
      <c r="J14" s="12" t="s">
        <v>4643</v>
      </c>
      <c r="K14" s="10">
        <v>3380</v>
      </c>
      <c r="L14" s="12" t="s">
        <v>4644</v>
      </c>
      <c r="M14" s="10">
        <v>1954553672</v>
      </c>
      <c r="N14" s="10">
        <v>242773</v>
      </c>
      <c r="O14" s="12">
        <v>8</v>
      </c>
    </row>
    <row r="15" spans="1:15" ht="15" customHeight="1" x14ac:dyDescent="0.3">
      <c r="A15" s="9">
        <v>43561</v>
      </c>
      <c r="B15" s="12">
        <v>509</v>
      </c>
      <c r="C15" s="11">
        <v>8.1000000000000003E-2</v>
      </c>
      <c r="D15" s="12">
        <v>876</v>
      </c>
      <c r="E15" s="11">
        <v>4.5999999999999999E-2</v>
      </c>
      <c r="F15" s="10">
        <v>110645</v>
      </c>
      <c r="G15" s="11">
        <v>3.7999999999999999E-2</v>
      </c>
      <c r="H15" s="11">
        <v>0.24399999999999999</v>
      </c>
      <c r="I15" s="10">
        <v>219028530</v>
      </c>
      <c r="J15" s="12" t="s">
        <v>4645</v>
      </c>
      <c r="K15" s="10">
        <v>27043</v>
      </c>
      <c r="L15" s="12" t="s">
        <v>4646</v>
      </c>
      <c r="M15" s="10">
        <v>2173582202</v>
      </c>
      <c r="N15" s="10">
        <v>269816</v>
      </c>
      <c r="O15" s="12">
        <v>6</v>
      </c>
    </row>
    <row r="16" spans="1:15" ht="15" customHeight="1" x14ac:dyDescent="0.3">
      <c r="A16" s="9">
        <v>43562</v>
      </c>
      <c r="B16" s="12">
        <v>520</v>
      </c>
      <c r="C16" s="11">
        <v>8.4000000000000005E-2</v>
      </c>
      <c r="D16" s="12">
        <v>912</v>
      </c>
      <c r="E16" s="11">
        <v>0.05</v>
      </c>
      <c r="F16" s="10">
        <v>114396</v>
      </c>
      <c r="G16" s="11">
        <v>0.04</v>
      </c>
      <c r="H16" s="11">
        <v>0.23100000000000001</v>
      </c>
      <c r="I16" s="10">
        <v>213653020</v>
      </c>
      <c r="J16" s="12" t="s">
        <v>4647</v>
      </c>
      <c r="K16" s="10">
        <v>26437</v>
      </c>
      <c r="L16" s="12" t="s">
        <v>4648</v>
      </c>
      <c r="M16" s="10">
        <v>2387235222</v>
      </c>
      <c r="N16" s="10">
        <v>296253</v>
      </c>
      <c r="O16" s="12">
        <v>6</v>
      </c>
    </row>
    <row r="17" spans="1:15" ht="15" customHeight="1" x14ac:dyDescent="0.3">
      <c r="A17" s="9">
        <v>43563</v>
      </c>
      <c r="B17" s="12">
        <v>238</v>
      </c>
      <c r="C17" s="11">
        <v>4.3999999999999997E-2</v>
      </c>
      <c r="D17" s="12">
        <v>323</v>
      </c>
      <c r="E17" s="11">
        <v>0.02</v>
      </c>
      <c r="F17" s="10">
        <v>42596</v>
      </c>
      <c r="G17" s="11">
        <v>1.7000000000000001E-2</v>
      </c>
      <c r="H17" s="11">
        <v>4.2999999999999997E-2</v>
      </c>
      <c r="I17" s="10">
        <v>14248480</v>
      </c>
      <c r="J17" s="12" t="s">
        <v>4649</v>
      </c>
      <c r="K17" s="10">
        <v>1842</v>
      </c>
      <c r="L17" s="12" t="s">
        <v>4650</v>
      </c>
      <c r="M17" s="10">
        <v>2401483702</v>
      </c>
      <c r="N17" s="10">
        <v>298095</v>
      </c>
      <c r="O17" s="12">
        <v>8</v>
      </c>
    </row>
    <row r="18" spans="1:15" ht="15" customHeight="1" x14ac:dyDescent="0.3">
      <c r="A18" s="9">
        <v>43564</v>
      </c>
      <c r="B18" s="12">
        <v>242</v>
      </c>
      <c r="C18" s="11">
        <v>4.3999999999999997E-2</v>
      </c>
      <c r="D18" s="12">
        <v>335</v>
      </c>
      <c r="E18" s="11">
        <v>2.1000000000000001E-2</v>
      </c>
      <c r="F18" s="10">
        <v>43465</v>
      </c>
      <c r="G18" s="11">
        <v>1.7000000000000001E-2</v>
      </c>
      <c r="H18" s="11">
        <v>4.5999999999999999E-2</v>
      </c>
      <c r="I18" s="10">
        <v>14984400</v>
      </c>
      <c r="J18" s="12" t="s">
        <v>4651</v>
      </c>
      <c r="K18" s="10">
        <v>2000</v>
      </c>
      <c r="L18" s="12" t="s">
        <v>4652</v>
      </c>
      <c r="M18" s="10">
        <v>2416468102</v>
      </c>
      <c r="N18" s="10">
        <v>300095</v>
      </c>
      <c r="O18" s="12">
        <v>8</v>
      </c>
    </row>
    <row r="19" spans="1:15" ht="15" customHeight="1" x14ac:dyDescent="0.3">
      <c r="A19" s="9">
        <v>43565</v>
      </c>
      <c r="B19" s="12">
        <v>130</v>
      </c>
      <c r="C19" s="11">
        <v>2.3E-2</v>
      </c>
      <c r="D19" s="12">
        <v>179</v>
      </c>
      <c r="E19" s="11">
        <v>1.0999999999999999E-2</v>
      </c>
      <c r="F19" s="10">
        <v>23988</v>
      </c>
      <c r="G19" s="11">
        <v>8.9999999999999993E-3</v>
      </c>
      <c r="H19" s="11">
        <v>5.8000000000000003E-2</v>
      </c>
      <c r="I19" s="10">
        <v>10688980</v>
      </c>
      <c r="J19" s="12" t="s">
        <v>4653</v>
      </c>
      <c r="K19" s="10">
        <v>1385</v>
      </c>
      <c r="L19" s="12" t="s">
        <v>4654</v>
      </c>
      <c r="M19" s="10">
        <v>2427157082</v>
      </c>
      <c r="N19" s="10">
        <v>301480</v>
      </c>
      <c r="O19" s="12">
        <v>12</v>
      </c>
    </row>
    <row r="20" spans="1:15" ht="15" customHeight="1" x14ac:dyDescent="0.3">
      <c r="A20" s="9">
        <v>43566</v>
      </c>
      <c r="B20" s="12">
        <v>106</v>
      </c>
      <c r="C20" s="11">
        <v>1.7000000000000001E-2</v>
      </c>
      <c r="D20" s="12">
        <v>133</v>
      </c>
      <c r="E20" s="11">
        <v>8.0000000000000002E-3</v>
      </c>
      <c r="F20" s="10">
        <v>15929</v>
      </c>
      <c r="G20" s="11">
        <v>6.0000000000000001E-3</v>
      </c>
      <c r="H20" s="11">
        <v>5.8999999999999997E-2</v>
      </c>
      <c r="I20" s="10">
        <v>6950300</v>
      </c>
      <c r="J20" s="12" t="s">
        <v>4655</v>
      </c>
      <c r="K20" s="12">
        <v>938</v>
      </c>
      <c r="L20" s="12" t="s">
        <v>4656</v>
      </c>
      <c r="M20" s="10">
        <v>2434107382</v>
      </c>
      <c r="N20" s="10">
        <v>302418</v>
      </c>
      <c r="O20" s="12">
        <v>18</v>
      </c>
    </row>
    <row r="21" spans="1:15" ht="15" customHeight="1" x14ac:dyDescent="0.3">
      <c r="A21" s="9">
        <v>43567</v>
      </c>
      <c r="B21" s="12">
        <v>115</v>
      </c>
      <c r="C21" s="11">
        <v>1.7999999999999999E-2</v>
      </c>
      <c r="D21" s="12">
        <v>140</v>
      </c>
      <c r="E21" s="11">
        <v>8.0000000000000002E-3</v>
      </c>
      <c r="F21" s="10">
        <v>16624</v>
      </c>
      <c r="G21" s="11">
        <v>6.0000000000000001E-3</v>
      </c>
      <c r="H21" s="11">
        <v>8.4000000000000005E-2</v>
      </c>
      <c r="I21" s="10">
        <v>11102550</v>
      </c>
      <c r="J21" s="12" t="s">
        <v>4657</v>
      </c>
      <c r="K21" s="10">
        <v>1389</v>
      </c>
      <c r="L21" s="12" t="s">
        <v>4658</v>
      </c>
      <c r="M21" s="10">
        <v>2445209932</v>
      </c>
      <c r="N21" s="10">
        <v>303807</v>
      </c>
      <c r="O21" s="12">
        <v>13</v>
      </c>
    </row>
    <row r="22" spans="1:15" ht="15" customHeight="1" x14ac:dyDescent="0.3">
      <c r="A22" s="9">
        <v>43568</v>
      </c>
      <c r="B22" s="12">
        <v>302</v>
      </c>
      <c r="C22" s="11">
        <v>4.2999999999999997E-2</v>
      </c>
      <c r="D22" s="12">
        <v>455</v>
      </c>
      <c r="E22" s="11">
        <v>2.4E-2</v>
      </c>
      <c r="F22" s="10">
        <v>58425</v>
      </c>
      <c r="G22" s="11">
        <v>1.9E-2</v>
      </c>
      <c r="H22" s="11">
        <v>0.17899999999999999</v>
      </c>
      <c r="I22" s="10">
        <v>84014430</v>
      </c>
      <c r="J22" s="12" t="s">
        <v>4659</v>
      </c>
      <c r="K22" s="10">
        <v>10479</v>
      </c>
      <c r="L22" s="12" t="s">
        <v>4660</v>
      </c>
      <c r="M22" s="10">
        <v>2529224362</v>
      </c>
      <c r="N22" s="10">
        <v>314286</v>
      </c>
      <c r="O22" s="12">
        <v>12</v>
      </c>
    </row>
    <row r="23" spans="1:15" ht="15" customHeight="1" x14ac:dyDescent="0.3">
      <c r="A23" s="9">
        <v>43569</v>
      </c>
      <c r="B23" s="12">
        <v>307</v>
      </c>
      <c r="C23" s="11">
        <v>4.3999999999999997E-2</v>
      </c>
      <c r="D23" s="12">
        <v>466</v>
      </c>
      <c r="E23" s="11">
        <v>2.5000000000000001E-2</v>
      </c>
      <c r="F23" s="10">
        <v>60136</v>
      </c>
      <c r="G23" s="11">
        <v>0.02</v>
      </c>
      <c r="H23" s="11">
        <v>0.25600000000000001</v>
      </c>
      <c r="I23" s="10">
        <v>125429200</v>
      </c>
      <c r="J23" s="12" t="s">
        <v>4661</v>
      </c>
      <c r="K23" s="10">
        <v>15405</v>
      </c>
      <c r="L23" s="12" t="s">
        <v>4662</v>
      </c>
      <c r="M23" s="10">
        <v>2654653562</v>
      </c>
      <c r="N23" s="10">
        <v>329691</v>
      </c>
      <c r="O23" s="12">
        <v>11</v>
      </c>
    </row>
    <row r="24" spans="1:15" ht="15" customHeight="1" x14ac:dyDescent="0.3">
      <c r="A24" s="9">
        <v>43570</v>
      </c>
      <c r="B24" s="12">
        <v>100</v>
      </c>
      <c r="C24" s="11">
        <v>1.7000000000000001E-2</v>
      </c>
      <c r="D24" s="12">
        <v>122</v>
      </c>
      <c r="E24" s="11">
        <v>8.0000000000000002E-3</v>
      </c>
      <c r="F24" s="10">
        <v>15326</v>
      </c>
      <c r="G24" s="11">
        <v>6.0000000000000001E-3</v>
      </c>
      <c r="H24" s="11">
        <v>4.2000000000000003E-2</v>
      </c>
      <c r="I24" s="10">
        <v>4778700</v>
      </c>
      <c r="J24" s="12" t="s">
        <v>4663</v>
      </c>
      <c r="K24" s="12">
        <v>639</v>
      </c>
      <c r="L24" s="12" t="s">
        <v>4664</v>
      </c>
      <c r="M24" s="10">
        <v>2659432262</v>
      </c>
      <c r="N24" s="10">
        <v>330330</v>
      </c>
      <c r="O24" s="12">
        <v>16</v>
      </c>
    </row>
    <row r="25" spans="1:15" ht="15" customHeight="1" x14ac:dyDescent="0.3">
      <c r="A25" s="9">
        <v>43571</v>
      </c>
      <c r="B25" s="12">
        <v>101</v>
      </c>
      <c r="C25" s="11">
        <v>1.7000000000000001E-2</v>
      </c>
      <c r="D25" s="12">
        <v>124</v>
      </c>
      <c r="E25" s="11">
        <v>8.0000000000000002E-3</v>
      </c>
      <c r="F25" s="10">
        <v>15816</v>
      </c>
      <c r="G25" s="11">
        <v>6.0000000000000001E-3</v>
      </c>
      <c r="H25" s="11">
        <v>4.7E-2</v>
      </c>
      <c r="I25" s="10">
        <v>5196030</v>
      </c>
      <c r="J25" s="12" t="s">
        <v>4665</v>
      </c>
      <c r="K25" s="12">
        <v>749</v>
      </c>
      <c r="L25" s="12" t="s">
        <v>4666</v>
      </c>
      <c r="M25" s="10">
        <v>2664628292</v>
      </c>
      <c r="N25" s="10">
        <v>331079</v>
      </c>
      <c r="O25" s="12">
        <v>18</v>
      </c>
    </row>
    <row r="26" spans="1:15" ht="15" customHeight="1" x14ac:dyDescent="0.3">
      <c r="A26" s="9">
        <v>43572</v>
      </c>
      <c r="B26" s="12">
        <v>43</v>
      </c>
      <c r="C26" s="11">
        <v>7.0000000000000001E-3</v>
      </c>
      <c r="D26" s="12">
        <v>51</v>
      </c>
      <c r="E26" s="11">
        <v>3.0000000000000001E-3</v>
      </c>
      <c r="F26" s="10">
        <v>5977</v>
      </c>
      <c r="G26" s="11">
        <v>2E-3</v>
      </c>
      <c r="H26" s="11">
        <v>8.3000000000000004E-2</v>
      </c>
      <c r="I26" s="10">
        <v>3293050</v>
      </c>
      <c r="J26" s="12" t="s">
        <v>4667</v>
      </c>
      <c r="K26" s="12">
        <v>496</v>
      </c>
      <c r="L26" s="12" t="s">
        <v>4668</v>
      </c>
      <c r="M26" s="10">
        <v>2667921342</v>
      </c>
      <c r="N26" s="10">
        <v>331575</v>
      </c>
      <c r="O26" s="12">
        <v>24</v>
      </c>
    </row>
    <row r="27" spans="1:15" ht="15" customHeight="1" x14ac:dyDescent="0.3">
      <c r="A27" s="9">
        <v>43573</v>
      </c>
      <c r="B27" s="12">
        <v>44</v>
      </c>
      <c r="C27" s="11">
        <v>7.0000000000000001E-3</v>
      </c>
      <c r="D27" s="12">
        <v>54</v>
      </c>
      <c r="E27" s="11">
        <v>3.0000000000000001E-3</v>
      </c>
      <c r="F27" s="10">
        <v>6790</v>
      </c>
      <c r="G27" s="11">
        <v>3.0000000000000001E-3</v>
      </c>
      <c r="H27" s="11">
        <v>7.0999999999999994E-2</v>
      </c>
      <c r="I27" s="10">
        <v>3201600</v>
      </c>
      <c r="J27" s="12" t="s">
        <v>4669</v>
      </c>
      <c r="K27" s="12">
        <v>479</v>
      </c>
      <c r="L27" s="12" t="s">
        <v>4670</v>
      </c>
      <c r="M27" s="10">
        <v>2671122942</v>
      </c>
      <c r="N27" s="10">
        <v>332054</v>
      </c>
      <c r="O27" s="12">
        <v>28</v>
      </c>
    </row>
    <row r="28" spans="1:15" ht="15" customHeight="1" x14ac:dyDescent="0.3">
      <c r="A28" s="9">
        <v>43574</v>
      </c>
      <c r="B28" s="12">
        <v>45</v>
      </c>
      <c r="C28" s="11">
        <v>7.0000000000000001E-3</v>
      </c>
      <c r="D28" s="12">
        <v>53</v>
      </c>
      <c r="E28" s="11">
        <v>3.0000000000000001E-3</v>
      </c>
      <c r="F28" s="10">
        <v>7075</v>
      </c>
      <c r="G28" s="11">
        <v>3.0000000000000001E-3</v>
      </c>
      <c r="H28" s="11">
        <v>5.5E-2</v>
      </c>
      <c r="I28" s="10">
        <v>3140100</v>
      </c>
      <c r="J28" s="12" t="s">
        <v>4671</v>
      </c>
      <c r="K28" s="12">
        <v>386</v>
      </c>
      <c r="L28" s="12" t="s">
        <v>4672</v>
      </c>
      <c r="M28" s="10">
        <v>2674263042</v>
      </c>
      <c r="N28" s="10">
        <v>332440</v>
      </c>
      <c r="O28" s="12">
        <v>33</v>
      </c>
    </row>
    <row r="29" spans="1:15" ht="15" customHeight="1" x14ac:dyDescent="0.3">
      <c r="A29" s="9">
        <v>43575</v>
      </c>
      <c r="B29" s="12">
        <v>171</v>
      </c>
      <c r="C29" s="11">
        <v>2.3E-2</v>
      </c>
      <c r="D29" s="12">
        <v>248</v>
      </c>
      <c r="E29" s="11">
        <v>1.2999999999999999E-2</v>
      </c>
      <c r="F29" s="10">
        <v>33795</v>
      </c>
      <c r="G29" s="11">
        <v>1.0999999999999999E-2</v>
      </c>
      <c r="H29" s="11">
        <v>0.156</v>
      </c>
      <c r="I29" s="10">
        <v>42170620</v>
      </c>
      <c r="J29" s="12" t="s">
        <v>4673</v>
      </c>
      <c r="K29" s="10">
        <v>5262</v>
      </c>
      <c r="L29" s="12" t="s">
        <v>4674</v>
      </c>
      <c r="M29" s="10">
        <v>2716433662</v>
      </c>
      <c r="N29" s="10">
        <v>337702</v>
      </c>
      <c r="O29" s="12">
        <v>13</v>
      </c>
    </row>
    <row r="30" spans="1:15" ht="15" customHeight="1" x14ac:dyDescent="0.3">
      <c r="A30" s="9">
        <v>43576</v>
      </c>
      <c r="B30" s="12">
        <v>161</v>
      </c>
      <c r="C30" s="11">
        <v>2.1999999999999999E-2</v>
      </c>
      <c r="D30" s="12">
        <v>243</v>
      </c>
      <c r="E30" s="11">
        <v>1.2999999999999999E-2</v>
      </c>
      <c r="F30" s="10">
        <v>32356</v>
      </c>
      <c r="G30" s="11">
        <v>1.0999999999999999E-2</v>
      </c>
      <c r="H30" s="11">
        <v>0.16700000000000001</v>
      </c>
      <c r="I30" s="10">
        <v>43339150</v>
      </c>
      <c r="J30" s="12" t="s">
        <v>4675</v>
      </c>
      <c r="K30" s="10">
        <v>5406</v>
      </c>
      <c r="L30" s="12" t="s">
        <v>4676</v>
      </c>
      <c r="M30" s="10">
        <v>2759772812</v>
      </c>
      <c r="N30" s="10">
        <v>343108</v>
      </c>
      <c r="O30" s="12">
        <v>13</v>
      </c>
    </row>
    <row r="31" spans="1:15" ht="15" customHeight="1" x14ac:dyDescent="0.3">
      <c r="A31" s="9">
        <v>43577</v>
      </c>
      <c r="B31" s="12">
        <v>48</v>
      </c>
      <c r="C31" s="11">
        <v>8.0000000000000002E-3</v>
      </c>
      <c r="D31" s="12">
        <v>57</v>
      </c>
      <c r="E31" s="11">
        <v>4.0000000000000001E-3</v>
      </c>
      <c r="F31" s="10">
        <v>7490</v>
      </c>
      <c r="G31" s="11">
        <v>3.0000000000000001E-3</v>
      </c>
      <c r="H31" s="11">
        <v>3.7999999999999999E-2</v>
      </c>
      <c r="I31" s="10">
        <v>2104700</v>
      </c>
      <c r="J31" s="12" t="s">
        <v>4677</v>
      </c>
      <c r="K31" s="12">
        <v>281</v>
      </c>
      <c r="L31" s="12" t="s">
        <v>4678</v>
      </c>
      <c r="M31" s="10">
        <v>2761877512</v>
      </c>
      <c r="N31" s="10">
        <v>343389</v>
      </c>
      <c r="O31" s="12">
        <v>30</v>
      </c>
    </row>
    <row r="32" spans="1:15" ht="15" customHeight="1" x14ac:dyDescent="0.3">
      <c r="A32" s="9">
        <v>43578</v>
      </c>
      <c r="B32" s="12">
        <v>48</v>
      </c>
      <c r="C32" s="11">
        <v>7.0000000000000001E-3</v>
      </c>
      <c r="D32" s="12">
        <v>57</v>
      </c>
      <c r="E32" s="11">
        <v>4.0000000000000001E-3</v>
      </c>
      <c r="F32" s="10">
        <v>7749</v>
      </c>
      <c r="G32" s="11">
        <v>3.0000000000000001E-3</v>
      </c>
      <c r="H32" s="11">
        <v>6.9000000000000006E-2</v>
      </c>
      <c r="I32" s="10">
        <v>3683700</v>
      </c>
      <c r="J32" s="12" t="s">
        <v>4679</v>
      </c>
      <c r="K32" s="12">
        <v>531</v>
      </c>
      <c r="L32" s="12" t="s">
        <v>4680</v>
      </c>
      <c r="M32" s="10">
        <v>2765561212</v>
      </c>
      <c r="N32" s="10">
        <v>343920</v>
      </c>
      <c r="O32" s="12">
        <v>27</v>
      </c>
    </row>
    <row r="33" spans="1:15" ht="15" customHeight="1" x14ac:dyDescent="0.3">
      <c r="A33" s="9">
        <v>43579</v>
      </c>
      <c r="B33" s="12">
        <v>5</v>
      </c>
      <c r="C33" s="11">
        <v>1E-3</v>
      </c>
      <c r="D33" s="12">
        <v>8</v>
      </c>
      <c r="E33" s="11">
        <v>1E-3</v>
      </c>
      <c r="F33" s="12">
        <v>359</v>
      </c>
      <c r="G33" s="11">
        <v>0</v>
      </c>
      <c r="H33" s="11">
        <v>0.22</v>
      </c>
      <c r="I33" s="10">
        <v>457000</v>
      </c>
      <c r="J33" s="12" t="s">
        <v>4681</v>
      </c>
      <c r="K33" s="12">
        <v>79</v>
      </c>
      <c r="L33" s="12" t="s">
        <v>4682</v>
      </c>
      <c r="M33" s="10">
        <v>2766018212</v>
      </c>
      <c r="N33" s="10">
        <v>343999</v>
      </c>
      <c r="O33" s="12">
        <v>53</v>
      </c>
    </row>
    <row r="34" spans="1:15" ht="15" customHeight="1" x14ac:dyDescent="0.3">
      <c r="A34" s="9">
        <v>43580</v>
      </c>
      <c r="B34" s="12">
        <v>2</v>
      </c>
      <c r="C34" s="11">
        <v>0</v>
      </c>
      <c r="D34" s="12">
        <v>2</v>
      </c>
      <c r="E34" s="11">
        <v>0</v>
      </c>
      <c r="F34" s="12">
        <v>190</v>
      </c>
      <c r="G34" s="11">
        <v>0</v>
      </c>
      <c r="H34" s="11">
        <v>0.221</v>
      </c>
      <c r="I34" s="10">
        <v>247300</v>
      </c>
      <c r="J34" s="12" t="s">
        <v>4683</v>
      </c>
      <c r="K34" s="12">
        <v>42</v>
      </c>
      <c r="L34" s="12" t="s">
        <v>4684</v>
      </c>
      <c r="M34" s="10">
        <v>2766265512</v>
      </c>
      <c r="N34" s="10">
        <v>344041</v>
      </c>
      <c r="O34" s="12">
        <v>73</v>
      </c>
    </row>
    <row r="35" spans="1:15" ht="15" customHeight="1" x14ac:dyDescent="0.3">
      <c r="A35" s="9">
        <v>43581</v>
      </c>
      <c r="B35" s="12">
        <v>3</v>
      </c>
      <c r="C35" s="11">
        <v>1E-3</v>
      </c>
      <c r="D35" s="12">
        <v>4</v>
      </c>
      <c r="E35" s="11">
        <v>0</v>
      </c>
      <c r="F35" s="12">
        <v>315</v>
      </c>
      <c r="G35" s="11">
        <v>0</v>
      </c>
      <c r="H35" s="11">
        <v>0.77800000000000002</v>
      </c>
      <c r="I35" s="10">
        <v>1776000</v>
      </c>
      <c r="J35" s="12" t="s">
        <v>4685</v>
      </c>
      <c r="K35" s="12">
        <v>245</v>
      </c>
      <c r="L35" s="12" t="s">
        <v>4686</v>
      </c>
      <c r="M35" s="10">
        <v>2768041512</v>
      </c>
      <c r="N35" s="10">
        <v>344286</v>
      </c>
      <c r="O35" s="12">
        <v>30</v>
      </c>
    </row>
    <row r="36" spans="1:15" ht="15" customHeight="1" x14ac:dyDescent="0.3">
      <c r="A36" s="9">
        <v>43582</v>
      </c>
      <c r="B36" s="12">
        <v>2</v>
      </c>
      <c r="C36" s="11">
        <v>0</v>
      </c>
      <c r="D36" s="12">
        <v>3</v>
      </c>
      <c r="E36" s="11">
        <v>0</v>
      </c>
      <c r="F36" s="12">
        <v>117</v>
      </c>
      <c r="G36" s="11">
        <v>0</v>
      </c>
      <c r="H36" s="11">
        <v>0.35899999999999999</v>
      </c>
      <c r="I36" s="10">
        <v>320000</v>
      </c>
      <c r="J36" s="12" t="s">
        <v>4687</v>
      </c>
      <c r="K36" s="12">
        <v>42</v>
      </c>
      <c r="L36" s="12" t="s">
        <v>4688</v>
      </c>
      <c r="M36" s="10">
        <v>2768361512</v>
      </c>
      <c r="N36" s="10">
        <v>344328</v>
      </c>
      <c r="O36" s="12">
        <v>68</v>
      </c>
    </row>
    <row r="37" spans="1:15" ht="15" customHeight="1" x14ac:dyDescent="0.3">
      <c r="A37" s="9">
        <v>43583</v>
      </c>
      <c r="B37" s="12">
        <v>2</v>
      </c>
      <c r="C37" s="11">
        <v>0</v>
      </c>
      <c r="D37" s="12">
        <v>2</v>
      </c>
      <c r="E37" s="11">
        <v>0</v>
      </c>
      <c r="F37" s="12">
        <v>82</v>
      </c>
      <c r="G37" s="11">
        <v>0</v>
      </c>
      <c r="H37" s="11">
        <v>0.26800000000000002</v>
      </c>
      <c r="I37" s="10">
        <v>145000</v>
      </c>
      <c r="J37" s="12" t="s">
        <v>4689</v>
      </c>
      <c r="K37" s="12">
        <v>22</v>
      </c>
      <c r="L37" s="12" t="s">
        <v>277</v>
      </c>
      <c r="M37" s="10">
        <v>2768506512</v>
      </c>
      <c r="N37" s="10">
        <v>344350</v>
      </c>
      <c r="O37" s="12">
        <v>70</v>
      </c>
    </row>
    <row r="38" spans="1:15" ht="15" customHeight="1" x14ac:dyDescent="0.3">
      <c r="A38" s="9">
        <v>43584</v>
      </c>
      <c r="B38" s="12">
        <v>1</v>
      </c>
      <c r="C38" s="11">
        <v>0</v>
      </c>
      <c r="D38" s="12">
        <v>1</v>
      </c>
      <c r="E38" s="11">
        <v>0</v>
      </c>
      <c r="F38" s="12">
        <v>35</v>
      </c>
      <c r="G38" s="11">
        <v>0</v>
      </c>
      <c r="H38" s="11">
        <v>5.7000000000000002E-2</v>
      </c>
      <c r="I38" s="10">
        <v>14000</v>
      </c>
      <c r="J38" s="12" t="s">
        <v>4690</v>
      </c>
      <c r="K38" s="12">
        <v>2</v>
      </c>
      <c r="L38" s="12" t="s">
        <v>4691</v>
      </c>
      <c r="M38" s="10">
        <v>2768520512</v>
      </c>
      <c r="N38" s="10">
        <v>344352</v>
      </c>
      <c r="O38" s="12">
        <v>94</v>
      </c>
    </row>
    <row r="39" spans="1:15" ht="15" customHeight="1" x14ac:dyDescent="0.3">
      <c r="A39" s="9">
        <v>43585</v>
      </c>
      <c r="B39" s="12">
        <v>7</v>
      </c>
      <c r="C39" s="11">
        <v>1E-3</v>
      </c>
      <c r="D39" s="12">
        <v>7</v>
      </c>
      <c r="E39" s="11">
        <v>0</v>
      </c>
      <c r="F39" s="12">
        <v>545</v>
      </c>
      <c r="G39" s="11">
        <v>0</v>
      </c>
      <c r="H39" s="11">
        <v>0.68400000000000005</v>
      </c>
      <c r="I39" s="10">
        <v>2062000</v>
      </c>
      <c r="J39" s="12" t="s">
        <v>4692</v>
      </c>
      <c r="K39" s="12">
        <v>373</v>
      </c>
      <c r="L39" s="12" t="s">
        <v>4693</v>
      </c>
      <c r="M39" s="10">
        <v>2770582512</v>
      </c>
      <c r="N39" s="10">
        <v>344725</v>
      </c>
      <c r="O39" s="12">
        <v>25</v>
      </c>
    </row>
    <row r="40" spans="1:15" ht="15" customHeight="1" x14ac:dyDescent="0.3">
      <c r="A40" s="9">
        <v>43587</v>
      </c>
      <c r="B40" s="12">
        <v>1</v>
      </c>
      <c r="C40" s="11">
        <v>0</v>
      </c>
      <c r="D40" s="12">
        <v>1</v>
      </c>
      <c r="E40" s="11">
        <v>0</v>
      </c>
      <c r="F40" s="12">
        <v>104</v>
      </c>
      <c r="G40" s="11">
        <v>0</v>
      </c>
      <c r="H40" s="11">
        <v>0.89400000000000002</v>
      </c>
      <c r="I40" s="10">
        <v>465000</v>
      </c>
      <c r="J40" s="12" t="s">
        <v>3905</v>
      </c>
      <c r="K40" s="12">
        <v>93</v>
      </c>
      <c r="L40" s="12" t="s">
        <v>3906</v>
      </c>
      <c r="M40" s="10">
        <v>2771047512</v>
      </c>
      <c r="N40" s="10">
        <v>344818</v>
      </c>
      <c r="O40" s="12">
        <v>46</v>
      </c>
    </row>
    <row r="41" spans="1:15" ht="15" customHeight="1" x14ac:dyDescent="0.3">
      <c r="A41" s="9">
        <v>43588</v>
      </c>
      <c r="B41" s="12">
        <v>6</v>
      </c>
      <c r="C41" s="11">
        <v>1E-3</v>
      </c>
      <c r="D41" s="12">
        <v>6</v>
      </c>
      <c r="E41" s="11">
        <v>0</v>
      </c>
      <c r="F41" s="12">
        <v>844</v>
      </c>
      <c r="G41" s="11">
        <v>0</v>
      </c>
      <c r="H41" s="11">
        <v>0.64700000000000002</v>
      </c>
      <c r="I41" s="10">
        <v>3107000</v>
      </c>
      <c r="J41" s="12" t="s">
        <v>4694</v>
      </c>
      <c r="K41" s="12">
        <v>546</v>
      </c>
      <c r="L41" s="12" t="s">
        <v>4695</v>
      </c>
      <c r="M41" s="10">
        <v>2774154512</v>
      </c>
      <c r="N41" s="10">
        <v>345364</v>
      </c>
      <c r="O41" s="12">
        <v>16</v>
      </c>
    </row>
    <row r="42" spans="1:15" ht="15" customHeight="1" x14ac:dyDescent="0.3">
      <c r="A42" s="9">
        <v>43593</v>
      </c>
      <c r="B42" s="12">
        <v>1</v>
      </c>
      <c r="C42" s="11">
        <v>0</v>
      </c>
      <c r="D42" s="12">
        <v>1</v>
      </c>
      <c r="E42" s="11">
        <v>0</v>
      </c>
      <c r="F42" s="12">
        <v>214</v>
      </c>
      <c r="G42" s="11">
        <v>0</v>
      </c>
      <c r="H42" s="11">
        <v>0.73399999999999999</v>
      </c>
      <c r="I42" s="10">
        <v>942000</v>
      </c>
      <c r="J42" s="12" t="s">
        <v>4696</v>
      </c>
      <c r="K42" s="12">
        <v>157</v>
      </c>
      <c r="L42" s="12" t="s">
        <v>4697</v>
      </c>
      <c r="M42" s="10">
        <v>2775096512</v>
      </c>
      <c r="N42" s="10">
        <v>345521</v>
      </c>
      <c r="O42" s="12">
        <v>36</v>
      </c>
    </row>
    <row r="43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F7195-0023-4523-8ABF-FA2417E574D6}">
  <dimension ref="A1:O55"/>
  <sheetViews>
    <sheetView showGridLines="0" workbookViewId="0">
      <selection activeCell="A5" sqref="A5:O13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4972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43544</v>
      </c>
      <c r="B5" s="12">
        <v>900</v>
      </c>
      <c r="C5" s="11">
        <v>0.17</v>
      </c>
      <c r="D5" s="10">
        <v>2892</v>
      </c>
      <c r="E5" s="11">
        <v>0.17299999999999999</v>
      </c>
      <c r="F5" s="10">
        <v>413926</v>
      </c>
      <c r="G5" s="11">
        <v>0.156</v>
      </c>
      <c r="H5" s="11">
        <v>6.6000000000000003E-2</v>
      </c>
      <c r="I5" s="10">
        <v>222873850</v>
      </c>
      <c r="J5" s="12" t="s">
        <v>4973</v>
      </c>
      <c r="K5" s="10">
        <v>27175</v>
      </c>
      <c r="L5" s="12" t="s">
        <v>4974</v>
      </c>
      <c r="M5" s="10">
        <v>311100250</v>
      </c>
      <c r="N5" s="10">
        <v>36681</v>
      </c>
      <c r="O5" s="12">
        <v>4</v>
      </c>
    </row>
    <row r="6" spans="1:15" ht="15" customHeight="1" x14ac:dyDescent="0.3">
      <c r="A6" s="9">
        <v>43545</v>
      </c>
      <c r="B6" s="12">
        <v>849</v>
      </c>
      <c r="C6" s="11">
        <v>0.16200000000000001</v>
      </c>
      <c r="D6" s="10">
        <v>2864</v>
      </c>
      <c r="E6" s="11">
        <v>0.16500000000000001</v>
      </c>
      <c r="F6" s="10">
        <v>412251</v>
      </c>
      <c r="G6" s="11">
        <v>0.15</v>
      </c>
      <c r="H6" s="11">
        <v>0.05</v>
      </c>
      <c r="I6" s="10">
        <v>165600800</v>
      </c>
      <c r="J6" s="12" t="s">
        <v>4975</v>
      </c>
      <c r="K6" s="10">
        <v>20549</v>
      </c>
      <c r="L6" s="12" t="s">
        <v>4976</v>
      </c>
      <c r="M6" s="10">
        <v>476701050</v>
      </c>
      <c r="N6" s="10">
        <v>57230</v>
      </c>
      <c r="O6" s="12">
        <v>4</v>
      </c>
    </row>
    <row r="7" spans="1:15" ht="15" customHeight="1" x14ac:dyDescent="0.3">
      <c r="A7" s="9">
        <v>43546</v>
      </c>
      <c r="B7" s="12">
        <v>797</v>
      </c>
      <c r="C7" s="11">
        <v>0.15</v>
      </c>
      <c r="D7" s="10">
        <v>2566</v>
      </c>
      <c r="E7" s="11">
        <v>0.14399999999999999</v>
      </c>
      <c r="F7" s="10">
        <v>367287</v>
      </c>
      <c r="G7" s="11">
        <v>0.13100000000000001</v>
      </c>
      <c r="H7" s="11">
        <v>5.3999999999999999E-2</v>
      </c>
      <c r="I7" s="10">
        <v>176216937</v>
      </c>
      <c r="J7" s="12" t="s">
        <v>4977</v>
      </c>
      <c r="K7" s="10">
        <v>19826</v>
      </c>
      <c r="L7" s="12" t="s">
        <v>4978</v>
      </c>
      <c r="M7" s="10">
        <v>652917987</v>
      </c>
      <c r="N7" s="10">
        <v>77056</v>
      </c>
      <c r="O7" s="12">
        <v>4</v>
      </c>
    </row>
    <row r="8" spans="1:15" ht="15" customHeight="1" x14ac:dyDescent="0.3">
      <c r="A8" s="9">
        <v>43547</v>
      </c>
      <c r="B8" s="12">
        <v>675</v>
      </c>
      <c r="C8" s="11">
        <v>0.11799999999999999</v>
      </c>
      <c r="D8" s="10">
        <v>2052</v>
      </c>
      <c r="E8" s="11">
        <v>0.107</v>
      </c>
      <c r="F8" s="10">
        <v>283828</v>
      </c>
      <c r="G8" s="11">
        <v>9.5000000000000001E-2</v>
      </c>
      <c r="H8" s="11">
        <v>0.115</v>
      </c>
      <c r="I8" s="10">
        <v>294901025</v>
      </c>
      <c r="J8" s="12" t="s">
        <v>4979</v>
      </c>
      <c r="K8" s="10">
        <v>32698</v>
      </c>
      <c r="L8" s="12" t="s">
        <v>4980</v>
      </c>
      <c r="M8" s="10">
        <v>947819012</v>
      </c>
      <c r="N8" s="10">
        <v>109754</v>
      </c>
      <c r="O8" s="12">
        <v>4</v>
      </c>
    </row>
    <row r="9" spans="1:15" ht="15" customHeight="1" x14ac:dyDescent="0.3">
      <c r="A9" s="9">
        <v>43548</v>
      </c>
      <c r="B9" s="12">
        <v>659</v>
      </c>
      <c r="C9" s="11">
        <v>0.115</v>
      </c>
      <c r="D9" s="10">
        <v>1884</v>
      </c>
      <c r="E9" s="11">
        <v>0.10100000000000001</v>
      </c>
      <c r="F9" s="10">
        <v>257383</v>
      </c>
      <c r="G9" s="11">
        <v>8.7999999999999995E-2</v>
      </c>
      <c r="H9" s="11">
        <v>0.109</v>
      </c>
      <c r="I9" s="10">
        <v>254358090</v>
      </c>
      <c r="J9" s="12" t="s">
        <v>4981</v>
      </c>
      <c r="K9" s="10">
        <v>28126</v>
      </c>
      <c r="L9" s="12" t="s">
        <v>4982</v>
      </c>
      <c r="M9" s="10">
        <v>1202177102</v>
      </c>
      <c r="N9" s="10">
        <v>137880</v>
      </c>
      <c r="O9" s="12">
        <v>4</v>
      </c>
    </row>
    <row r="10" spans="1:15" ht="15" customHeight="1" x14ac:dyDescent="0.3">
      <c r="A10" s="9">
        <v>43549</v>
      </c>
      <c r="B10" s="12">
        <v>590</v>
      </c>
      <c r="C10" s="11">
        <v>0.12</v>
      </c>
      <c r="D10" s="10">
        <v>1741</v>
      </c>
      <c r="E10" s="11">
        <v>0.10299999999999999</v>
      </c>
      <c r="F10" s="10">
        <v>230274</v>
      </c>
      <c r="G10" s="11">
        <v>8.5999999999999993E-2</v>
      </c>
      <c r="H10" s="11">
        <v>4.2999999999999997E-2</v>
      </c>
      <c r="I10" s="10">
        <v>81839880</v>
      </c>
      <c r="J10" s="12" t="s">
        <v>4983</v>
      </c>
      <c r="K10" s="10">
        <v>9918</v>
      </c>
      <c r="L10" s="12" t="s">
        <v>4984</v>
      </c>
      <c r="M10" s="10">
        <v>1284016982</v>
      </c>
      <c r="N10" s="10">
        <v>147798</v>
      </c>
      <c r="O10" s="12">
        <v>4</v>
      </c>
    </row>
    <row r="11" spans="1:15" ht="15" customHeight="1" x14ac:dyDescent="0.3">
      <c r="A11" s="9">
        <v>43550</v>
      </c>
      <c r="B11" s="12">
        <v>616</v>
      </c>
      <c r="C11" s="11">
        <v>0.121</v>
      </c>
      <c r="D11" s="10">
        <v>1700</v>
      </c>
      <c r="E11" s="11">
        <v>0.10100000000000001</v>
      </c>
      <c r="F11" s="10">
        <v>223872</v>
      </c>
      <c r="G11" s="11">
        <v>8.4000000000000005E-2</v>
      </c>
      <c r="H11" s="11">
        <v>4.4999999999999998E-2</v>
      </c>
      <c r="I11" s="10">
        <v>82757900</v>
      </c>
      <c r="J11" s="12" t="s">
        <v>4985</v>
      </c>
      <c r="K11" s="10">
        <v>10031</v>
      </c>
      <c r="L11" s="12" t="s">
        <v>4986</v>
      </c>
      <c r="M11" s="10">
        <v>1366774882</v>
      </c>
      <c r="N11" s="10">
        <v>157829</v>
      </c>
      <c r="O11" s="12">
        <v>4</v>
      </c>
    </row>
    <row r="12" spans="1:15" ht="15" customHeight="1" x14ac:dyDescent="0.3">
      <c r="A12" s="9">
        <v>43551</v>
      </c>
      <c r="B12" s="12">
        <v>294</v>
      </c>
      <c r="C12" s="11">
        <v>4.7E-2</v>
      </c>
      <c r="D12" s="12">
        <v>474</v>
      </c>
      <c r="E12" s="11">
        <v>2.5999999999999999E-2</v>
      </c>
      <c r="F12" s="10">
        <v>60280</v>
      </c>
      <c r="G12" s="11">
        <v>2.1000000000000001E-2</v>
      </c>
      <c r="H12" s="11">
        <v>7.3999999999999996E-2</v>
      </c>
      <c r="I12" s="10">
        <v>28272210</v>
      </c>
      <c r="J12" s="12" t="s">
        <v>4987</v>
      </c>
      <c r="K12" s="10">
        <v>4465</v>
      </c>
      <c r="L12" s="12" t="s">
        <v>4988</v>
      </c>
      <c r="M12" s="10">
        <v>1395047092</v>
      </c>
      <c r="N12" s="10">
        <v>162294</v>
      </c>
      <c r="O12" s="12">
        <v>9</v>
      </c>
    </row>
    <row r="13" spans="1:15" ht="15" customHeight="1" x14ac:dyDescent="0.3">
      <c r="A13" s="9">
        <v>43552</v>
      </c>
      <c r="B13" s="12">
        <v>272</v>
      </c>
      <c r="C13" s="11">
        <v>4.5999999999999999E-2</v>
      </c>
      <c r="D13" s="12">
        <v>414</v>
      </c>
      <c r="E13" s="11">
        <v>2.3E-2</v>
      </c>
      <c r="F13" s="10">
        <v>48145</v>
      </c>
      <c r="G13" s="11">
        <v>1.7000000000000001E-2</v>
      </c>
      <c r="H13" s="11">
        <v>5.1999999999999998E-2</v>
      </c>
      <c r="I13" s="10">
        <v>20268880</v>
      </c>
      <c r="J13" s="12" t="s">
        <v>4989</v>
      </c>
      <c r="K13" s="10">
        <v>2482</v>
      </c>
      <c r="L13" s="12" t="s">
        <v>4990</v>
      </c>
      <c r="M13" s="10">
        <v>1415315972</v>
      </c>
      <c r="N13" s="10">
        <v>164776</v>
      </c>
      <c r="O13" s="12">
        <v>12</v>
      </c>
    </row>
    <row r="14" spans="1:15" ht="15" customHeight="1" x14ac:dyDescent="0.3">
      <c r="A14" s="9">
        <v>43553</v>
      </c>
      <c r="B14" s="12">
        <v>247</v>
      </c>
      <c r="C14" s="11">
        <v>4.2000000000000003E-2</v>
      </c>
      <c r="D14" s="12">
        <v>368</v>
      </c>
      <c r="E14" s="11">
        <v>0.02</v>
      </c>
      <c r="F14" s="10">
        <v>42975</v>
      </c>
      <c r="G14" s="11">
        <v>1.4999999999999999E-2</v>
      </c>
      <c r="H14" s="11">
        <v>6.6000000000000003E-2</v>
      </c>
      <c r="I14" s="10">
        <v>24210526</v>
      </c>
      <c r="J14" s="12" t="s">
        <v>4991</v>
      </c>
      <c r="K14" s="10">
        <v>2826</v>
      </c>
      <c r="L14" s="12" t="s">
        <v>4992</v>
      </c>
      <c r="M14" s="10">
        <v>1439526498</v>
      </c>
      <c r="N14" s="10">
        <v>167602</v>
      </c>
      <c r="O14" s="12">
        <v>10</v>
      </c>
    </row>
    <row r="15" spans="1:15" ht="15" customHeight="1" x14ac:dyDescent="0.3">
      <c r="A15" s="9">
        <v>43554</v>
      </c>
      <c r="B15" s="12">
        <v>226</v>
      </c>
      <c r="C15" s="11">
        <v>3.5999999999999997E-2</v>
      </c>
      <c r="D15" s="12">
        <v>306</v>
      </c>
      <c r="E15" s="11">
        <v>1.6E-2</v>
      </c>
      <c r="F15" s="10">
        <v>35206</v>
      </c>
      <c r="G15" s="11">
        <v>1.0999999999999999E-2</v>
      </c>
      <c r="H15" s="11">
        <v>0.114</v>
      </c>
      <c r="I15" s="10">
        <v>35548050</v>
      </c>
      <c r="J15" s="12" t="s">
        <v>4993</v>
      </c>
      <c r="K15" s="10">
        <v>4021</v>
      </c>
      <c r="L15" s="12" t="s">
        <v>4994</v>
      </c>
      <c r="M15" s="10">
        <v>1475074548</v>
      </c>
      <c r="N15" s="10">
        <v>171623</v>
      </c>
      <c r="O15" s="12">
        <v>10</v>
      </c>
    </row>
    <row r="16" spans="1:15" ht="15" customHeight="1" x14ac:dyDescent="0.3">
      <c r="A16" s="9">
        <v>43555</v>
      </c>
      <c r="B16" s="12">
        <v>224</v>
      </c>
      <c r="C16" s="11">
        <v>3.5999999999999997E-2</v>
      </c>
      <c r="D16" s="12">
        <v>302</v>
      </c>
      <c r="E16" s="11">
        <v>1.6E-2</v>
      </c>
      <c r="F16" s="10">
        <v>34182</v>
      </c>
      <c r="G16" s="11">
        <v>1.0999999999999999E-2</v>
      </c>
      <c r="H16" s="11">
        <v>0.113</v>
      </c>
      <c r="I16" s="10">
        <v>34398500</v>
      </c>
      <c r="J16" s="12" t="s">
        <v>4995</v>
      </c>
      <c r="K16" s="10">
        <v>3858</v>
      </c>
      <c r="L16" s="12" t="s">
        <v>4996</v>
      </c>
      <c r="M16" s="10">
        <v>1509473048</v>
      </c>
      <c r="N16" s="10">
        <v>175481</v>
      </c>
      <c r="O16" s="12">
        <v>11</v>
      </c>
    </row>
    <row r="17" spans="1:15" ht="15" customHeight="1" x14ac:dyDescent="0.3">
      <c r="A17" s="9">
        <v>43556</v>
      </c>
      <c r="B17" s="12">
        <v>212</v>
      </c>
      <c r="C17" s="11">
        <v>3.7999999999999999E-2</v>
      </c>
      <c r="D17" s="12">
        <v>285</v>
      </c>
      <c r="E17" s="11">
        <v>1.6E-2</v>
      </c>
      <c r="F17" s="10">
        <v>33253</v>
      </c>
      <c r="G17" s="11">
        <v>1.2E-2</v>
      </c>
      <c r="H17" s="11">
        <v>4.5999999999999999E-2</v>
      </c>
      <c r="I17" s="10">
        <v>12519650</v>
      </c>
      <c r="J17" s="12" t="s">
        <v>4997</v>
      </c>
      <c r="K17" s="10">
        <v>1521</v>
      </c>
      <c r="L17" s="12" t="s">
        <v>4998</v>
      </c>
      <c r="M17" s="10">
        <v>1521992698</v>
      </c>
      <c r="N17" s="10">
        <v>177002</v>
      </c>
      <c r="O17" s="12">
        <v>11</v>
      </c>
    </row>
    <row r="18" spans="1:15" ht="15" customHeight="1" x14ac:dyDescent="0.3">
      <c r="A18" s="9">
        <v>43557</v>
      </c>
      <c r="B18" s="12">
        <v>214</v>
      </c>
      <c r="C18" s="11">
        <v>3.9E-2</v>
      </c>
      <c r="D18" s="12">
        <v>284</v>
      </c>
      <c r="E18" s="11">
        <v>1.7000000000000001E-2</v>
      </c>
      <c r="F18" s="10">
        <v>33154</v>
      </c>
      <c r="G18" s="11">
        <v>1.2E-2</v>
      </c>
      <c r="H18" s="11">
        <v>4.5999999999999999E-2</v>
      </c>
      <c r="I18" s="10">
        <v>13027430</v>
      </c>
      <c r="J18" s="12" t="s">
        <v>4999</v>
      </c>
      <c r="K18" s="10">
        <v>1537</v>
      </c>
      <c r="L18" s="12" t="s">
        <v>5000</v>
      </c>
      <c r="M18" s="10">
        <v>1535020128</v>
      </c>
      <c r="N18" s="10">
        <v>178539</v>
      </c>
      <c r="O18" s="12">
        <v>12</v>
      </c>
    </row>
    <row r="19" spans="1:15" ht="15" customHeight="1" x14ac:dyDescent="0.3">
      <c r="A19" s="9">
        <v>43558</v>
      </c>
      <c r="B19" s="12">
        <v>47</v>
      </c>
      <c r="C19" s="11">
        <v>8.9999999999999993E-3</v>
      </c>
      <c r="D19" s="12">
        <v>53</v>
      </c>
      <c r="E19" s="11">
        <v>3.0000000000000001E-3</v>
      </c>
      <c r="F19" s="10">
        <v>6124</v>
      </c>
      <c r="G19" s="11">
        <v>2E-3</v>
      </c>
      <c r="H19" s="11">
        <v>7.0999999999999994E-2</v>
      </c>
      <c r="I19" s="10">
        <v>3836500</v>
      </c>
      <c r="J19" s="12" t="s">
        <v>5001</v>
      </c>
      <c r="K19" s="12">
        <v>435</v>
      </c>
      <c r="L19" s="12" t="s">
        <v>5002</v>
      </c>
      <c r="M19" s="10">
        <v>1538856628</v>
      </c>
      <c r="N19" s="10">
        <v>178974</v>
      </c>
      <c r="O19" s="12">
        <v>18</v>
      </c>
    </row>
    <row r="20" spans="1:15" ht="15" customHeight="1" x14ac:dyDescent="0.3">
      <c r="A20" s="9">
        <v>43559</v>
      </c>
      <c r="B20" s="12">
        <v>35</v>
      </c>
      <c r="C20" s="11">
        <v>6.0000000000000001E-3</v>
      </c>
      <c r="D20" s="12">
        <v>40</v>
      </c>
      <c r="E20" s="11">
        <v>2E-3</v>
      </c>
      <c r="F20" s="10">
        <v>5057</v>
      </c>
      <c r="G20" s="11">
        <v>2E-3</v>
      </c>
      <c r="H20" s="11">
        <v>8.3000000000000004E-2</v>
      </c>
      <c r="I20" s="10">
        <v>3554500</v>
      </c>
      <c r="J20" s="12" t="s">
        <v>5003</v>
      </c>
      <c r="K20" s="12">
        <v>422</v>
      </c>
      <c r="L20" s="12" t="s">
        <v>5004</v>
      </c>
      <c r="M20" s="10">
        <v>1542411128</v>
      </c>
      <c r="N20" s="10">
        <v>179396</v>
      </c>
      <c r="O20" s="12">
        <v>22</v>
      </c>
    </row>
    <row r="21" spans="1:15" ht="15" customHeight="1" x14ac:dyDescent="0.3">
      <c r="A21" s="9">
        <v>43560</v>
      </c>
      <c r="B21" s="12">
        <v>32</v>
      </c>
      <c r="C21" s="11">
        <v>6.0000000000000001E-3</v>
      </c>
      <c r="D21" s="12">
        <v>39</v>
      </c>
      <c r="E21" s="11">
        <v>2E-3</v>
      </c>
      <c r="F21" s="10">
        <v>4611</v>
      </c>
      <c r="G21" s="11">
        <v>2E-3</v>
      </c>
      <c r="H21" s="11">
        <v>8.5000000000000006E-2</v>
      </c>
      <c r="I21" s="10">
        <v>3838000</v>
      </c>
      <c r="J21" s="12" t="s">
        <v>5005</v>
      </c>
      <c r="K21" s="12">
        <v>394</v>
      </c>
      <c r="L21" s="12" t="s">
        <v>5006</v>
      </c>
      <c r="M21" s="10">
        <v>1546249128</v>
      </c>
      <c r="N21" s="10">
        <v>179790</v>
      </c>
      <c r="O21" s="12">
        <v>19</v>
      </c>
    </row>
    <row r="22" spans="1:15" ht="15" customHeight="1" x14ac:dyDescent="0.3">
      <c r="A22" s="9">
        <v>43561</v>
      </c>
      <c r="B22" s="12">
        <v>35</v>
      </c>
      <c r="C22" s="11">
        <v>6.0000000000000001E-3</v>
      </c>
      <c r="D22" s="12">
        <v>43</v>
      </c>
      <c r="E22" s="11">
        <v>2E-3</v>
      </c>
      <c r="F22" s="10">
        <v>4986</v>
      </c>
      <c r="G22" s="11">
        <v>2E-3</v>
      </c>
      <c r="H22" s="11">
        <v>0.191</v>
      </c>
      <c r="I22" s="10">
        <v>9217000</v>
      </c>
      <c r="J22" s="12" t="s">
        <v>5007</v>
      </c>
      <c r="K22" s="12">
        <v>950</v>
      </c>
      <c r="L22" s="12" t="s">
        <v>5008</v>
      </c>
      <c r="M22" s="10">
        <v>1555466128</v>
      </c>
      <c r="N22" s="10">
        <v>180740</v>
      </c>
      <c r="O22" s="12">
        <v>16</v>
      </c>
    </row>
    <row r="23" spans="1:15" ht="15" customHeight="1" x14ac:dyDescent="0.3">
      <c r="A23" s="9">
        <v>43562</v>
      </c>
      <c r="B23" s="12">
        <v>31</v>
      </c>
      <c r="C23" s="11">
        <v>5.0000000000000001E-3</v>
      </c>
      <c r="D23" s="12">
        <v>38</v>
      </c>
      <c r="E23" s="11">
        <v>2E-3</v>
      </c>
      <c r="F23" s="10">
        <v>4413</v>
      </c>
      <c r="G23" s="11">
        <v>2E-3</v>
      </c>
      <c r="H23" s="11">
        <v>0.27400000000000002</v>
      </c>
      <c r="I23" s="10">
        <v>11837000</v>
      </c>
      <c r="J23" s="12" t="s">
        <v>5009</v>
      </c>
      <c r="K23" s="10">
        <v>1209</v>
      </c>
      <c r="L23" s="12" t="s">
        <v>5010</v>
      </c>
      <c r="M23" s="10">
        <v>1567303128</v>
      </c>
      <c r="N23" s="10">
        <v>181949</v>
      </c>
      <c r="O23" s="12">
        <v>11</v>
      </c>
    </row>
    <row r="24" spans="1:15" ht="15" customHeight="1" x14ac:dyDescent="0.3">
      <c r="A24" s="9">
        <v>43563</v>
      </c>
      <c r="B24" s="12">
        <v>28</v>
      </c>
      <c r="C24" s="11">
        <v>5.0000000000000001E-3</v>
      </c>
      <c r="D24" s="12">
        <v>31</v>
      </c>
      <c r="E24" s="11">
        <v>2E-3</v>
      </c>
      <c r="F24" s="10">
        <v>3511</v>
      </c>
      <c r="G24" s="11">
        <v>1E-3</v>
      </c>
      <c r="H24" s="11">
        <v>2.3E-2</v>
      </c>
      <c r="I24" s="10">
        <v>621100</v>
      </c>
      <c r="J24" s="12" t="s">
        <v>5011</v>
      </c>
      <c r="K24" s="12">
        <v>82</v>
      </c>
      <c r="L24" s="12" t="s">
        <v>5012</v>
      </c>
      <c r="M24" s="10">
        <v>1567924228</v>
      </c>
      <c r="N24" s="10">
        <v>182031</v>
      </c>
      <c r="O24" s="12">
        <v>43</v>
      </c>
    </row>
    <row r="25" spans="1:15" ht="15" customHeight="1" x14ac:dyDescent="0.3">
      <c r="A25" s="9">
        <v>43564</v>
      </c>
      <c r="B25" s="12">
        <v>24</v>
      </c>
      <c r="C25" s="11">
        <v>4.0000000000000001E-3</v>
      </c>
      <c r="D25" s="12">
        <v>28</v>
      </c>
      <c r="E25" s="11">
        <v>2E-3</v>
      </c>
      <c r="F25" s="10">
        <v>3322</v>
      </c>
      <c r="G25" s="11">
        <v>1E-3</v>
      </c>
      <c r="H25" s="11">
        <v>2.8000000000000001E-2</v>
      </c>
      <c r="I25" s="10">
        <v>750000</v>
      </c>
      <c r="J25" s="12" t="s">
        <v>5013</v>
      </c>
      <c r="K25" s="12">
        <v>94</v>
      </c>
      <c r="L25" s="12" t="s">
        <v>5014</v>
      </c>
      <c r="M25" s="10">
        <v>1568674228</v>
      </c>
      <c r="N25" s="10">
        <v>182125</v>
      </c>
      <c r="O25" s="12">
        <v>44</v>
      </c>
    </row>
    <row r="26" spans="1:15" ht="15" customHeight="1" x14ac:dyDescent="0.3">
      <c r="A26" s="9">
        <v>43565</v>
      </c>
      <c r="B26" s="12">
        <v>6</v>
      </c>
      <c r="C26" s="11">
        <v>1E-3</v>
      </c>
      <c r="D26" s="12">
        <v>6</v>
      </c>
      <c r="E26" s="11">
        <v>0</v>
      </c>
      <c r="F26" s="12">
        <v>535</v>
      </c>
      <c r="G26" s="11">
        <v>0</v>
      </c>
      <c r="H26" s="11">
        <v>6.5000000000000002E-2</v>
      </c>
      <c r="I26" s="10">
        <v>322000</v>
      </c>
      <c r="J26" s="12" t="s">
        <v>5015</v>
      </c>
      <c r="K26" s="12">
        <v>35</v>
      </c>
      <c r="L26" s="12" t="s">
        <v>5016</v>
      </c>
      <c r="M26" s="10">
        <v>1568996228</v>
      </c>
      <c r="N26" s="10">
        <v>182160</v>
      </c>
      <c r="O26" s="12">
        <v>58</v>
      </c>
    </row>
    <row r="27" spans="1:15" ht="15" customHeight="1" x14ac:dyDescent="0.3">
      <c r="A27" s="9">
        <v>43566</v>
      </c>
      <c r="B27" s="12">
        <v>4</v>
      </c>
      <c r="C27" s="11">
        <v>1E-3</v>
      </c>
      <c r="D27" s="12">
        <v>4</v>
      </c>
      <c r="E27" s="11">
        <v>0</v>
      </c>
      <c r="F27" s="12">
        <v>392</v>
      </c>
      <c r="G27" s="11">
        <v>0</v>
      </c>
      <c r="H27" s="11">
        <v>0.115</v>
      </c>
      <c r="I27" s="10">
        <v>387000</v>
      </c>
      <c r="J27" s="12" t="s">
        <v>5017</v>
      </c>
      <c r="K27" s="12">
        <v>45</v>
      </c>
      <c r="L27" s="12" t="s">
        <v>5018</v>
      </c>
      <c r="M27" s="10">
        <v>1569383228</v>
      </c>
      <c r="N27" s="10">
        <v>182205</v>
      </c>
      <c r="O27" s="12">
        <v>65</v>
      </c>
    </row>
    <row r="28" spans="1:15" ht="15" customHeight="1" x14ac:dyDescent="0.3">
      <c r="A28" s="9">
        <v>43567</v>
      </c>
      <c r="B28" s="12">
        <v>4</v>
      </c>
      <c r="C28" s="11">
        <v>1E-3</v>
      </c>
      <c r="D28" s="12">
        <v>4</v>
      </c>
      <c r="E28" s="11">
        <v>0</v>
      </c>
      <c r="F28" s="12">
        <v>433</v>
      </c>
      <c r="G28" s="11">
        <v>0</v>
      </c>
      <c r="H28" s="11">
        <v>0.13400000000000001</v>
      </c>
      <c r="I28" s="10">
        <v>547000</v>
      </c>
      <c r="J28" s="12" t="s">
        <v>5019</v>
      </c>
      <c r="K28" s="12">
        <v>58</v>
      </c>
      <c r="L28" s="12" t="s">
        <v>5020</v>
      </c>
      <c r="M28" s="10">
        <v>1569930228</v>
      </c>
      <c r="N28" s="10">
        <v>182263</v>
      </c>
      <c r="O28" s="12">
        <v>56</v>
      </c>
    </row>
    <row r="29" spans="1:15" ht="15" customHeight="1" x14ac:dyDescent="0.3">
      <c r="A29" s="9">
        <v>43568</v>
      </c>
      <c r="B29" s="12">
        <v>5</v>
      </c>
      <c r="C29" s="11">
        <v>1E-3</v>
      </c>
      <c r="D29" s="12">
        <v>5</v>
      </c>
      <c r="E29" s="11">
        <v>0</v>
      </c>
      <c r="F29" s="12">
        <v>403</v>
      </c>
      <c r="G29" s="11">
        <v>0</v>
      </c>
      <c r="H29" s="11">
        <v>7.9000000000000001E-2</v>
      </c>
      <c r="I29" s="10">
        <v>302500</v>
      </c>
      <c r="J29" s="12" t="s">
        <v>5021</v>
      </c>
      <c r="K29" s="12">
        <v>32</v>
      </c>
      <c r="L29" s="12" t="s">
        <v>5022</v>
      </c>
      <c r="M29" s="10">
        <v>1570232728</v>
      </c>
      <c r="N29" s="10">
        <v>182295</v>
      </c>
      <c r="O29" s="12">
        <v>71</v>
      </c>
    </row>
    <row r="30" spans="1:15" ht="15" customHeight="1" x14ac:dyDescent="0.3">
      <c r="A30" s="9">
        <v>43569</v>
      </c>
      <c r="B30" s="12">
        <v>4</v>
      </c>
      <c r="C30" s="11">
        <v>1E-3</v>
      </c>
      <c r="D30" s="12">
        <v>4</v>
      </c>
      <c r="E30" s="11">
        <v>0</v>
      </c>
      <c r="F30" s="12">
        <v>396</v>
      </c>
      <c r="G30" s="11">
        <v>0</v>
      </c>
      <c r="H30" s="11">
        <v>0.13100000000000001</v>
      </c>
      <c r="I30" s="10">
        <v>473000</v>
      </c>
      <c r="J30" s="12" t="s">
        <v>5023</v>
      </c>
      <c r="K30" s="12">
        <v>52</v>
      </c>
      <c r="L30" s="12" t="s">
        <v>5024</v>
      </c>
      <c r="M30" s="10">
        <v>1570705728</v>
      </c>
      <c r="N30" s="10">
        <v>182347</v>
      </c>
      <c r="O30" s="12">
        <v>58</v>
      </c>
    </row>
    <row r="31" spans="1:15" ht="15" customHeight="1" x14ac:dyDescent="0.3">
      <c r="A31" s="9">
        <v>43570</v>
      </c>
      <c r="B31" s="12">
        <v>3</v>
      </c>
      <c r="C31" s="11">
        <v>1E-3</v>
      </c>
      <c r="D31" s="12">
        <v>3</v>
      </c>
      <c r="E31" s="11">
        <v>0</v>
      </c>
      <c r="F31" s="12">
        <v>291</v>
      </c>
      <c r="G31" s="11">
        <v>0</v>
      </c>
      <c r="H31" s="11">
        <v>1.7000000000000001E-2</v>
      </c>
      <c r="I31" s="10">
        <v>35000</v>
      </c>
      <c r="J31" s="12" t="s">
        <v>5025</v>
      </c>
      <c r="K31" s="12">
        <v>5</v>
      </c>
      <c r="L31" s="12" t="s">
        <v>5026</v>
      </c>
      <c r="M31" s="10">
        <v>1570740728</v>
      </c>
      <c r="N31" s="10">
        <v>182352</v>
      </c>
      <c r="O31" s="12">
        <v>83</v>
      </c>
    </row>
    <row r="32" spans="1:15" ht="15" customHeight="1" x14ac:dyDescent="0.3">
      <c r="A32" s="9">
        <v>43571</v>
      </c>
      <c r="B32" s="12">
        <v>6</v>
      </c>
      <c r="C32" s="11">
        <v>1E-3</v>
      </c>
      <c r="D32" s="12">
        <v>6</v>
      </c>
      <c r="E32" s="11">
        <v>0</v>
      </c>
      <c r="F32" s="10">
        <v>1248</v>
      </c>
      <c r="G32" s="11">
        <v>0</v>
      </c>
      <c r="H32" s="11">
        <v>0.76600000000000001</v>
      </c>
      <c r="I32" s="10">
        <v>8594000</v>
      </c>
      <c r="J32" s="12" t="s">
        <v>5027</v>
      </c>
      <c r="K32" s="12">
        <v>956</v>
      </c>
      <c r="L32" s="12" t="s">
        <v>5028</v>
      </c>
      <c r="M32" s="10">
        <v>1579334728</v>
      </c>
      <c r="N32" s="10">
        <v>183308</v>
      </c>
      <c r="O32" s="12">
        <v>16</v>
      </c>
    </row>
    <row r="33" spans="1:15" ht="15" customHeight="1" x14ac:dyDescent="0.3">
      <c r="A33" s="9">
        <v>43572</v>
      </c>
      <c r="B33" s="12">
        <v>3</v>
      </c>
      <c r="C33" s="11">
        <v>1E-3</v>
      </c>
      <c r="D33" s="12">
        <v>3</v>
      </c>
      <c r="E33" s="11">
        <v>0</v>
      </c>
      <c r="F33" s="12">
        <v>386</v>
      </c>
      <c r="G33" s="11">
        <v>0</v>
      </c>
      <c r="H33" s="11">
        <v>0.06</v>
      </c>
      <c r="I33" s="10">
        <v>120000</v>
      </c>
      <c r="J33" s="12" t="s">
        <v>5029</v>
      </c>
      <c r="K33" s="12">
        <v>23</v>
      </c>
      <c r="L33" s="12" t="s">
        <v>5030</v>
      </c>
      <c r="M33" s="10">
        <v>1579454728</v>
      </c>
      <c r="N33" s="10">
        <v>183331</v>
      </c>
      <c r="O33" s="12">
        <v>72</v>
      </c>
    </row>
    <row r="34" spans="1:15" ht="15" customHeight="1" x14ac:dyDescent="0.3">
      <c r="A34" s="9">
        <v>43573</v>
      </c>
      <c r="B34" s="12">
        <v>5</v>
      </c>
      <c r="C34" s="11">
        <v>1E-3</v>
      </c>
      <c r="D34" s="12">
        <v>5</v>
      </c>
      <c r="E34" s="11">
        <v>0</v>
      </c>
      <c r="F34" s="12">
        <v>600</v>
      </c>
      <c r="G34" s="11">
        <v>0</v>
      </c>
      <c r="H34" s="11">
        <v>4.2000000000000003E-2</v>
      </c>
      <c r="I34" s="10">
        <v>145000</v>
      </c>
      <c r="J34" s="12" t="s">
        <v>5031</v>
      </c>
      <c r="K34" s="12">
        <v>25</v>
      </c>
      <c r="L34" s="12" t="s">
        <v>5032</v>
      </c>
      <c r="M34" s="10">
        <v>1579599728</v>
      </c>
      <c r="N34" s="10">
        <v>183356</v>
      </c>
      <c r="O34" s="12">
        <v>81</v>
      </c>
    </row>
    <row r="35" spans="1:15" ht="15" customHeight="1" x14ac:dyDescent="0.3">
      <c r="A35" s="9">
        <v>43574</v>
      </c>
      <c r="B35" s="12">
        <v>3</v>
      </c>
      <c r="C35" s="11">
        <v>0</v>
      </c>
      <c r="D35" s="12">
        <v>3</v>
      </c>
      <c r="E35" s="11">
        <v>0</v>
      </c>
      <c r="F35" s="12">
        <v>369</v>
      </c>
      <c r="G35" s="11">
        <v>0</v>
      </c>
      <c r="H35" s="11">
        <v>4.2999999999999997E-2</v>
      </c>
      <c r="I35" s="10">
        <v>106000</v>
      </c>
      <c r="J35" s="12" t="s">
        <v>5033</v>
      </c>
      <c r="K35" s="12">
        <v>16</v>
      </c>
      <c r="L35" s="12" t="s">
        <v>5034</v>
      </c>
      <c r="M35" s="10">
        <v>1579705728</v>
      </c>
      <c r="N35" s="10">
        <v>183372</v>
      </c>
      <c r="O35" s="12">
        <v>82</v>
      </c>
    </row>
    <row r="36" spans="1:15" ht="15" customHeight="1" x14ac:dyDescent="0.3">
      <c r="A36" s="9">
        <v>43575</v>
      </c>
      <c r="B36" s="12">
        <v>3</v>
      </c>
      <c r="C36" s="11">
        <v>0</v>
      </c>
      <c r="D36" s="12">
        <v>3</v>
      </c>
      <c r="E36" s="11">
        <v>0</v>
      </c>
      <c r="F36" s="12">
        <v>273</v>
      </c>
      <c r="G36" s="11">
        <v>0</v>
      </c>
      <c r="H36" s="11">
        <v>6.2E-2</v>
      </c>
      <c r="I36" s="10">
        <v>107000</v>
      </c>
      <c r="J36" s="12" t="s">
        <v>5035</v>
      </c>
      <c r="K36" s="12">
        <v>17</v>
      </c>
      <c r="L36" s="12" t="s">
        <v>4297</v>
      </c>
      <c r="M36" s="10">
        <v>1579812728</v>
      </c>
      <c r="N36" s="10">
        <v>183389</v>
      </c>
      <c r="O36" s="12">
        <v>81</v>
      </c>
    </row>
    <row r="37" spans="1:15" ht="15" customHeight="1" x14ac:dyDescent="0.3">
      <c r="A37" s="9">
        <v>43576</v>
      </c>
      <c r="B37" s="12">
        <v>5</v>
      </c>
      <c r="C37" s="11">
        <v>1E-3</v>
      </c>
      <c r="D37" s="12">
        <v>5</v>
      </c>
      <c r="E37" s="11">
        <v>0</v>
      </c>
      <c r="F37" s="12">
        <v>650</v>
      </c>
      <c r="G37" s="11">
        <v>0</v>
      </c>
      <c r="H37" s="11">
        <v>4.4999999999999998E-2</v>
      </c>
      <c r="I37" s="10">
        <v>178000</v>
      </c>
      <c r="J37" s="12" t="s">
        <v>5036</v>
      </c>
      <c r="K37" s="12">
        <v>29</v>
      </c>
      <c r="L37" s="12" t="s">
        <v>5037</v>
      </c>
      <c r="M37" s="10">
        <v>1579990728</v>
      </c>
      <c r="N37" s="10">
        <v>183418</v>
      </c>
      <c r="O37" s="12">
        <v>71</v>
      </c>
    </row>
    <row r="38" spans="1:15" ht="15" customHeight="1" x14ac:dyDescent="0.3">
      <c r="A38" s="9">
        <v>43577</v>
      </c>
      <c r="B38" s="12">
        <v>5</v>
      </c>
      <c r="C38" s="11">
        <v>1E-3</v>
      </c>
      <c r="D38" s="12">
        <v>5</v>
      </c>
      <c r="E38" s="11">
        <v>0</v>
      </c>
      <c r="F38" s="12">
        <v>594</v>
      </c>
      <c r="G38" s="11">
        <v>0</v>
      </c>
      <c r="H38" s="11">
        <v>0.217</v>
      </c>
      <c r="I38" s="10">
        <v>646000</v>
      </c>
      <c r="J38" s="12" t="s">
        <v>5038</v>
      </c>
      <c r="K38" s="12">
        <v>129</v>
      </c>
      <c r="L38" s="12" t="s">
        <v>5039</v>
      </c>
      <c r="M38" s="10">
        <v>1580636728</v>
      </c>
      <c r="N38" s="10">
        <v>183547</v>
      </c>
      <c r="O38" s="12">
        <v>41</v>
      </c>
    </row>
    <row r="39" spans="1:15" ht="15" customHeight="1" x14ac:dyDescent="0.3">
      <c r="A39" s="9">
        <v>43578</v>
      </c>
      <c r="B39" s="12">
        <v>4</v>
      </c>
      <c r="C39" s="11">
        <v>1E-3</v>
      </c>
      <c r="D39" s="12">
        <v>4</v>
      </c>
      <c r="E39" s="11">
        <v>0</v>
      </c>
      <c r="F39" s="12">
        <v>546</v>
      </c>
      <c r="G39" s="11">
        <v>0</v>
      </c>
      <c r="H39" s="11">
        <v>0.17199999999999999</v>
      </c>
      <c r="I39" s="10">
        <v>479000</v>
      </c>
      <c r="J39" s="12" t="s">
        <v>5040</v>
      </c>
      <c r="K39" s="12">
        <v>94</v>
      </c>
      <c r="L39" s="12" t="s">
        <v>5041</v>
      </c>
      <c r="M39" s="10">
        <v>1581115728</v>
      </c>
      <c r="N39" s="10">
        <v>183641</v>
      </c>
      <c r="O39" s="12">
        <v>57</v>
      </c>
    </row>
    <row r="40" spans="1:15" ht="15" customHeight="1" x14ac:dyDescent="0.3">
      <c r="A40" s="9">
        <v>43579</v>
      </c>
      <c r="B40" s="12">
        <v>2</v>
      </c>
      <c r="C40" s="11">
        <v>0</v>
      </c>
      <c r="D40" s="12">
        <v>2</v>
      </c>
      <c r="E40" s="11">
        <v>0</v>
      </c>
      <c r="F40" s="12">
        <v>260</v>
      </c>
      <c r="G40" s="11">
        <v>0</v>
      </c>
      <c r="H40" s="11">
        <v>7.6999999999999999E-2</v>
      </c>
      <c r="I40" s="10">
        <v>100000</v>
      </c>
      <c r="J40" s="12" t="s">
        <v>5042</v>
      </c>
      <c r="K40" s="12">
        <v>20</v>
      </c>
      <c r="L40" s="12" t="s">
        <v>5043</v>
      </c>
      <c r="M40" s="10">
        <v>1581215728</v>
      </c>
      <c r="N40" s="10">
        <v>183661</v>
      </c>
      <c r="O40" s="12">
        <v>71</v>
      </c>
    </row>
    <row r="41" spans="1:15" ht="15" customHeight="1" x14ac:dyDescent="0.3">
      <c r="A41" s="9">
        <v>43580</v>
      </c>
      <c r="B41" s="12">
        <v>2</v>
      </c>
      <c r="C41" s="11">
        <v>0</v>
      </c>
      <c r="D41" s="12">
        <v>2</v>
      </c>
      <c r="E41" s="11">
        <v>0</v>
      </c>
      <c r="F41" s="12">
        <v>304</v>
      </c>
      <c r="G41" s="11">
        <v>0</v>
      </c>
      <c r="H41" s="11">
        <v>6.6000000000000003E-2</v>
      </c>
      <c r="I41" s="10">
        <v>100000</v>
      </c>
      <c r="J41" s="12" t="s">
        <v>292</v>
      </c>
      <c r="K41" s="12">
        <v>20</v>
      </c>
      <c r="L41" s="12" t="s">
        <v>292</v>
      </c>
      <c r="M41" s="10">
        <v>1581315728</v>
      </c>
      <c r="N41" s="10">
        <v>183681</v>
      </c>
      <c r="O41" s="12">
        <v>81</v>
      </c>
    </row>
    <row r="42" spans="1:15" ht="15" customHeight="1" x14ac:dyDescent="0.3">
      <c r="A42" s="9">
        <v>43581</v>
      </c>
      <c r="B42" s="12">
        <v>2</v>
      </c>
      <c r="C42" s="11">
        <v>0</v>
      </c>
      <c r="D42" s="12">
        <v>2</v>
      </c>
      <c r="E42" s="11">
        <v>0</v>
      </c>
      <c r="F42" s="12">
        <v>304</v>
      </c>
      <c r="G42" s="11">
        <v>0</v>
      </c>
      <c r="H42" s="11">
        <v>6.6000000000000003E-2</v>
      </c>
      <c r="I42" s="10">
        <v>100000</v>
      </c>
      <c r="J42" s="12" t="s">
        <v>292</v>
      </c>
      <c r="K42" s="12">
        <v>20</v>
      </c>
      <c r="L42" s="12" t="s">
        <v>292</v>
      </c>
      <c r="M42" s="10">
        <v>1581415728</v>
      </c>
      <c r="N42" s="10">
        <v>183701</v>
      </c>
      <c r="O42" s="12">
        <v>70</v>
      </c>
    </row>
    <row r="43" spans="1:15" ht="15" customHeight="1" x14ac:dyDescent="0.3">
      <c r="A43" s="9">
        <v>43582</v>
      </c>
      <c r="B43" s="12">
        <v>2</v>
      </c>
      <c r="C43" s="11">
        <v>0</v>
      </c>
      <c r="D43" s="12">
        <v>2</v>
      </c>
      <c r="E43" s="11">
        <v>0</v>
      </c>
      <c r="F43" s="12">
        <v>310</v>
      </c>
      <c r="G43" s="11">
        <v>0</v>
      </c>
      <c r="H43" s="11">
        <v>7.3999999999999996E-2</v>
      </c>
      <c r="I43" s="10">
        <v>124000</v>
      </c>
      <c r="J43" s="12" t="s">
        <v>5044</v>
      </c>
      <c r="K43" s="12">
        <v>23</v>
      </c>
      <c r="L43" s="12" t="s">
        <v>5045</v>
      </c>
      <c r="M43" s="10">
        <v>1581539728</v>
      </c>
      <c r="N43" s="10">
        <v>183724</v>
      </c>
      <c r="O43" s="12">
        <v>75</v>
      </c>
    </row>
    <row r="44" spans="1:15" ht="15" customHeight="1" x14ac:dyDescent="0.3">
      <c r="A44" s="9">
        <v>43583</v>
      </c>
      <c r="B44" s="12">
        <v>2</v>
      </c>
      <c r="C44" s="11">
        <v>0</v>
      </c>
      <c r="D44" s="12">
        <v>2</v>
      </c>
      <c r="E44" s="11">
        <v>0</v>
      </c>
      <c r="F44" s="12">
        <v>310</v>
      </c>
      <c r="G44" s="11">
        <v>0</v>
      </c>
      <c r="H44" s="11">
        <v>6.5000000000000002E-2</v>
      </c>
      <c r="I44" s="10">
        <v>100000</v>
      </c>
      <c r="J44" s="12" t="s">
        <v>5046</v>
      </c>
      <c r="K44" s="12">
        <v>20</v>
      </c>
      <c r="L44" s="12" t="s">
        <v>5047</v>
      </c>
      <c r="M44" s="10">
        <v>1581639728</v>
      </c>
      <c r="N44" s="10">
        <v>183744</v>
      </c>
      <c r="O44" s="12">
        <v>72</v>
      </c>
    </row>
    <row r="45" spans="1:15" ht="15" customHeight="1" x14ac:dyDescent="0.3">
      <c r="A45" s="9">
        <v>43584</v>
      </c>
      <c r="B45" s="12">
        <v>2</v>
      </c>
      <c r="C45" s="11">
        <v>0</v>
      </c>
      <c r="D45" s="12">
        <v>2</v>
      </c>
      <c r="E45" s="11">
        <v>0</v>
      </c>
      <c r="F45" s="12">
        <v>310</v>
      </c>
      <c r="G45" s="11">
        <v>0</v>
      </c>
      <c r="H45" s="11">
        <v>6.5000000000000002E-2</v>
      </c>
      <c r="I45" s="10">
        <v>100000</v>
      </c>
      <c r="J45" s="12" t="s">
        <v>292</v>
      </c>
      <c r="K45" s="12">
        <v>20</v>
      </c>
      <c r="L45" s="12" t="s">
        <v>292</v>
      </c>
      <c r="M45" s="10">
        <v>1581739728</v>
      </c>
      <c r="N45" s="10">
        <v>183764</v>
      </c>
      <c r="O45" s="12">
        <v>68</v>
      </c>
    </row>
    <row r="46" spans="1:15" ht="15" customHeight="1" x14ac:dyDescent="0.3">
      <c r="A46" s="9">
        <v>43602</v>
      </c>
      <c r="B46" s="12">
        <v>1</v>
      </c>
      <c r="C46" s="11">
        <v>0</v>
      </c>
      <c r="D46" s="12">
        <v>1</v>
      </c>
      <c r="E46" s="11">
        <v>0</v>
      </c>
      <c r="F46" s="12">
        <v>152</v>
      </c>
      <c r="G46" s="11">
        <v>0</v>
      </c>
      <c r="H46" s="11">
        <v>0.13200000000000001</v>
      </c>
      <c r="I46" s="10">
        <v>100000</v>
      </c>
      <c r="J46" s="12" t="s">
        <v>5048</v>
      </c>
      <c r="K46" s="12">
        <v>20</v>
      </c>
      <c r="L46" s="12" t="s">
        <v>5049</v>
      </c>
      <c r="M46" s="10">
        <v>1581839728</v>
      </c>
      <c r="N46" s="10">
        <v>183784</v>
      </c>
      <c r="O46" s="12">
        <v>79</v>
      </c>
    </row>
    <row r="47" spans="1:15" ht="15" customHeight="1" x14ac:dyDescent="0.3"/>
    <row r="48" spans="1:15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D3BB1-9776-46CF-B92C-E0315C44125B}">
  <dimension ref="A1:O65"/>
  <sheetViews>
    <sheetView showGridLines="0" workbookViewId="0">
      <selection activeCell="A5" sqref="A5:O10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9.2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5050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43551</v>
      </c>
      <c r="B5" s="12">
        <v>488</v>
      </c>
      <c r="C5" s="11">
        <v>7.8E-2</v>
      </c>
      <c r="D5" s="10">
        <v>1198</v>
      </c>
      <c r="E5" s="11">
        <v>6.7000000000000004E-2</v>
      </c>
      <c r="F5" s="10">
        <v>153907</v>
      </c>
      <c r="G5" s="11">
        <v>5.3999999999999999E-2</v>
      </c>
      <c r="H5" s="11">
        <v>0.19900000000000001</v>
      </c>
      <c r="I5" s="10">
        <v>178833530</v>
      </c>
      <c r="J5" s="12" t="s">
        <v>5051</v>
      </c>
      <c r="K5" s="10">
        <v>30692</v>
      </c>
      <c r="L5" s="12" t="s">
        <v>5052</v>
      </c>
      <c r="M5" s="10">
        <v>268953680</v>
      </c>
      <c r="N5" s="10">
        <v>40030</v>
      </c>
      <c r="O5" s="12">
        <v>4</v>
      </c>
    </row>
    <row r="6" spans="1:15" ht="15" customHeight="1" x14ac:dyDescent="0.3">
      <c r="A6" s="9">
        <v>43552</v>
      </c>
      <c r="B6" s="12">
        <v>475</v>
      </c>
      <c r="C6" s="11">
        <v>8.1000000000000003E-2</v>
      </c>
      <c r="D6" s="10">
        <v>1175</v>
      </c>
      <c r="E6" s="11">
        <v>6.6000000000000003E-2</v>
      </c>
      <c r="F6" s="10">
        <v>152102</v>
      </c>
      <c r="G6" s="11">
        <v>5.3999999999999999E-2</v>
      </c>
      <c r="H6" s="11">
        <v>9.7000000000000003E-2</v>
      </c>
      <c r="I6" s="10">
        <v>120300990</v>
      </c>
      <c r="J6" s="12" t="s">
        <v>5053</v>
      </c>
      <c r="K6" s="10">
        <v>14808</v>
      </c>
      <c r="L6" s="12" t="s">
        <v>5054</v>
      </c>
      <c r="M6" s="10">
        <v>389254670</v>
      </c>
      <c r="N6" s="10">
        <v>54838</v>
      </c>
      <c r="O6" s="12">
        <v>4</v>
      </c>
    </row>
    <row r="7" spans="1:15" ht="15" customHeight="1" x14ac:dyDescent="0.3">
      <c r="A7" s="9">
        <v>43553</v>
      </c>
      <c r="B7" s="12">
        <v>478</v>
      </c>
      <c r="C7" s="11">
        <v>8.2000000000000003E-2</v>
      </c>
      <c r="D7" s="10">
        <v>1213</v>
      </c>
      <c r="E7" s="11">
        <v>6.7000000000000004E-2</v>
      </c>
      <c r="F7" s="10">
        <v>155485</v>
      </c>
      <c r="G7" s="11">
        <v>5.3999999999999999E-2</v>
      </c>
      <c r="H7" s="11">
        <v>0.13500000000000001</v>
      </c>
      <c r="I7" s="10">
        <v>183348717</v>
      </c>
      <c r="J7" s="12" t="s">
        <v>5055</v>
      </c>
      <c r="K7" s="10">
        <v>21064</v>
      </c>
      <c r="L7" s="12" t="s">
        <v>5056</v>
      </c>
      <c r="M7" s="10">
        <v>572603387</v>
      </c>
      <c r="N7" s="10">
        <v>75902</v>
      </c>
      <c r="O7" s="12">
        <v>4</v>
      </c>
    </row>
    <row r="8" spans="1:15" ht="15" customHeight="1" x14ac:dyDescent="0.3">
      <c r="A8" s="9">
        <v>43554</v>
      </c>
      <c r="B8" s="12">
        <v>482</v>
      </c>
      <c r="C8" s="11">
        <v>7.5999999999999998E-2</v>
      </c>
      <c r="D8" s="10">
        <v>1186</v>
      </c>
      <c r="E8" s="11">
        <v>0.06</v>
      </c>
      <c r="F8" s="10">
        <v>149219</v>
      </c>
      <c r="G8" s="11">
        <v>4.9000000000000002E-2</v>
      </c>
      <c r="H8" s="11">
        <v>0.308</v>
      </c>
      <c r="I8" s="10">
        <v>382984241</v>
      </c>
      <c r="J8" s="12" t="s">
        <v>5057</v>
      </c>
      <c r="K8" s="10">
        <v>46030</v>
      </c>
      <c r="L8" s="12" t="s">
        <v>5058</v>
      </c>
      <c r="M8" s="10">
        <v>955587628</v>
      </c>
      <c r="N8" s="10">
        <v>121932</v>
      </c>
      <c r="O8" s="12">
        <v>5</v>
      </c>
    </row>
    <row r="9" spans="1:15" ht="15" customHeight="1" x14ac:dyDescent="0.3">
      <c r="A9" s="9">
        <v>43555</v>
      </c>
      <c r="B9" s="12">
        <v>532</v>
      </c>
      <c r="C9" s="11">
        <v>8.4000000000000005E-2</v>
      </c>
      <c r="D9" s="10">
        <v>1226</v>
      </c>
      <c r="E9" s="11">
        <v>6.4000000000000001E-2</v>
      </c>
      <c r="F9" s="10">
        <v>155040</v>
      </c>
      <c r="G9" s="11">
        <v>5.1999999999999998E-2</v>
      </c>
      <c r="H9" s="11">
        <v>0.32900000000000001</v>
      </c>
      <c r="I9" s="10">
        <v>418418040</v>
      </c>
      <c r="J9" s="12" t="s">
        <v>5059</v>
      </c>
      <c r="K9" s="10">
        <v>51007</v>
      </c>
      <c r="L9" s="12" t="s">
        <v>5060</v>
      </c>
      <c r="M9" s="10">
        <v>1374005668</v>
      </c>
      <c r="N9" s="10">
        <v>172939</v>
      </c>
      <c r="O9" s="12">
        <v>5</v>
      </c>
    </row>
    <row r="10" spans="1:15" ht="15" customHeight="1" x14ac:dyDescent="0.3">
      <c r="A10" s="9">
        <v>43556</v>
      </c>
      <c r="B10" s="12">
        <v>491</v>
      </c>
      <c r="C10" s="11">
        <v>8.8999999999999996E-2</v>
      </c>
      <c r="D10" s="10">
        <v>1257</v>
      </c>
      <c r="E10" s="11">
        <v>7.2999999999999995E-2</v>
      </c>
      <c r="F10" s="10">
        <v>164094</v>
      </c>
      <c r="G10" s="11">
        <v>0.06</v>
      </c>
      <c r="H10" s="11">
        <v>0.127</v>
      </c>
      <c r="I10" s="10">
        <v>160760250</v>
      </c>
      <c r="J10" s="12" t="s">
        <v>5061</v>
      </c>
      <c r="K10" s="10">
        <v>20766</v>
      </c>
      <c r="L10" s="12" t="s">
        <v>5062</v>
      </c>
      <c r="M10" s="10">
        <v>1534765918</v>
      </c>
      <c r="N10" s="10">
        <v>193705</v>
      </c>
      <c r="O10" s="12">
        <v>3</v>
      </c>
    </row>
    <row r="11" spans="1:15" ht="15" customHeight="1" x14ac:dyDescent="0.3">
      <c r="A11" s="9">
        <v>43557</v>
      </c>
      <c r="B11" s="12">
        <v>503</v>
      </c>
      <c r="C11" s="11">
        <v>9.0999999999999998E-2</v>
      </c>
      <c r="D11" s="10">
        <v>1256</v>
      </c>
      <c r="E11" s="11">
        <v>7.3999999999999996E-2</v>
      </c>
      <c r="F11" s="10">
        <v>165594</v>
      </c>
      <c r="G11" s="11">
        <v>6.2E-2</v>
      </c>
      <c r="H11" s="11">
        <v>9.8000000000000004E-2</v>
      </c>
      <c r="I11" s="10">
        <v>130563990</v>
      </c>
      <c r="J11" s="12" t="s">
        <v>5063</v>
      </c>
      <c r="K11" s="10">
        <v>16164</v>
      </c>
      <c r="L11" s="12" t="s">
        <v>5064</v>
      </c>
      <c r="M11" s="10">
        <v>1665329908</v>
      </c>
      <c r="N11" s="10">
        <v>209869</v>
      </c>
      <c r="O11" s="12">
        <v>3</v>
      </c>
    </row>
    <row r="12" spans="1:15" ht="15" customHeight="1" x14ac:dyDescent="0.3">
      <c r="A12" s="9">
        <v>43558</v>
      </c>
      <c r="B12" s="12">
        <v>294</v>
      </c>
      <c r="C12" s="11">
        <v>5.5E-2</v>
      </c>
      <c r="D12" s="12">
        <v>495</v>
      </c>
      <c r="E12" s="11">
        <v>2.9000000000000001E-2</v>
      </c>
      <c r="F12" s="10">
        <v>63873</v>
      </c>
      <c r="G12" s="11">
        <v>2.4E-2</v>
      </c>
      <c r="H12" s="11">
        <v>0.16400000000000001</v>
      </c>
      <c r="I12" s="10">
        <v>83132960</v>
      </c>
      <c r="J12" s="12" t="s">
        <v>5065</v>
      </c>
      <c r="K12" s="10">
        <v>10495</v>
      </c>
      <c r="L12" s="12" t="s">
        <v>5066</v>
      </c>
      <c r="M12" s="10">
        <v>1748462868</v>
      </c>
      <c r="N12" s="10">
        <v>220364</v>
      </c>
      <c r="O12" s="12">
        <v>5</v>
      </c>
    </row>
    <row r="13" spans="1:15" ht="15" customHeight="1" x14ac:dyDescent="0.3">
      <c r="A13" s="9">
        <v>43559</v>
      </c>
      <c r="B13" s="12">
        <v>342</v>
      </c>
      <c r="C13" s="11">
        <v>6.0999999999999999E-2</v>
      </c>
      <c r="D13" s="12">
        <v>570</v>
      </c>
      <c r="E13" s="11">
        <v>3.3000000000000002E-2</v>
      </c>
      <c r="F13" s="10">
        <v>73888</v>
      </c>
      <c r="G13" s="11">
        <v>2.8000000000000001E-2</v>
      </c>
      <c r="H13" s="11">
        <v>0.13200000000000001</v>
      </c>
      <c r="I13" s="10">
        <v>78418600</v>
      </c>
      <c r="J13" s="12" t="s">
        <v>5067</v>
      </c>
      <c r="K13" s="10">
        <v>9726</v>
      </c>
      <c r="L13" s="12" t="s">
        <v>5068</v>
      </c>
      <c r="M13" s="10">
        <v>1826881468</v>
      </c>
      <c r="N13" s="10">
        <v>230090</v>
      </c>
      <c r="O13" s="12">
        <v>5</v>
      </c>
    </row>
    <row r="14" spans="1:15" ht="15" customHeight="1" x14ac:dyDescent="0.3">
      <c r="A14" s="9">
        <v>43560</v>
      </c>
      <c r="B14" s="12">
        <v>383</v>
      </c>
      <c r="C14" s="11">
        <v>6.6000000000000003E-2</v>
      </c>
      <c r="D14" s="12">
        <v>701</v>
      </c>
      <c r="E14" s="11">
        <v>0.04</v>
      </c>
      <c r="F14" s="10">
        <v>92076</v>
      </c>
      <c r="G14" s="11">
        <v>3.3000000000000002E-2</v>
      </c>
      <c r="H14" s="11">
        <v>0.17899999999999999</v>
      </c>
      <c r="I14" s="10">
        <v>142786590</v>
      </c>
      <c r="J14" s="12" t="s">
        <v>5069</v>
      </c>
      <c r="K14" s="10">
        <v>16465</v>
      </c>
      <c r="L14" s="12" t="s">
        <v>5070</v>
      </c>
      <c r="M14" s="10">
        <v>1969668058</v>
      </c>
      <c r="N14" s="10">
        <v>246555</v>
      </c>
      <c r="O14" s="12">
        <v>5</v>
      </c>
    </row>
    <row r="15" spans="1:15" ht="15" customHeight="1" x14ac:dyDescent="0.3">
      <c r="A15" s="9">
        <v>43561</v>
      </c>
      <c r="B15" s="12">
        <v>433</v>
      </c>
      <c r="C15" s="11">
        <v>6.9000000000000006E-2</v>
      </c>
      <c r="D15" s="12">
        <v>899</v>
      </c>
      <c r="E15" s="11">
        <v>4.8000000000000001E-2</v>
      </c>
      <c r="F15" s="10">
        <v>117737</v>
      </c>
      <c r="G15" s="11">
        <v>0.04</v>
      </c>
      <c r="H15" s="11">
        <v>0.316</v>
      </c>
      <c r="I15" s="10">
        <v>315510970</v>
      </c>
      <c r="J15" s="12" t="s">
        <v>5071</v>
      </c>
      <c r="K15" s="10">
        <v>37263</v>
      </c>
      <c r="L15" s="12" t="s">
        <v>5072</v>
      </c>
      <c r="M15" s="10">
        <v>2285179028</v>
      </c>
      <c r="N15" s="10">
        <v>283818</v>
      </c>
      <c r="O15" s="12">
        <v>5</v>
      </c>
    </row>
    <row r="16" spans="1:15" ht="15" customHeight="1" x14ac:dyDescent="0.3">
      <c r="A16" s="9">
        <v>43562</v>
      </c>
      <c r="B16" s="12">
        <v>438</v>
      </c>
      <c r="C16" s="11">
        <v>7.0999999999999994E-2</v>
      </c>
      <c r="D16" s="12">
        <v>948</v>
      </c>
      <c r="E16" s="11">
        <v>5.1999999999999998E-2</v>
      </c>
      <c r="F16" s="10">
        <v>124458</v>
      </c>
      <c r="G16" s="11">
        <v>4.3999999999999997E-2</v>
      </c>
      <c r="H16" s="11">
        <v>0.28100000000000003</v>
      </c>
      <c r="I16" s="10">
        <v>295047950</v>
      </c>
      <c r="J16" s="12" t="s">
        <v>5073</v>
      </c>
      <c r="K16" s="10">
        <v>34966</v>
      </c>
      <c r="L16" s="12" t="s">
        <v>5074</v>
      </c>
      <c r="M16" s="10">
        <v>2580226978</v>
      </c>
      <c r="N16" s="10">
        <v>318784</v>
      </c>
      <c r="O16" s="12">
        <v>5</v>
      </c>
    </row>
    <row r="17" spans="1:15" ht="15" customHeight="1" x14ac:dyDescent="0.3">
      <c r="A17" s="9">
        <v>43563</v>
      </c>
      <c r="B17" s="12">
        <v>374</v>
      </c>
      <c r="C17" s="11">
        <v>6.9000000000000006E-2</v>
      </c>
      <c r="D17" s="12">
        <v>836</v>
      </c>
      <c r="E17" s="11">
        <v>5.0999999999999997E-2</v>
      </c>
      <c r="F17" s="10">
        <v>112996</v>
      </c>
      <c r="G17" s="11">
        <v>4.3999999999999997E-2</v>
      </c>
      <c r="H17" s="11">
        <v>8.2000000000000003E-2</v>
      </c>
      <c r="I17" s="10">
        <v>76079780</v>
      </c>
      <c r="J17" s="12" t="s">
        <v>5075</v>
      </c>
      <c r="K17" s="10">
        <v>9254</v>
      </c>
      <c r="L17" s="12" t="s">
        <v>5076</v>
      </c>
      <c r="M17" s="10">
        <v>2656306758</v>
      </c>
      <c r="N17" s="10">
        <v>328038</v>
      </c>
      <c r="O17" s="12">
        <v>5</v>
      </c>
    </row>
    <row r="18" spans="1:15" ht="15" customHeight="1" x14ac:dyDescent="0.3">
      <c r="A18" s="9">
        <v>43564</v>
      </c>
      <c r="B18" s="12">
        <v>373</v>
      </c>
      <c r="C18" s="11">
        <v>6.8000000000000005E-2</v>
      </c>
      <c r="D18" s="12">
        <v>818</v>
      </c>
      <c r="E18" s="11">
        <v>5.0999999999999997E-2</v>
      </c>
      <c r="F18" s="10">
        <v>110956</v>
      </c>
      <c r="G18" s="11">
        <v>4.3999999999999997E-2</v>
      </c>
      <c r="H18" s="11">
        <v>7.0000000000000007E-2</v>
      </c>
      <c r="I18" s="10">
        <v>63989180</v>
      </c>
      <c r="J18" s="12" t="s">
        <v>5077</v>
      </c>
      <c r="K18" s="10">
        <v>7732</v>
      </c>
      <c r="L18" s="12" t="s">
        <v>5078</v>
      </c>
      <c r="M18" s="10">
        <v>2720295938</v>
      </c>
      <c r="N18" s="10">
        <v>335770</v>
      </c>
      <c r="O18" s="12">
        <v>5</v>
      </c>
    </row>
    <row r="19" spans="1:15" ht="15" customHeight="1" x14ac:dyDescent="0.3">
      <c r="A19" s="9">
        <v>43565</v>
      </c>
      <c r="B19" s="12">
        <v>334</v>
      </c>
      <c r="C19" s="11">
        <v>5.8999999999999997E-2</v>
      </c>
      <c r="D19" s="12">
        <v>705</v>
      </c>
      <c r="E19" s="11">
        <v>4.2000000000000003E-2</v>
      </c>
      <c r="F19" s="10">
        <v>96364</v>
      </c>
      <c r="G19" s="11">
        <v>3.5999999999999997E-2</v>
      </c>
      <c r="H19" s="11">
        <v>9.6000000000000002E-2</v>
      </c>
      <c r="I19" s="10">
        <v>75382730</v>
      </c>
      <c r="J19" s="12" t="s">
        <v>5079</v>
      </c>
      <c r="K19" s="10">
        <v>9213</v>
      </c>
      <c r="L19" s="12" t="s">
        <v>5080</v>
      </c>
      <c r="M19" s="10">
        <v>2795678668</v>
      </c>
      <c r="N19" s="10">
        <v>344983</v>
      </c>
      <c r="O19" s="12">
        <v>8</v>
      </c>
    </row>
    <row r="20" spans="1:15" ht="15" customHeight="1" x14ac:dyDescent="0.3">
      <c r="A20" s="9">
        <v>43566</v>
      </c>
      <c r="B20" s="12">
        <v>270</v>
      </c>
      <c r="C20" s="11">
        <v>4.3999999999999997E-2</v>
      </c>
      <c r="D20" s="12">
        <v>451</v>
      </c>
      <c r="E20" s="11">
        <v>2.5999999999999999E-2</v>
      </c>
      <c r="F20" s="10">
        <v>62535</v>
      </c>
      <c r="G20" s="11">
        <v>2.3E-2</v>
      </c>
      <c r="H20" s="11">
        <v>9.1999999999999998E-2</v>
      </c>
      <c r="I20" s="10">
        <v>46813060</v>
      </c>
      <c r="J20" s="12" t="s">
        <v>5081</v>
      </c>
      <c r="K20" s="10">
        <v>5750</v>
      </c>
      <c r="L20" s="12" t="s">
        <v>5082</v>
      </c>
      <c r="M20" s="10">
        <v>2842491728</v>
      </c>
      <c r="N20" s="10">
        <v>350733</v>
      </c>
      <c r="O20" s="12">
        <v>11</v>
      </c>
    </row>
    <row r="21" spans="1:15" ht="15" customHeight="1" x14ac:dyDescent="0.3">
      <c r="A21" s="9">
        <v>43567</v>
      </c>
      <c r="B21" s="12">
        <v>296</v>
      </c>
      <c r="C21" s="11">
        <v>4.7E-2</v>
      </c>
      <c r="D21" s="12">
        <v>507</v>
      </c>
      <c r="E21" s="11">
        <v>2.8000000000000001E-2</v>
      </c>
      <c r="F21" s="10">
        <v>70152</v>
      </c>
      <c r="G21" s="11">
        <v>2.5000000000000001E-2</v>
      </c>
      <c r="H21" s="11">
        <v>0.126</v>
      </c>
      <c r="I21" s="10">
        <v>76386380</v>
      </c>
      <c r="J21" s="12" t="s">
        <v>5083</v>
      </c>
      <c r="K21" s="10">
        <v>8815</v>
      </c>
      <c r="L21" s="12" t="s">
        <v>5084</v>
      </c>
      <c r="M21" s="10">
        <v>2918878108</v>
      </c>
      <c r="N21" s="10">
        <v>359548</v>
      </c>
      <c r="O21" s="12">
        <v>11</v>
      </c>
    </row>
    <row r="22" spans="1:15" ht="15" customHeight="1" x14ac:dyDescent="0.3">
      <c r="A22" s="9">
        <v>43568</v>
      </c>
      <c r="B22" s="12">
        <v>307</v>
      </c>
      <c r="C22" s="11">
        <v>4.3999999999999997E-2</v>
      </c>
      <c r="D22" s="12">
        <v>596</v>
      </c>
      <c r="E22" s="11">
        <v>3.1E-2</v>
      </c>
      <c r="F22" s="10">
        <v>81026</v>
      </c>
      <c r="G22" s="11">
        <v>2.7E-2</v>
      </c>
      <c r="H22" s="11">
        <v>0.193</v>
      </c>
      <c r="I22" s="10">
        <v>134139960</v>
      </c>
      <c r="J22" s="12" t="s">
        <v>5085</v>
      </c>
      <c r="K22" s="10">
        <v>15666</v>
      </c>
      <c r="L22" s="12" t="s">
        <v>5086</v>
      </c>
      <c r="M22" s="10">
        <v>3053018068</v>
      </c>
      <c r="N22" s="10">
        <v>375214</v>
      </c>
      <c r="O22" s="12">
        <v>10</v>
      </c>
    </row>
    <row r="23" spans="1:15" ht="15" customHeight="1" x14ac:dyDescent="0.3">
      <c r="A23" s="9">
        <v>43569</v>
      </c>
      <c r="B23" s="12">
        <v>322</v>
      </c>
      <c r="C23" s="11">
        <v>4.5999999999999999E-2</v>
      </c>
      <c r="D23" s="12">
        <v>622</v>
      </c>
      <c r="E23" s="11">
        <v>3.3000000000000002E-2</v>
      </c>
      <c r="F23" s="10">
        <v>85135</v>
      </c>
      <c r="G23" s="11">
        <v>2.9000000000000001E-2</v>
      </c>
      <c r="H23" s="11">
        <v>0.18</v>
      </c>
      <c r="I23" s="10">
        <v>132490160</v>
      </c>
      <c r="J23" s="12" t="s">
        <v>5087</v>
      </c>
      <c r="K23" s="10">
        <v>15334</v>
      </c>
      <c r="L23" s="12" t="s">
        <v>5088</v>
      </c>
      <c r="M23" s="10">
        <v>3185508228</v>
      </c>
      <c r="N23" s="10">
        <v>390548</v>
      </c>
      <c r="O23" s="12">
        <v>12</v>
      </c>
    </row>
    <row r="24" spans="1:15" ht="15" customHeight="1" x14ac:dyDescent="0.3">
      <c r="A24" s="9">
        <v>43570</v>
      </c>
      <c r="B24" s="12">
        <v>274</v>
      </c>
      <c r="C24" s="11">
        <v>4.5999999999999999E-2</v>
      </c>
      <c r="D24" s="12">
        <v>505</v>
      </c>
      <c r="E24" s="11">
        <v>3.1E-2</v>
      </c>
      <c r="F24" s="10">
        <v>70709</v>
      </c>
      <c r="G24" s="11">
        <v>2.7E-2</v>
      </c>
      <c r="H24" s="11">
        <v>5.3999999999999999E-2</v>
      </c>
      <c r="I24" s="10">
        <v>31658350</v>
      </c>
      <c r="J24" s="12" t="s">
        <v>5089</v>
      </c>
      <c r="K24" s="10">
        <v>3831</v>
      </c>
      <c r="L24" s="12" t="s">
        <v>5090</v>
      </c>
      <c r="M24" s="10">
        <v>3217166578</v>
      </c>
      <c r="N24" s="10">
        <v>394379</v>
      </c>
      <c r="O24" s="12">
        <v>11</v>
      </c>
    </row>
    <row r="25" spans="1:15" ht="15" customHeight="1" x14ac:dyDescent="0.3">
      <c r="A25" s="9">
        <v>43571</v>
      </c>
      <c r="B25" s="12">
        <v>266</v>
      </c>
      <c r="C25" s="11">
        <v>4.4999999999999998E-2</v>
      </c>
      <c r="D25" s="12">
        <v>475</v>
      </c>
      <c r="E25" s="11">
        <v>0.03</v>
      </c>
      <c r="F25" s="10">
        <v>66088</v>
      </c>
      <c r="G25" s="11">
        <v>2.5999999999999999E-2</v>
      </c>
      <c r="H25" s="11">
        <v>5.0999999999999997E-2</v>
      </c>
      <c r="I25" s="10">
        <v>27458470</v>
      </c>
      <c r="J25" s="12" t="s">
        <v>5091</v>
      </c>
      <c r="K25" s="10">
        <v>3376</v>
      </c>
      <c r="L25" s="12" t="s">
        <v>5092</v>
      </c>
      <c r="M25" s="10">
        <v>3244625048</v>
      </c>
      <c r="N25" s="10">
        <v>397755</v>
      </c>
      <c r="O25" s="12">
        <v>13</v>
      </c>
    </row>
    <row r="26" spans="1:15" ht="15" customHeight="1" x14ac:dyDescent="0.3">
      <c r="A26" s="9">
        <v>43572</v>
      </c>
      <c r="B26" s="12">
        <v>201</v>
      </c>
      <c r="C26" s="11">
        <v>3.4000000000000002E-2</v>
      </c>
      <c r="D26" s="12">
        <v>372</v>
      </c>
      <c r="E26" s="11">
        <v>2.1999999999999999E-2</v>
      </c>
      <c r="F26" s="10">
        <v>52770</v>
      </c>
      <c r="G26" s="11">
        <v>0.02</v>
      </c>
      <c r="H26" s="11">
        <v>7.4999999999999997E-2</v>
      </c>
      <c r="I26" s="10">
        <v>32348500</v>
      </c>
      <c r="J26" s="12" t="s">
        <v>5093</v>
      </c>
      <c r="K26" s="10">
        <v>3955</v>
      </c>
      <c r="L26" s="12" t="s">
        <v>5094</v>
      </c>
      <c r="M26" s="10">
        <v>3276973548</v>
      </c>
      <c r="N26" s="10">
        <v>401710</v>
      </c>
      <c r="O26" s="12">
        <v>11</v>
      </c>
    </row>
    <row r="27" spans="1:15" ht="15" customHeight="1" x14ac:dyDescent="0.3">
      <c r="A27" s="9">
        <v>43573</v>
      </c>
      <c r="B27" s="12">
        <v>168</v>
      </c>
      <c r="C27" s="11">
        <v>2.5999999999999999E-2</v>
      </c>
      <c r="D27" s="12">
        <v>286</v>
      </c>
      <c r="E27" s="11">
        <v>1.7000000000000001E-2</v>
      </c>
      <c r="F27" s="10">
        <v>39048</v>
      </c>
      <c r="G27" s="11">
        <v>1.4999999999999999E-2</v>
      </c>
      <c r="H27" s="11">
        <v>5.8999999999999997E-2</v>
      </c>
      <c r="I27" s="10">
        <v>18249210</v>
      </c>
      <c r="J27" s="12" t="s">
        <v>5095</v>
      </c>
      <c r="K27" s="10">
        <v>2298</v>
      </c>
      <c r="L27" s="12" t="s">
        <v>5096</v>
      </c>
      <c r="M27" s="10">
        <v>3295222758</v>
      </c>
      <c r="N27" s="10">
        <v>404008</v>
      </c>
      <c r="O27" s="12">
        <v>16</v>
      </c>
    </row>
    <row r="28" spans="1:15" ht="15" customHeight="1" x14ac:dyDescent="0.3">
      <c r="A28" s="9">
        <v>43574</v>
      </c>
      <c r="B28" s="12">
        <v>179</v>
      </c>
      <c r="C28" s="11">
        <v>2.5999999999999999E-2</v>
      </c>
      <c r="D28" s="12">
        <v>320</v>
      </c>
      <c r="E28" s="11">
        <v>1.7999999999999999E-2</v>
      </c>
      <c r="F28" s="10">
        <v>44627</v>
      </c>
      <c r="G28" s="11">
        <v>1.6E-2</v>
      </c>
      <c r="H28" s="11">
        <v>7.4999999999999997E-2</v>
      </c>
      <c r="I28" s="10">
        <v>27767630</v>
      </c>
      <c r="J28" s="12" t="s">
        <v>5097</v>
      </c>
      <c r="K28" s="10">
        <v>3346</v>
      </c>
      <c r="L28" s="12" t="s">
        <v>5098</v>
      </c>
      <c r="M28" s="10">
        <v>3322990388</v>
      </c>
      <c r="N28" s="10">
        <v>407354</v>
      </c>
      <c r="O28" s="12">
        <v>14</v>
      </c>
    </row>
    <row r="29" spans="1:15" ht="15" customHeight="1" x14ac:dyDescent="0.3">
      <c r="A29" s="9">
        <v>43575</v>
      </c>
      <c r="B29" s="12">
        <v>223</v>
      </c>
      <c r="C29" s="11">
        <v>0.03</v>
      </c>
      <c r="D29" s="12">
        <v>435</v>
      </c>
      <c r="E29" s="11">
        <v>2.3E-2</v>
      </c>
      <c r="F29" s="10">
        <v>59487</v>
      </c>
      <c r="G29" s="11">
        <v>0.02</v>
      </c>
      <c r="H29" s="11">
        <v>0.106</v>
      </c>
      <c r="I29" s="10">
        <v>54427180</v>
      </c>
      <c r="J29" s="12" t="s">
        <v>5099</v>
      </c>
      <c r="K29" s="10">
        <v>6309</v>
      </c>
      <c r="L29" s="12" t="s">
        <v>5100</v>
      </c>
      <c r="M29" s="10">
        <v>3377417568</v>
      </c>
      <c r="N29" s="10">
        <v>413663</v>
      </c>
      <c r="O29" s="12">
        <v>11</v>
      </c>
    </row>
    <row r="30" spans="1:15" ht="15" customHeight="1" x14ac:dyDescent="0.3">
      <c r="A30" s="9">
        <v>43576</v>
      </c>
      <c r="B30" s="12">
        <v>225</v>
      </c>
      <c r="C30" s="11">
        <v>0.03</v>
      </c>
      <c r="D30" s="12">
        <v>423</v>
      </c>
      <c r="E30" s="11">
        <v>2.3E-2</v>
      </c>
      <c r="F30" s="10">
        <v>57854</v>
      </c>
      <c r="G30" s="11">
        <v>0.02</v>
      </c>
      <c r="H30" s="11">
        <v>9.4E-2</v>
      </c>
      <c r="I30" s="10">
        <v>46766560</v>
      </c>
      <c r="J30" s="12" t="s">
        <v>5101</v>
      </c>
      <c r="K30" s="10">
        <v>5421</v>
      </c>
      <c r="L30" s="12" t="s">
        <v>5102</v>
      </c>
      <c r="M30" s="10">
        <v>3424184128</v>
      </c>
      <c r="N30" s="10">
        <v>419084</v>
      </c>
      <c r="O30" s="12">
        <v>12</v>
      </c>
    </row>
    <row r="31" spans="1:15" ht="15" customHeight="1" x14ac:dyDescent="0.3">
      <c r="A31" s="9">
        <v>43577</v>
      </c>
      <c r="B31" s="12">
        <v>179</v>
      </c>
      <c r="C31" s="11">
        <v>2.8000000000000001E-2</v>
      </c>
      <c r="D31" s="12">
        <v>327</v>
      </c>
      <c r="E31" s="11">
        <v>2.1000000000000001E-2</v>
      </c>
      <c r="F31" s="10">
        <v>46499</v>
      </c>
      <c r="G31" s="11">
        <v>1.9E-2</v>
      </c>
      <c r="H31" s="11">
        <v>3.3000000000000002E-2</v>
      </c>
      <c r="I31" s="10">
        <v>12614280</v>
      </c>
      <c r="J31" s="12" t="s">
        <v>5103</v>
      </c>
      <c r="K31" s="10">
        <v>1555</v>
      </c>
      <c r="L31" s="12" t="s">
        <v>5104</v>
      </c>
      <c r="M31" s="10">
        <v>3436798408</v>
      </c>
      <c r="N31" s="10">
        <v>420639</v>
      </c>
      <c r="O31" s="12">
        <v>15</v>
      </c>
    </row>
    <row r="32" spans="1:15" ht="15" customHeight="1" x14ac:dyDescent="0.3">
      <c r="A32" s="9">
        <v>43578</v>
      </c>
      <c r="B32" s="12">
        <v>175</v>
      </c>
      <c r="C32" s="11">
        <v>2.7E-2</v>
      </c>
      <c r="D32" s="12">
        <v>303</v>
      </c>
      <c r="E32" s="11">
        <v>0.02</v>
      </c>
      <c r="F32" s="10">
        <v>43199</v>
      </c>
      <c r="G32" s="11">
        <v>1.7999999999999999E-2</v>
      </c>
      <c r="H32" s="11">
        <v>3.9E-2</v>
      </c>
      <c r="I32" s="10">
        <v>13801440</v>
      </c>
      <c r="J32" s="12" t="s">
        <v>5105</v>
      </c>
      <c r="K32" s="10">
        <v>1703</v>
      </c>
      <c r="L32" s="12" t="s">
        <v>5106</v>
      </c>
      <c r="M32" s="10">
        <v>3450599848</v>
      </c>
      <c r="N32" s="10">
        <v>422342</v>
      </c>
      <c r="O32" s="12">
        <v>15</v>
      </c>
    </row>
    <row r="33" spans="1:15" ht="15" customHeight="1" x14ac:dyDescent="0.3">
      <c r="A33" s="9">
        <v>43579</v>
      </c>
      <c r="B33" s="12">
        <v>13</v>
      </c>
      <c r="C33" s="11">
        <v>3.0000000000000001E-3</v>
      </c>
      <c r="D33" s="12">
        <v>18</v>
      </c>
      <c r="E33" s="11">
        <v>1E-3</v>
      </c>
      <c r="F33" s="10">
        <v>1632</v>
      </c>
      <c r="G33" s="11">
        <v>1E-3</v>
      </c>
      <c r="H33" s="11">
        <v>0.123</v>
      </c>
      <c r="I33" s="10">
        <v>1299780</v>
      </c>
      <c r="J33" s="12" t="s">
        <v>5107</v>
      </c>
      <c r="K33" s="12">
        <v>200</v>
      </c>
      <c r="L33" s="12" t="s">
        <v>5108</v>
      </c>
      <c r="M33" s="10">
        <v>3451899628</v>
      </c>
      <c r="N33" s="10">
        <v>422542</v>
      </c>
      <c r="O33" s="12">
        <v>35</v>
      </c>
    </row>
    <row r="34" spans="1:15" ht="15" customHeight="1" x14ac:dyDescent="0.3">
      <c r="A34" s="9">
        <v>43580</v>
      </c>
      <c r="B34" s="12">
        <v>14</v>
      </c>
      <c r="C34" s="11">
        <v>3.0000000000000001E-3</v>
      </c>
      <c r="D34" s="12">
        <v>24</v>
      </c>
      <c r="E34" s="11">
        <v>2E-3</v>
      </c>
      <c r="F34" s="10">
        <v>2145</v>
      </c>
      <c r="G34" s="11">
        <v>1E-3</v>
      </c>
      <c r="H34" s="11">
        <v>0.11600000000000001</v>
      </c>
      <c r="I34" s="10">
        <v>1965000</v>
      </c>
      <c r="J34" s="12" t="s">
        <v>5109</v>
      </c>
      <c r="K34" s="12">
        <v>249</v>
      </c>
      <c r="L34" s="12" t="s">
        <v>5110</v>
      </c>
      <c r="M34" s="10">
        <v>3453864628</v>
      </c>
      <c r="N34" s="10">
        <v>422791</v>
      </c>
      <c r="O34" s="12">
        <v>28</v>
      </c>
    </row>
    <row r="35" spans="1:15" ht="15" customHeight="1" x14ac:dyDescent="0.3">
      <c r="A35" s="9">
        <v>43581</v>
      </c>
      <c r="B35" s="12">
        <v>15</v>
      </c>
      <c r="C35" s="11">
        <v>3.0000000000000001E-3</v>
      </c>
      <c r="D35" s="12">
        <v>24</v>
      </c>
      <c r="E35" s="11">
        <v>1E-3</v>
      </c>
      <c r="F35" s="10">
        <v>2287</v>
      </c>
      <c r="G35" s="11">
        <v>1E-3</v>
      </c>
      <c r="H35" s="11">
        <v>0.189</v>
      </c>
      <c r="I35" s="10">
        <v>3661442</v>
      </c>
      <c r="J35" s="12" t="s">
        <v>5111</v>
      </c>
      <c r="K35" s="12">
        <v>432</v>
      </c>
      <c r="L35" s="12" t="s">
        <v>5112</v>
      </c>
      <c r="M35" s="10">
        <v>3457526070</v>
      </c>
      <c r="N35" s="10">
        <v>423223</v>
      </c>
      <c r="O35" s="12">
        <v>17</v>
      </c>
    </row>
    <row r="36" spans="1:15" ht="15" customHeight="1" x14ac:dyDescent="0.3">
      <c r="A36" s="9">
        <v>43582</v>
      </c>
      <c r="B36" s="12">
        <v>35</v>
      </c>
      <c r="C36" s="11">
        <v>7.0000000000000001E-3</v>
      </c>
      <c r="D36" s="12">
        <v>39</v>
      </c>
      <c r="E36" s="11">
        <v>2E-3</v>
      </c>
      <c r="F36" s="10">
        <v>4685</v>
      </c>
      <c r="G36" s="11">
        <v>2E-3</v>
      </c>
      <c r="H36" s="11">
        <v>0.26800000000000002</v>
      </c>
      <c r="I36" s="10">
        <v>10970340</v>
      </c>
      <c r="J36" s="12" t="s">
        <v>5113</v>
      </c>
      <c r="K36" s="10">
        <v>1256</v>
      </c>
      <c r="L36" s="12" t="s">
        <v>5114</v>
      </c>
      <c r="M36" s="10">
        <v>3468496410</v>
      </c>
      <c r="N36" s="10">
        <v>424479</v>
      </c>
      <c r="O36" s="12">
        <v>10</v>
      </c>
    </row>
    <row r="37" spans="1:15" ht="15" customHeight="1" x14ac:dyDescent="0.3">
      <c r="A37" s="9">
        <v>43583</v>
      </c>
      <c r="B37" s="12">
        <v>13</v>
      </c>
      <c r="C37" s="11">
        <v>3.0000000000000001E-3</v>
      </c>
      <c r="D37" s="12">
        <v>15</v>
      </c>
      <c r="E37" s="11">
        <v>1E-3</v>
      </c>
      <c r="F37" s="10">
        <v>1385</v>
      </c>
      <c r="G37" s="11">
        <v>1E-3</v>
      </c>
      <c r="H37" s="11">
        <v>0.157</v>
      </c>
      <c r="I37" s="10">
        <v>1781150</v>
      </c>
      <c r="J37" s="12" t="s">
        <v>5115</v>
      </c>
      <c r="K37" s="12">
        <v>217</v>
      </c>
      <c r="L37" s="12" t="s">
        <v>5116</v>
      </c>
      <c r="M37" s="10">
        <v>3470277560</v>
      </c>
      <c r="N37" s="10">
        <v>424696</v>
      </c>
      <c r="O37" s="12">
        <v>30</v>
      </c>
    </row>
    <row r="38" spans="1:15" ht="15" customHeight="1" x14ac:dyDescent="0.3">
      <c r="A38" s="9">
        <v>43584</v>
      </c>
      <c r="B38" s="12">
        <v>15</v>
      </c>
      <c r="C38" s="11">
        <v>3.0000000000000001E-3</v>
      </c>
      <c r="D38" s="12">
        <v>21</v>
      </c>
      <c r="E38" s="11">
        <v>1E-3</v>
      </c>
      <c r="F38" s="10">
        <v>2029</v>
      </c>
      <c r="G38" s="11">
        <v>1E-3</v>
      </c>
      <c r="H38" s="11">
        <v>0.10299999999999999</v>
      </c>
      <c r="I38" s="10">
        <v>1628550</v>
      </c>
      <c r="J38" s="12" t="s">
        <v>5117</v>
      </c>
      <c r="K38" s="12">
        <v>208</v>
      </c>
      <c r="L38" s="12" t="s">
        <v>5118</v>
      </c>
      <c r="M38" s="10">
        <v>3471906110</v>
      </c>
      <c r="N38" s="10">
        <v>424904</v>
      </c>
      <c r="O38" s="12">
        <v>32</v>
      </c>
    </row>
    <row r="39" spans="1:15" ht="15" customHeight="1" x14ac:dyDescent="0.3">
      <c r="A39" s="9">
        <v>43585</v>
      </c>
      <c r="B39" s="12">
        <v>18</v>
      </c>
      <c r="C39" s="11">
        <v>4.0000000000000001E-3</v>
      </c>
      <c r="D39" s="12">
        <v>26</v>
      </c>
      <c r="E39" s="11">
        <v>2E-3</v>
      </c>
      <c r="F39" s="10">
        <v>2434</v>
      </c>
      <c r="G39" s="11">
        <v>1E-3</v>
      </c>
      <c r="H39" s="11">
        <v>0.187</v>
      </c>
      <c r="I39" s="10">
        <v>3290850</v>
      </c>
      <c r="J39" s="12" t="s">
        <v>5119</v>
      </c>
      <c r="K39" s="12">
        <v>456</v>
      </c>
      <c r="L39" s="12" t="s">
        <v>5120</v>
      </c>
      <c r="M39" s="10">
        <v>3475196960</v>
      </c>
      <c r="N39" s="10">
        <v>425360</v>
      </c>
      <c r="O39" s="12">
        <v>18</v>
      </c>
    </row>
    <row r="40" spans="1:15" ht="15" customHeight="1" x14ac:dyDescent="0.3">
      <c r="A40" s="9">
        <v>43586</v>
      </c>
      <c r="B40" s="12">
        <v>8</v>
      </c>
      <c r="C40" s="11">
        <v>2E-3</v>
      </c>
      <c r="D40" s="12">
        <v>11</v>
      </c>
      <c r="E40" s="11">
        <v>1E-3</v>
      </c>
      <c r="F40" s="10">
        <v>1032</v>
      </c>
      <c r="G40" s="11">
        <v>0</v>
      </c>
      <c r="H40" s="11">
        <v>0.20100000000000001</v>
      </c>
      <c r="I40" s="10">
        <v>1607730</v>
      </c>
      <c r="J40" s="12" t="s">
        <v>5121</v>
      </c>
      <c r="K40" s="12">
        <v>207</v>
      </c>
      <c r="L40" s="12" t="s">
        <v>5122</v>
      </c>
      <c r="M40" s="10">
        <v>3476804690</v>
      </c>
      <c r="N40" s="10">
        <v>425567</v>
      </c>
      <c r="O40" s="12">
        <v>35</v>
      </c>
    </row>
    <row r="41" spans="1:15" ht="15" customHeight="1" x14ac:dyDescent="0.3">
      <c r="A41" s="9">
        <v>43587</v>
      </c>
      <c r="B41" s="12">
        <v>9</v>
      </c>
      <c r="C41" s="11">
        <v>2E-3</v>
      </c>
      <c r="D41" s="12">
        <v>15</v>
      </c>
      <c r="E41" s="11">
        <v>1E-3</v>
      </c>
      <c r="F41" s="10">
        <v>1566</v>
      </c>
      <c r="G41" s="11">
        <v>1E-3</v>
      </c>
      <c r="H41" s="11">
        <v>0.10100000000000001</v>
      </c>
      <c r="I41" s="10">
        <v>1188240</v>
      </c>
      <c r="J41" s="12" t="s">
        <v>5123</v>
      </c>
      <c r="K41" s="12">
        <v>158</v>
      </c>
      <c r="L41" s="12" t="s">
        <v>5124</v>
      </c>
      <c r="M41" s="10">
        <v>3477992930</v>
      </c>
      <c r="N41" s="10">
        <v>425725</v>
      </c>
      <c r="O41" s="12">
        <v>36</v>
      </c>
    </row>
    <row r="42" spans="1:15" ht="15" customHeight="1" x14ac:dyDescent="0.3">
      <c r="A42" s="9">
        <v>43588</v>
      </c>
      <c r="B42" s="12">
        <v>11</v>
      </c>
      <c r="C42" s="11">
        <v>2E-3</v>
      </c>
      <c r="D42" s="12">
        <v>15</v>
      </c>
      <c r="E42" s="11">
        <v>1E-3</v>
      </c>
      <c r="F42" s="10">
        <v>1841</v>
      </c>
      <c r="G42" s="11">
        <v>1E-3</v>
      </c>
      <c r="H42" s="11">
        <v>0.245</v>
      </c>
      <c r="I42" s="10">
        <v>5429070</v>
      </c>
      <c r="J42" s="12" t="s">
        <v>5125</v>
      </c>
      <c r="K42" s="12">
        <v>451</v>
      </c>
      <c r="L42" s="12" t="s">
        <v>5126</v>
      </c>
      <c r="M42" s="10">
        <v>3483422000</v>
      </c>
      <c r="N42" s="10">
        <v>426176</v>
      </c>
      <c r="O42" s="12">
        <v>17</v>
      </c>
    </row>
    <row r="43" spans="1:15" ht="15" customHeight="1" x14ac:dyDescent="0.3">
      <c r="A43" s="9">
        <v>43589</v>
      </c>
      <c r="B43" s="12">
        <v>8</v>
      </c>
      <c r="C43" s="11">
        <v>1E-3</v>
      </c>
      <c r="D43" s="12">
        <v>9</v>
      </c>
      <c r="E43" s="11">
        <v>1E-3</v>
      </c>
      <c r="F43" s="10">
        <v>1096</v>
      </c>
      <c r="G43" s="11">
        <v>0</v>
      </c>
      <c r="H43" s="11">
        <v>0.28799999999999998</v>
      </c>
      <c r="I43" s="10">
        <v>4308000</v>
      </c>
      <c r="J43" s="12" t="s">
        <v>5127</v>
      </c>
      <c r="K43" s="12">
        <v>316</v>
      </c>
      <c r="L43" s="12" t="s">
        <v>5128</v>
      </c>
      <c r="M43" s="10">
        <v>3487730000</v>
      </c>
      <c r="N43" s="10">
        <v>426492</v>
      </c>
      <c r="O43" s="12">
        <v>19</v>
      </c>
    </row>
    <row r="44" spans="1:15" ht="15" customHeight="1" x14ac:dyDescent="0.3">
      <c r="A44" s="9">
        <v>43590</v>
      </c>
      <c r="B44" s="12">
        <v>6</v>
      </c>
      <c r="C44" s="11">
        <v>1E-3</v>
      </c>
      <c r="D44" s="12">
        <v>10</v>
      </c>
      <c r="E44" s="11">
        <v>1E-3</v>
      </c>
      <c r="F44" s="10">
        <v>1037</v>
      </c>
      <c r="G44" s="11">
        <v>0</v>
      </c>
      <c r="H44" s="11">
        <v>0.19600000000000001</v>
      </c>
      <c r="I44" s="10">
        <v>2363600</v>
      </c>
      <c r="J44" s="12" t="s">
        <v>5129</v>
      </c>
      <c r="K44" s="12">
        <v>203</v>
      </c>
      <c r="L44" s="12" t="s">
        <v>5130</v>
      </c>
      <c r="M44" s="10">
        <v>3490093600</v>
      </c>
      <c r="N44" s="10">
        <v>426695</v>
      </c>
      <c r="O44" s="12">
        <v>22</v>
      </c>
    </row>
    <row r="45" spans="1:15" ht="15" customHeight="1" x14ac:dyDescent="0.3">
      <c r="A45" s="9">
        <v>43591</v>
      </c>
      <c r="B45" s="12">
        <v>5</v>
      </c>
      <c r="C45" s="11">
        <v>1E-3</v>
      </c>
      <c r="D45" s="12">
        <v>5</v>
      </c>
      <c r="E45" s="11">
        <v>0</v>
      </c>
      <c r="F45" s="12">
        <v>610</v>
      </c>
      <c r="G45" s="11">
        <v>0</v>
      </c>
      <c r="H45" s="11">
        <v>0.11600000000000001</v>
      </c>
      <c r="I45" s="10">
        <v>576350</v>
      </c>
      <c r="J45" s="12" t="s">
        <v>5131</v>
      </c>
      <c r="K45" s="12">
        <v>71</v>
      </c>
      <c r="L45" s="12" t="s">
        <v>5132</v>
      </c>
      <c r="M45" s="10">
        <v>3490669950</v>
      </c>
      <c r="N45" s="10">
        <v>426766</v>
      </c>
      <c r="O45" s="12">
        <v>47</v>
      </c>
    </row>
    <row r="46" spans="1:15" ht="15" customHeight="1" x14ac:dyDescent="0.3">
      <c r="A46" s="9">
        <v>43592</v>
      </c>
      <c r="B46" s="12">
        <v>9</v>
      </c>
      <c r="C46" s="11">
        <v>2E-3</v>
      </c>
      <c r="D46" s="12">
        <v>15</v>
      </c>
      <c r="E46" s="11">
        <v>1E-3</v>
      </c>
      <c r="F46" s="10">
        <v>1457</v>
      </c>
      <c r="G46" s="11">
        <v>1E-3</v>
      </c>
      <c r="H46" s="11">
        <v>0.05</v>
      </c>
      <c r="I46" s="10">
        <v>572800</v>
      </c>
      <c r="J46" s="12" t="s">
        <v>5133</v>
      </c>
      <c r="K46" s="12">
        <v>73</v>
      </c>
      <c r="L46" s="12" t="s">
        <v>5134</v>
      </c>
      <c r="M46" s="10">
        <v>3491242750</v>
      </c>
      <c r="N46" s="10">
        <v>426839</v>
      </c>
      <c r="O46" s="12">
        <v>46</v>
      </c>
    </row>
    <row r="47" spans="1:15" ht="15" customHeight="1" x14ac:dyDescent="0.3">
      <c r="A47" s="9">
        <v>43593</v>
      </c>
      <c r="B47" s="12">
        <v>9</v>
      </c>
      <c r="C47" s="11">
        <v>2E-3</v>
      </c>
      <c r="D47" s="12">
        <v>16</v>
      </c>
      <c r="E47" s="11">
        <v>1E-3</v>
      </c>
      <c r="F47" s="10">
        <v>1463</v>
      </c>
      <c r="G47" s="11">
        <v>1E-3</v>
      </c>
      <c r="H47" s="11">
        <v>6.0999999999999999E-2</v>
      </c>
      <c r="I47" s="10">
        <v>753800</v>
      </c>
      <c r="J47" s="12" t="s">
        <v>5135</v>
      </c>
      <c r="K47" s="12">
        <v>89</v>
      </c>
      <c r="L47" s="12" t="s">
        <v>5136</v>
      </c>
      <c r="M47" s="10">
        <v>3491996550</v>
      </c>
      <c r="N47" s="10">
        <v>426928</v>
      </c>
      <c r="O47" s="12">
        <v>48</v>
      </c>
    </row>
    <row r="48" spans="1:15" ht="15" customHeight="1" x14ac:dyDescent="0.3">
      <c r="A48" s="9">
        <v>43594</v>
      </c>
      <c r="B48" s="12">
        <v>4</v>
      </c>
      <c r="C48" s="11">
        <v>1E-3</v>
      </c>
      <c r="D48" s="12">
        <v>6</v>
      </c>
      <c r="E48" s="11">
        <v>0</v>
      </c>
      <c r="F48" s="12">
        <v>495</v>
      </c>
      <c r="G48" s="11">
        <v>0</v>
      </c>
      <c r="H48" s="11">
        <v>7.2999999999999995E-2</v>
      </c>
      <c r="I48" s="10">
        <v>309100</v>
      </c>
      <c r="J48" s="12" t="s">
        <v>5137</v>
      </c>
      <c r="K48" s="12">
        <v>36</v>
      </c>
      <c r="L48" s="12" t="s">
        <v>5138</v>
      </c>
      <c r="M48" s="10">
        <v>3492305650</v>
      </c>
      <c r="N48" s="10">
        <v>426964</v>
      </c>
      <c r="O48" s="12">
        <v>57</v>
      </c>
    </row>
    <row r="49" spans="1:15" ht="15" customHeight="1" x14ac:dyDescent="0.3">
      <c r="A49" s="9">
        <v>43595</v>
      </c>
      <c r="B49" s="12">
        <v>4</v>
      </c>
      <c r="C49" s="11">
        <v>1E-3</v>
      </c>
      <c r="D49" s="12">
        <v>6</v>
      </c>
      <c r="E49" s="11">
        <v>0</v>
      </c>
      <c r="F49" s="12">
        <v>495</v>
      </c>
      <c r="G49" s="11">
        <v>0</v>
      </c>
      <c r="H49" s="11">
        <v>0.107</v>
      </c>
      <c r="I49" s="10">
        <v>508300</v>
      </c>
      <c r="J49" s="12" t="s">
        <v>5139</v>
      </c>
      <c r="K49" s="12">
        <v>53</v>
      </c>
      <c r="L49" s="12" t="s">
        <v>5140</v>
      </c>
      <c r="M49" s="10">
        <v>3492813950</v>
      </c>
      <c r="N49" s="10">
        <v>427017</v>
      </c>
      <c r="O49" s="12">
        <v>47</v>
      </c>
    </row>
    <row r="50" spans="1:15" ht="15" customHeight="1" x14ac:dyDescent="0.3">
      <c r="A50" s="9">
        <v>43596</v>
      </c>
      <c r="B50" s="12">
        <v>3</v>
      </c>
      <c r="C50" s="11">
        <v>1E-3</v>
      </c>
      <c r="D50" s="12">
        <v>6</v>
      </c>
      <c r="E50" s="11">
        <v>0</v>
      </c>
      <c r="F50" s="12">
        <v>500</v>
      </c>
      <c r="G50" s="11">
        <v>0</v>
      </c>
      <c r="H50" s="11">
        <v>0.154</v>
      </c>
      <c r="I50" s="10">
        <v>728000</v>
      </c>
      <c r="J50" s="12" t="s">
        <v>5141</v>
      </c>
      <c r="K50" s="12">
        <v>77</v>
      </c>
      <c r="L50" s="12" t="s">
        <v>5142</v>
      </c>
      <c r="M50" s="10">
        <v>3493541950</v>
      </c>
      <c r="N50" s="10">
        <v>427094</v>
      </c>
      <c r="O50" s="12">
        <v>45</v>
      </c>
    </row>
    <row r="51" spans="1:15" ht="15" customHeight="1" x14ac:dyDescent="0.3">
      <c r="A51" s="9">
        <v>43597</v>
      </c>
      <c r="B51" s="12">
        <v>3</v>
      </c>
      <c r="C51" s="11">
        <v>1E-3</v>
      </c>
      <c r="D51" s="12">
        <v>6</v>
      </c>
      <c r="E51" s="11">
        <v>0</v>
      </c>
      <c r="F51" s="12">
        <v>439</v>
      </c>
      <c r="G51" s="11">
        <v>0</v>
      </c>
      <c r="H51" s="11">
        <v>0.13200000000000001</v>
      </c>
      <c r="I51" s="10">
        <v>512800</v>
      </c>
      <c r="J51" s="12" t="s">
        <v>5143</v>
      </c>
      <c r="K51" s="12">
        <v>58</v>
      </c>
      <c r="L51" s="12" t="s">
        <v>5144</v>
      </c>
      <c r="M51" s="10">
        <v>3494054750</v>
      </c>
      <c r="N51" s="10">
        <v>427152</v>
      </c>
      <c r="O51" s="12">
        <v>45</v>
      </c>
    </row>
    <row r="52" spans="1:15" ht="15" customHeight="1" x14ac:dyDescent="0.3">
      <c r="A52" s="9">
        <v>43598</v>
      </c>
      <c r="B52" s="12">
        <v>3</v>
      </c>
      <c r="C52" s="11">
        <v>1E-3</v>
      </c>
      <c r="D52" s="12">
        <v>5</v>
      </c>
      <c r="E52" s="11">
        <v>0</v>
      </c>
      <c r="F52" s="12">
        <v>457</v>
      </c>
      <c r="G52" s="11">
        <v>0</v>
      </c>
      <c r="H52" s="11">
        <v>3.9E-2</v>
      </c>
      <c r="I52" s="10">
        <v>146300</v>
      </c>
      <c r="J52" s="12" t="s">
        <v>5145</v>
      </c>
      <c r="K52" s="12">
        <v>18</v>
      </c>
      <c r="L52" s="12" t="s">
        <v>5146</v>
      </c>
      <c r="M52" s="10">
        <v>3494201050</v>
      </c>
      <c r="N52" s="10">
        <v>427170</v>
      </c>
      <c r="O52" s="12">
        <v>62</v>
      </c>
    </row>
    <row r="53" spans="1:15" ht="15" customHeight="1" x14ac:dyDescent="0.3">
      <c r="A53" s="9">
        <v>43599</v>
      </c>
      <c r="B53" s="12">
        <v>4</v>
      </c>
      <c r="C53" s="11">
        <v>1E-3</v>
      </c>
      <c r="D53" s="12">
        <v>6</v>
      </c>
      <c r="E53" s="11">
        <v>0</v>
      </c>
      <c r="F53" s="12">
        <v>519</v>
      </c>
      <c r="G53" s="11">
        <v>0</v>
      </c>
      <c r="H53" s="11">
        <v>0.16400000000000001</v>
      </c>
      <c r="I53" s="10">
        <v>511000</v>
      </c>
      <c r="J53" s="12" t="s">
        <v>5147</v>
      </c>
      <c r="K53" s="12">
        <v>85</v>
      </c>
      <c r="L53" s="12" t="s">
        <v>5148</v>
      </c>
      <c r="M53" s="10">
        <v>3494712050</v>
      </c>
      <c r="N53" s="10">
        <v>427255</v>
      </c>
      <c r="O53" s="12">
        <v>42</v>
      </c>
    </row>
    <row r="54" spans="1:15" ht="15" customHeight="1" x14ac:dyDescent="0.3">
      <c r="A54" s="9">
        <v>43600</v>
      </c>
      <c r="B54" s="12">
        <v>1</v>
      </c>
      <c r="C54" s="11">
        <v>0</v>
      </c>
      <c r="D54" s="12">
        <v>1</v>
      </c>
      <c r="E54" s="11">
        <v>0</v>
      </c>
      <c r="F54" s="12">
        <v>59</v>
      </c>
      <c r="G54" s="11">
        <v>0</v>
      </c>
      <c r="H54" s="11">
        <v>1.7000000000000001E-2</v>
      </c>
      <c r="I54" s="10">
        <v>2000</v>
      </c>
      <c r="J54" s="12" t="s">
        <v>5149</v>
      </c>
      <c r="K54" s="12">
        <v>1</v>
      </c>
      <c r="L54" s="12" t="s">
        <v>5150</v>
      </c>
      <c r="M54" s="10">
        <v>3494714050</v>
      </c>
      <c r="N54" s="10">
        <v>427256</v>
      </c>
      <c r="O54" s="12">
        <v>92</v>
      </c>
    </row>
    <row r="55" spans="1:15" ht="15" customHeight="1" x14ac:dyDescent="0.3">
      <c r="A55" s="9">
        <v>43601</v>
      </c>
      <c r="B55" s="12">
        <v>1</v>
      </c>
      <c r="C55" s="11">
        <v>0</v>
      </c>
      <c r="D55" s="12">
        <v>1</v>
      </c>
      <c r="E55" s="11">
        <v>0</v>
      </c>
      <c r="F55" s="12">
        <v>59</v>
      </c>
      <c r="G55" s="11">
        <v>0</v>
      </c>
      <c r="H55" s="11">
        <v>1.7000000000000001E-2</v>
      </c>
      <c r="I55" s="10">
        <v>2000</v>
      </c>
      <c r="J55" s="12" t="s">
        <v>292</v>
      </c>
      <c r="K55" s="12">
        <v>1</v>
      </c>
      <c r="L55" s="12" t="s">
        <v>292</v>
      </c>
      <c r="M55" s="10">
        <v>3494716050</v>
      </c>
      <c r="N55" s="10">
        <v>427257</v>
      </c>
      <c r="O55" s="12">
        <v>98</v>
      </c>
    </row>
    <row r="56" spans="1:15" ht="15" customHeight="1" x14ac:dyDescent="0.3">
      <c r="A56" s="9">
        <v>43602</v>
      </c>
      <c r="B56" s="12">
        <v>1</v>
      </c>
      <c r="C56" s="11">
        <v>0</v>
      </c>
      <c r="D56" s="12">
        <v>1</v>
      </c>
      <c r="E56" s="11">
        <v>0</v>
      </c>
      <c r="F56" s="12">
        <v>59</v>
      </c>
      <c r="G56" s="11">
        <v>0</v>
      </c>
      <c r="H56" s="11">
        <v>1.7000000000000001E-2</v>
      </c>
      <c r="I56" s="10">
        <v>2000</v>
      </c>
      <c r="J56" s="12" t="s">
        <v>292</v>
      </c>
      <c r="K56" s="12">
        <v>1</v>
      </c>
      <c r="L56" s="12" t="s">
        <v>292</v>
      </c>
      <c r="M56" s="10">
        <v>3494718050</v>
      </c>
      <c r="N56" s="10">
        <v>427258</v>
      </c>
      <c r="O56" s="12">
        <v>113</v>
      </c>
    </row>
    <row r="57" spans="1:15" ht="15" customHeight="1" x14ac:dyDescent="0.3">
      <c r="A57" s="9">
        <v>43603</v>
      </c>
      <c r="B57" s="12">
        <v>1</v>
      </c>
      <c r="C57" s="11">
        <v>0</v>
      </c>
      <c r="D57" s="12">
        <v>1</v>
      </c>
      <c r="E57" s="11">
        <v>0</v>
      </c>
      <c r="F57" s="12">
        <v>59</v>
      </c>
      <c r="G57" s="11">
        <v>0</v>
      </c>
      <c r="H57" s="11">
        <v>1.7000000000000001E-2</v>
      </c>
      <c r="I57" s="10">
        <v>2000</v>
      </c>
      <c r="J57" s="12" t="s">
        <v>292</v>
      </c>
      <c r="K57" s="12">
        <v>1</v>
      </c>
      <c r="L57" s="12" t="s">
        <v>292</v>
      </c>
      <c r="M57" s="10">
        <v>3494720050</v>
      </c>
      <c r="N57" s="10">
        <v>427259</v>
      </c>
      <c r="O57" s="12">
        <v>100</v>
      </c>
    </row>
    <row r="58" spans="1:15" ht="15" customHeight="1" x14ac:dyDescent="0.3">
      <c r="A58" s="9">
        <v>43604</v>
      </c>
      <c r="B58" s="12">
        <v>1</v>
      </c>
      <c r="C58" s="11">
        <v>0</v>
      </c>
      <c r="D58" s="12">
        <v>1</v>
      </c>
      <c r="E58" s="11">
        <v>0</v>
      </c>
      <c r="F58" s="12">
        <v>59</v>
      </c>
      <c r="G58" s="11">
        <v>0</v>
      </c>
      <c r="H58" s="11">
        <v>1.7000000000000001E-2</v>
      </c>
      <c r="I58" s="10">
        <v>2000</v>
      </c>
      <c r="J58" s="12" t="s">
        <v>292</v>
      </c>
      <c r="K58" s="12">
        <v>1</v>
      </c>
      <c r="L58" s="12" t="s">
        <v>292</v>
      </c>
      <c r="M58" s="10">
        <v>3494722050</v>
      </c>
      <c r="N58" s="10">
        <v>427260</v>
      </c>
      <c r="O58" s="12">
        <v>95</v>
      </c>
    </row>
    <row r="59" spans="1:15" ht="15" customHeight="1" x14ac:dyDescent="0.3">
      <c r="A59" s="9">
        <v>43633</v>
      </c>
      <c r="B59" s="12">
        <v>3</v>
      </c>
      <c r="C59" s="11">
        <v>1E-3</v>
      </c>
      <c r="D59" s="12">
        <v>3</v>
      </c>
      <c r="E59" s="11">
        <v>0</v>
      </c>
      <c r="F59" s="12">
        <v>790</v>
      </c>
      <c r="G59" s="11">
        <v>0</v>
      </c>
      <c r="H59" s="11">
        <v>0.94799999999999995</v>
      </c>
      <c r="I59" s="10">
        <v>6741000</v>
      </c>
      <c r="J59" s="12" t="s">
        <v>5151</v>
      </c>
      <c r="K59" s="12">
        <v>749</v>
      </c>
      <c r="L59" s="12" t="s">
        <v>5152</v>
      </c>
      <c r="M59" s="10">
        <v>3501463050</v>
      </c>
      <c r="N59" s="10">
        <v>428009</v>
      </c>
      <c r="O59" s="12">
        <v>13</v>
      </c>
    </row>
    <row r="60" spans="1:15" ht="15" customHeight="1" x14ac:dyDescent="0.3"/>
    <row r="61" spans="1:15" ht="15" customHeight="1" x14ac:dyDescent="0.3"/>
    <row r="62" spans="1:15" ht="15" customHeight="1" x14ac:dyDescent="0.3"/>
    <row r="63" spans="1:15" ht="15" customHeight="1" x14ac:dyDescent="0.3"/>
    <row r="64" spans="1:15" ht="15" customHeight="1" x14ac:dyDescent="0.3"/>
    <row r="6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FE058-9BD6-47CE-867E-B6F7234265B2}">
  <dimension ref="A1:O63"/>
  <sheetViews>
    <sheetView showGridLines="0" workbookViewId="0">
      <selection activeCell="A5" sqref="A5:O7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12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5153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43538</v>
      </c>
      <c r="B5" s="12">
        <v>457</v>
      </c>
      <c r="C5" s="11">
        <v>8.1000000000000003E-2</v>
      </c>
      <c r="D5" s="10">
        <v>1214</v>
      </c>
      <c r="E5" s="11">
        <v>6.9000000000000006E-2</v>
      </c>
      <c r="F5" s="10">
        <v>156047</v>
      </c>
      <c r="G5" s="11">
        <v>5.6000000000000001E-2</v>
      </c>
      <c r="H5" s="11">
        <v>7.3999999999999996E-2</v>
      </c>
      <c r="I5" s="10">
        <v>89953480</v>
      </c>
      <c r="J5" s="12" t="s">
        <v>5155</v>
      </c>
      <c r="K5" s="10">
        <v>11599</v>
      </c>
      <c r="L5" s="12" t="s">
        <v>5156</v>
      </c>
      <c r="M5" s="10">
        <v>101461480</v>
      </c>
      <c r="N5" s="10">
        <v>12906</v>
      </c>
      <c r="O5" s="12">
        <v>3</v>
      </c>
    </row>
    <row r="6" spans="1:15" ht="15" customHeight="1" x14ac:dyDescent="0.3">
      <c r="A6" s="9">
        <v>43539</v>
      </c>
      <c r="B6" s="12">
        <v>462</v>
      </c>
      <c r="C6" s="11">
        <v>8.2000000000000003E-2</v>
      </c>
      <c r="D6" s="10">
        <v>1249</v>
      </c>
      <c r="E6" s="11">
        <v>6.8000000000000005E-2</v>
      </c>
      <c r="F6" s="10">
        <v>161166</v>
      </c>
      <c r="G6" s="11">
        <v>5.6000000000000001E-2</v>
      </c>
      <c r="H6" s="11">
        <v>7.1999999999999995E-2</v>
      </c>
      <c r="I6" s="10">
        <v>99308786</v>
      </c>
      <c r="J6" s="12" t="s">
        <v>5157</v>
      </c>
      <c r="K6" s="10">
        <v>11572</v>
      </c>
      <c r="L6" s="12" t="s">
        <v>5158</v>
      </c>
      <c r="M6" s="10">
        <v>200770266</v>
      </c>
      <c r="N6" s="10">
        <v>24478</v>
      </c>
      <c r="O6" s="12">
        <v>3</v>
      </c>
    </row>
    <row r="7" spans="1:15" ht="15" customHeight="1" x14ac:dyDescent="0.3">
      <c r="A7" s="9">
        <v>43540</v>
      </c>
      <c r="B7" s="12">
        <v>472</v>
      </c>
      <c r="C7" s="11">
        <v>7.0999999999999994E-2</v>
      </c>
      <c r="D7" s="10">
        <v>1153</v>
      </c>
      <c r="E7" s="11">
        <v>5.8999999999999997E-2</v>
      </c>
      <c r="F7" s="10">
        <v>144074</v>
      </c>
      <c r="G7" s="11">
        <v>4.7E-2</v>
      </c>
      <c r="H7" s="11">
        <v>0.14899999999999999</v>
      </c>
      <c r="I7" s="10">
        <v>189511953</v>
      </c>
      <c r="J7" s="12" t="s">
        <v>5159</v>
      </c>
      <c r="K7" s="10">
        <v>21532</v>
      </c>
      <c r="L7" s="12" t="s">
        <v>5160</v>
      </c>
      <c r="M7" s="10">
        <v>390282219</v>
      </c>
      <c r="N7" s="10">
        <v>46010</v>
      </c>
      <c r="O7" s="12">
        <v>4</v>
      </c>
    </row>
    <row r="8" spans="1:15" ht="15" customHeight="1" x14ac:dyDescent="0.3">
      <c r="A8" s="9">
        <v>43541</v>
      </c>
      <c r="B8" s="12">
        <v>460</v>
      </c>
      <c r="C8" s="11">
        <v>7.0000000000000007E-2</v>
      </c>
      <c r="D8" s="10">
        <v>1104</v>
      </c>
      <c r="E8" s="11">
        <v>5.8000000000000003E-2</v>
      </c>
      <c r="F8" s="10">
        <v>138250</v>
      </c>
      <c r="G8" s="11">
        <v>4.7E-2</v>
      </c>
      <c r="H8" s="11">
        <v>0.13200000000000001</v>
      </c>
      <c r="I8" s="10">
        <v>158774390</v>
      </c>
      <c r="J8" s="12" t="s">
        <v>5161</v>
      </c>
      <c r="K8" s="10">
        <v>18292</v>
      </c>
      <c r="L8" s="12" t="s">
        <v>5162</v>
      </c>
      <c r="M8" s="10">
        <v>549056609</v>
      </c>
      <c r="N8" s="10">
        <v>64302</v>
      </c>
      <c r="O8" s="12">
        <v>4</v>
      </c>
    </row>
    <row r="9" spans="1:15" ht="15" customHeight="1" x14ac:dyDescent="0.3">
      <c r="A9" s="9">
        <v>43542</v>
      </c>
      <c r="B9" s="12">
        <v>460</v>
      </c>
      <c r="C9" s="11">
        <v>8.5000000000000006E-2</v>
      </c>
      <c r="D9" s="10">
        <v>1148</v>
      </c>
      <c r="E9" s="11">
        <v>6.8000000000000005E-2</v>
      </c>
      <c r="F9" s="10">
        <v>146220</v>
      </c>
      <c r="G9" s="11">
        <v>5.5E-2</v>
      </c>
      <c r="H9" s="11">
        <v>5.6000000000000001E-2</v>
      </c>
      <c r="I9" s="10">
        <v>63227320</v>
      </c>
      <c r="J9" s="12" t="s">
        <v>5163</v>
      </c>
      <c r="K9" s="10">
        <v>8243</v>
      </c>
      <c r="L9" s="12" t="s">
        <v>5164</v>
      </c>
      <c r="M9" s="10">
        <v>612283929</v>
      </c>
      <c r="N9" s="10">
        <v>72545</v>
      </c>
      <c r="O9" s="12">
        <v>3</v>
      </c>
    </row>
    <row r="10" spans="1:15" ht="15" customHeight="1" x14ac:dyDescent="0.3">
      <c r="A10" s="9">
        <v>43543</v>
      </c>
      <c r="B10" s="12">
        <v>455</v>
      </c>
      <c r="C10" s="11">
        <v>8.2000000000000003E-2</v>
      </c>
      <c r="D10" s="10">
        <v>1101</v>
      </c>
      <c r="E10" s="11">
        <v>6.7000000000000004E-2</v>
      </c>
      <c r="F10" s="10">
        <v>140165</v>
      </c>
      <c r="G10" s="11">
        <v>5.3999999999999999E-2</v>
      </c>
      <c r="H10" s="11">
        <v>5.6000000000000001E-2</v>
      </c>
      <c r="I10" s="10">
        <v>60288910</v>
      </c>
      <c r="J10" s="12" t="s">
        <v>5165</v>
      </c>
      <c r="K10" s="10">
        <v>7829</v>
      </c>
      <c r="L10" s="12" t="s">
        <v>5166</v>
      </c>
      <c r="M10" s="10">
        <v>672572839</v>
      </c>
      <c r="N10" s="10">
        <v>80374</v>
      </c>
      <c r="O10" s="12">
        <v>3</v>
      </c>
    </row>
    <row r="11" spans="1:15" ht="15" customHeight="1" x14ac:dyDescent="0.3">
      <c r="A11" s="9">
        <v>43544</v>
      </c>
      <c r="B11" s="12">
        <v>177</v>
      </c>
      <c r="C11" s="11">
        <v>3.3000000000000002E-2</v>
      </c>
      <c r="D11" s="12">
        <v>248</v>
      </c>
      <c r="E11" s="11">
        <v>1.4999999999999999E-2</v>
      </c>
      <c r="F11" s="10">
        <v>33478</v>
      </c>
      <c r="G11" s="11">
        <v>1.2999999999999999E-2</v>
      </c>
      <c r="H11" s="11">
        <v>0.06</v>
      </c>
      <c r="I11" s="10">
        <v>15043290</v>
      </c>
      <c r="J11" s="12" t="s">
        <v>5167</v>
      </c>
      <c r="K11" s="10">
        <v>2010</v>
      </c>
      <c r="L11" s="12" t="s">
        <v>5168</v>
      </c>
      <c r="M11" s="10">
        <v>687616129</v>
      </c>
      <c r="N11" s="10">
        <v>82384</v>
      </c>
      <c r="O11" s="12">
        <v>7</v>
      </c>
    </row>
    <row r="12" spans="1:15" ht="15" customHeight="1" x14ac:dyDescent="0.3">
      <c r="A12" s="9">
        <v>43545</v>
      </c>
      <c r="B12" s="12">
        <v>111</v>
      </c>
      <c r="C12" s="11">
        <v>2.1000000000000001E-2</v>
      </c>
      <c r="D12" s="12">
        <v>187</v>
      </c>
      <c r="E12" s="11">
        <v>1.0999999999999999E-2</v>
      </c>
      <c r="F12" s="10">
        <v>23953</v>
      </c>
      <c r="G12" s="11">
        <v>8.9999999999999993E-3</v>
      </c>
      <c r="H12" s="11">
        <v>0.08</v>
      </c>
      <c r="I12" s="10">
        <v>14321100</v>
      </c>
      <c r="J12" s="12" t="s">
        <v>5169</v>
      </c>
      <c r="K12" s="10">
        <v>1914</v>
      </c>
      <c r="L12" s="12" t="s">
        <v>5170</v>
      </c>
      <c r="M12" s="10">
        <v>701937229</v>
      </c>
      <c r="N12" s="10">
        <v>84298</v>
      </c>
      <c r="O12" s="12">
        <v>9</v>
      </c>
    </row>
    <row r="13" spans="1:15" ht="15" customHeight="1" x14ac:dyDescent="0.3">
      <c r="A13" s="9">
        <v>43546</v>
      </c>
      <c r="B13" s="12">
        <v>114</v>
      </c>
      <c r="C13" s="11">
        <v>2.1999999999999999E-2</v>
      </c>
      <c r="D13" s="12">
        <v>189</v>
      </c>
      <c r="E13" s="11">
        <v>1.0999999999999999E-2</v>
      </c>
      <c r="F13" s="10">
        <v>24567</v>
      </c>
      <c r="G13" s="11">
        <v>8.9999999999999993E-3</v>
      </c>
      <c r="H13" s="11">
        <v>8.3000000000000004E-2</v>
      </c>
      <c r="I13" s="10">
        <v>16801460</v>
      </c>
      <c r="J13" s="12" t="s">
        <v>5171</v>
      </c>
      <c r="K13" s="10">
        <v>2032</v>
      </c>
      <c r="L13" s="12" t="s">
        <v>5172</v>
      </c>
      <c r="M13" s="10">
        <v>718738689</v>
      </c>
      <c r="N13" s="10">
        <v>86330</v>
      </c>
      <c r="O13" s="12">
        <v>8</v>
      </c>
    </row>
    <row r="14" spans="1:15" ht="15" customHeight="1" x14ac:dyDescent="0.3">
      <c r="A14" s="9">
        <v>43547</v>
      </c>
      <c r="B14" s="12">
        <v>103</v>
      </c>
      <c r="C14" s="11">
        <v>1.7999999999999999E-2</v>
      </c>
      <c r="D14" s="12">
        <v>172</v>
      </c>
      <c r="E14" s="11">
        <v>8.9999999999999993E-3</v>
      </c>
      <c r="F14" s="10">
        <v>21323</v>
      </c>
      <c r="G14" s="11">
        <v>7.0000000000000001E-3</v>
      </c>
      <c r="H14" s="11">
        <v>0.17799999999999999</v>
      </c>
      <c r="I14" s="10">
        <v>32349160</v>
      </c>
      <c r="J14" s="12" t="s">
        <v>5173</v>
      </c>
      <c r="K14" s="10">
        <v>3801</v>
      </c>
      <c r="L14" s="12" t="s">
        <v>5174</v>
      </c>
      <c r="M14" s="10">
        <v>751087849</v>
      </c>
      <c r="N14" s="10">
        <v>90131</v>
      </c>
      <c r="O14" s="12">
        <v>9</v>
      </c>
    </row>
    <row r="15" spans="1:15" ht="15" customHeight="1" x14ac:dyDescent="0.3">
      <c r="A15" s="9">
        <v>43548</v>
      </c>
      <c r="B15" s="12">
        <v>101</v>
      </c>
      <c r="C15" s="11">
        <v>1.7999999999999999E-2</v>
      </c>
      <c r="D15" s="12">
        <v>169</v>
      </c>
      <c r="E15" s="11">
        <v>8.9999999999999993E-3</v>
      </c>
      <c r="F15" s="10">
        <v>20904</v>
      </c>
      <c r="G15" s="11">
        <v>7.0000000000000001E-3</v>
      </c>
      <c r="H15" s="11">
        <v>0.16</v>
      </c>
      <c r="I15" s="10">
        <v>27805210</v>
      </c>
      <c r="J15" s="12" t="s">
        <v>5175</v>
      </c>
      <c r="K15" s="10">
        <v>3345</v>
      </c>
      <c r="L15" s="12" t="s">
        <v>5176</v>
      </c>
      <c r="M15" s="10">
        <v>778893059</v>
      </c>
      <c r="N15" s="10">
        <v>93476</v>
      </c>
      <c r="O15" s="12">
        <v>8</v>
      </c>
    </row>
    <row r="16" spans="1:15" ht="15" customHeight="1" x14ac:dyDescent="0.3">
      <c r="A16" s="9">
        <v>43549</v>
      </c>
      <c r="B16" s="12">
        <v>110</v>
      </c>
      <c r="C16" s="11">
        <v>2.1999999999999999E-2</v>
      </c>
      <c r="D16" s="12">
        <v>178</v>
      </c>
      <c r="E16" s="11">
        <v>1.0999999999999999E-2</v>
      </c>
      <c r="F16" s="10">
        <v>22655</v>
      </c>
      <c r="G16" s="11">
        <v>8.0000000000000002E-3</v>
      </c>
      <c r="H16" s="11">
        <v>7.2999999999999995E-2</v>
      </c>
      <c r="I16" s="10">
        <v>12252050</v>
      </c>
      <c r="J16" s="12" t="s">
        <v>5177</v>
      </c>
      <c r="K16" s="10">
        <v>1656</v>
      </c>
      <c r="L16" s="12" t="s">
        <v>5178</v>
      </c>
      <c r="M16" s="10">
        <v>791145109</v>
      </c>
      <c r="N16" s="10">
        <v>95132</v>
      </c>
      <c r="O16" s="12">
        <v>7</v>
      </c>
    </row>
    <row r="17" spans="1:15" ht="15" customHeight="1" x14ac:dyDescent="0.3">
      <c r="A17" s="9">
        <v>43550</v>
      </c>
      <c r="B17" s="12">
        <v>105</v>
      </c>
      <c r="C17" s="11">
        <v>2.1000000000000001E-2</v>
      </c>
      <c r="D17" s="12">
        <v>171</v>
      </c>
      <c r="E17" s="11">
        <v>0.01</v>
      </c>
      <c r="F17" s="10">
        <v>21806</v>
      </c>
      <c r="G17" s="11">
        <v>8.0000000000000002E-3</v>
      </c>
      <c r="H17" s="11">
        <v>6.7000000000000004E-2</v>
      </c>
      <c r="I17" s="10">
        <v>10424550</v>
      </c>
      <c r="J17" s="12" t="s">
        <v>5179</v>
      </c>
      <c r="K17" s="10">
        <v>1465</v>
      </c>
      <c r="L17" s="12" t="s">
        <v>5180</v>
      </c>
      <c r="M17" s="10">
        <v>801569659</v>
      </c>
      <c r="N17" s="10">
        <v>96597</v>
      </c>
      <c r="O17" s="12">
        <v>9</v>
      </c>
    </row>
    <row r="18" spans="1:15" ht="15" customHeight="1" x14ac:dyDescent="0.3">
      <c r="A18" s="9">
        <v>43551</v>
      </c>
      <c r="B18" s="12">
        <v>37</v>
      </c>
      <c r="C18" s="11">
        <v>6.0000000000000001E-3</v>
      </c>
      <c r="D18" s="12">
        <v>56</v>
      </c>
      <c r="E18" s="11">
        <v>3.0000000000000001E-3</v>
      </c>
      <c r="F18" s="10">
        <v>7542</v>
      </c>
      <c r="G18" s="11">
        <v>3.0000000000000001E-3</v>
      </c>
      <c r="H18" s="11">
        <v>0.1</v>
      </c>
      <c r="I18" s="10">
        <v>5040400</v>
      </c>
      <c r="J18" s="12" t="s">
        <v>5181</v>
      </c>
      <c r="K18" s="12">
        <v>757</v>
      </c>
      <c r="L18" s="12" t="s">
        <v>5182</v>
      </c>
      <c r="M18" s="10">
        <v>806610059</v>
      </c>
      <c r="N18" s="10">
        <v>97354</v>
      </c>
      <c r="O18" s="12">
        <v>18</v>
      </c>
    </row>
    <row r="19" spans="1:15" ht="15" customHeight="1" x14ac:dyDescent="0.3">
      <c r="A19" s="9">
        <v>43552</v>
      </c>
      <c r="B19" s="12">
        <v>21</v>
      </c>
      <c r="C19" s="11">
        <v>4.0000000000000001E-3</v>
      </c>
      <c r="D19" s="12">
        <v>24</v>
      </c>
      <c r="E19" s="11">
        <v>1E-3</v>
      </c>
      <c r="F19" s="10">
        <v>3891</v>
      </c>
      <c r="G19" s="11">
        <v>1E-3</v>
      </c>
      <c r="H19" s="11">
        <v>7.3999999999999996E-2</v>
      </c>
      <c r="I19" s="10">
        <v>1848150</v>
      </c>
      <c r="J19" s="12" t="s">
        <v>5183</v>
      </c>
      <c r="K19" s="12">
        <v>286</v>
      </c>
      <c r="L19" s="12" t="s">
        <v>5184</v>
      </c>
      <c r="M19" s="10">
        <v>808458209</v>
      </c>
      <c r="N19" s="10">
        <v>97640</v>
      </c>
      <c r="O19" s="12">
        <v>35</v>
      </c>
    </row>
    <row r="20" spans="1:15" ht="15" customHeight="1" x14ac:dyDescent="0.3">
      <c r="A20" s="9">
        <v>43553</v>
      </c>
      <c r="B20" s="12">
        <v>20</v>
      </c>
      <c r="C20" s="11">
        <v>3.0000000000000001E-3</v>
      </c>
      <c r="D20" s="12">
        <v>26</v>
      </c>
      <c r="E20" s="11">
        <v>1E-3</v>
      </c>
      <c r="F20" s="10">
        <v>3876</v>
      </c>
      <c r="G20" s="11">
        <v>1E-3</v>
      </c>
      <c r="H20" s="11">
        <v>0.105</v>
      </c>
      <c r="I20" s="10">
        <v>3110800</v>
      </c>
      <c r="J20" s="12" t="s">
        <v>5185</v>
      </c>
      <c r="K20" s="12">
        <v>407</v>
      </c>
      <c r="L20" s="12" t="s">
        <v>5186</v>
      </c>
      <c r="M20" s="10">
        <v>811569009</v>
      </c>
      <c r="N20" s="10">
        <v>98047</v>
      </c>
      <c r="O20" s="12">
        <v>25</v>
      </c>
    </row>
    <row r="21" spans="1:15" ht="15" customHeight="1" x14ac:dyDescent="0.3">
      <c r="A21" s="9">
        <v>43554</v>
      </c>
      <c r="B21" s="12">
        <v>20</v>
      </c>
      <c r="C21" s="11">
        <v>3.0000000000000001E-3</v>
      </c>
      <c r="D21" s="12">
        <v>24</v>
      </c>
      <c r="E21" s="11">
        <v>1E-3</v>
      </c>
      <c r="F21" s="10">
        <v>3883</v>
      </c>
      <c r="G21" s="11">
        <v>1E-3</v>
      </c>
      <c r="H21" s="11">
        <v>0.14399999999999999</v>
      </c>
      <c r="I21" s="10">
        <v>4490200</v>
      </c>
      <c r="J21" s="12" t="s">
        <v>5187</v>
      </c>
      <c r="K21" s="12">
        <v>561</v>
      </c>
      <c r="L21" s="12" t="s">
        <v>5188</v>
      </c>
      <c r="M21" s="10">
        <v>816059209</v>
      </c>
      <c r="N21" s="10">
        <v>98608</v>
      </c>
      <c r="O21" s="12">
        <v>23</v>
      </c>
    </row>
    <row r="22" spans="1:15" ht="15" customHeight="1" x14ac:dyDescent="0.3">
      <c r="A22" s="9">
        <v>43555</v>
      </c>
      <c r="B22" s="12">
        <v>22</v>
      </c>
      <c r="C22" s="11">
        <v>3.0000000000000001E-3</v>
      </c>
      <c r="D22" s="12">
        <v>28</v>
      </c>
      <c r="E22" s="11">
        <v>1E-3</v>
      </c>
      <c r="F22" s="10">
        <v>5157</v>
      </c>
      <c r="G22" s="11">
        <v>2E-3</v>
      </c>
      <c r="H22" s="11">
        <v>0.13400000000000001</v>
      </c>
      <c r="I22" s="10">
        <v>5388680</v>
      </c>
      <c r="J22" s="12" t="s">
        <v>5189</v>
      </c>
      <c r="K22" s="12">
        <v>691</v>
      </c>
      <c r="L22" s="12" t="s">
        <v>5190</v>
      </c>
      <c r="M22" s="10">
        <v>821447889</v>
      </c>
      <c r="N22" s="10">
        <v>99299</v>
      </c>
      <c r="O22" s="12">
        <v>19</v>
      </c>
    </row>
    <row r="23" spans="1:15" ht="15" customHeight="1" x14ac:dyDescent="0.3">
      <c r="A23" s="9">
        <v>43556</v>
      </c>
      <c r="B23" s="12">
        <v>19</v>
      </c>
      <c r="C23" s="11">
        <v>3.0000000000000001E-3</v>
      </c>
      <c r="D23" s="12">
        <v>25</v>
      </c>
      <c r="E23" s="11">
        <v>1E-3</v>
      </c>
      <c r="F23" s="10">
        <v>3674</v>
      </c>
      <c r="G23" s="11">
        <v>1E-3</v>
      </c>
      <c r="H23" s="11">
        <v>7.3999999999999996E-2</v>
      </c>
      <c r="I23" s="10">
        <v>1921250</v>
      </c>
      <c r="J23" s="12" t="s">
        <v>5191</v>
      </c>
      <c r="K23" s="12">
        <v>271</v>
      </c>
      <c r="L23" s="12" t="s">
        <v>5192</v>
      </c>
      <c r="M23" s="10">
        <v>823369139</v>
      </c>
      <c r="N23" s="10">
        <v>99570</v>
      </c>
      <c r="O23" s="12">
        <v>27</v>
      </c>
    </row>
    <row r="24" spans="1:15" ht="15" customHeight="1" x14ac:dyDescent="0.3">
      <c r="A24" s="9">
        <v>43557</v>
      </c>
      <c r="B24" s="12">
        <v>20</v>
      </c>
      <c r="C24" s="11">
        <v>4.0000000000000001E-3</v>
      </c>
      <c r="D24" s="12">
        <v>29</v>
      </c>
      <c r="E24" s="11">
        <v>2E-3</v>
      </c>
      <c r="F24" s="10">
        <v>4316</v>
      </c>
      <c r="G24" s="11">
        <v>2E-3</v>
      </c>
      <c r="H24" s="11">
        <v>7.0999999999999994E-2</v>
      </c>
      <c r="I24" s="10">
        <v>2083800</v>
      </c>
      <c r="J24" s="12" t="s">
        <v>5193</v>
      </c>
      <c r="K24" s="12">
        <v>306</v>
      </c>
      <c r="L24" s="12" t="s">
        <v>5194</v>
      </c>
      <c r="M24" s="10">
        <v>825452939</v>
      </c>
      <c r="N24" s="10">
        <v>99876</v>
      </c>
      <c r="O24" s="12">
        <v>23</v>
      </c>
    </row>
    <row r="25" spans="1:15" ht="15" customHeight="1" x14ac:dyDescent="0.3">
      <c r="A25" s="9">
        <v>43558</v>
      </c>
      <c r="B25" s="12">
        <v>11</v>
      </c>
      <c r="C25" s="11">
        <v>2E-3</v>
      </c>
      <c r="D25" s="12">
        <v>13</v>
      </c>
      <c r="E25" s="11">
        <v>1E-3</v>
      </c>
      <c r="F25" s="10">
        <v>1935</v>
      </c>
      <c r="G25" s="11">
        <v>1E-3</v>
      </c>
      <c r="H25" s="11">
        <v>7.0999999999999994E-2</v>
      </c>
      <c r="I25" s="10">
        <v>994000</v>
      </c>
      <c r="J25" s="12" t="s">
        <v>5195</v>
      </c>
      <c r="K25" s="12">
        <v>138</v>
      </c>
      <c r="L25" s="12" t="s">
        <v>5196</v>
      </c>
      <c r="M25" s="10">
        <v>826446939</v>
      </c>
      <c r="N25" s="10">
        <v>100014</v>
      </c>
      <c r="O25" s="12">
        <v>36</v>
      </c>
    </row>
    <row r="26" spans="1:15" ht="15" customHeight="1" x14ac:dyDescent="0.3">
      <c r="A26" s="9">
        <v>43559</v>
      </c>
      <c r="B26" s="12">
        <v>6</v>
      </c>
      <c r="C26" s="11">
        <v>1E-3</v>
      </c>
      <c r="D26" s="12">
        <v>8</v>
      </c>
      <c r="E26" s="11">
        <v>0</v>
      </c>
      <c r="F26" s="10">
        <v>1651</v>
      </c>
      <c r="G26" s="11">
        <v>1E-3</v>
      </c>
      <c r="H26" s="11">
        <v>8.5999999999999993E-2</v>
      </c>
      <c r="I26" s="10">
        <v>1032900</v>
      </c>
      <c r="J26" s="12" t="s">
        <v>5197</v>
      </c>
      <c r="K26" s="12">
        <v>142</v>
      </c>
      <c r="L26" s="12" t="s">
        <v>3868</v>
      </c>
      <c r="M26" s="10">
        <v>827479839</v>
      </c>
      <c r="N26" s="10">
        <v>100156</v>
      </c>
      <c r="O26" s="12">
        <v>39</v>
      </c>
    </row>
    <row r="27" spans="1:15" ht="15" customHeight="1" x14ac:dyDescent="0.3">
      <c r="A27" s="9">
        <v>43560</v>
      </c>
      <c r="B27" s="12">
        <v>6</v>
      </c>
      <c r="C27" s="11">
        <v>1E-3</v>
      </c>
      <c r="D27" s="12">
        <v>9</v>
      </c>
      <c r="E27" s="11">
        <v>1E-3</v>
      </c>
      <c r="F27" s="10">
        <v>1704</v>
      </c>
      <c r="G27" s="11">
        <v>1E-3</v>
      </c>
      <c r="H27" s="11">
        <v>6.2E-2</v>
      </c>
      <c r="I27" s="10">
        <v>808100</v>
      </c>
      <c r="J27" s="12" t="s">
        <v>5198</v>
      </c>
      <c r="K27" s="12">
        <v>105</v>
      </c>
      <c r="L27" s="12" t="s">
        <v>5199</v>
      </c>
      <c r="M27" s="10">
        <v>828287939</v>
      </c>
      <c r="N27" s="10">
        <v>100261</v>
      </c>
      <c r="O27" s="12">
        <v>46</v>
      </c>
    </row>
    <row r="28" spans="1:15" ht="15" customHeight="1" x14ac:dyDescent="0.3">
      <c r="A28" s="9">
        <v>43561</v>
      </c>
      <c r="B28" s="12">
        <v>6</v>
      </c>
      <c r="C28" s="11">
        <v>1E-3</v>
      </c>
      <c r="D28" s="12">
        <v>8</v>
      </c>
      <c r="E28" s="11">
        <v>0</v>
      </c>
      <c r="F28" s="10">
        <v>1534</v>
      </c>
      <c r="G28" s="11">
        <v>1E-3</v>
      </c>
      <c r="H28" s="11">
        <v>0.11799999999999999</v>
      </c>
      <c r="I28" s="10">
        <v>1479500</v>
      </c>
      <c r="J28" s="12" t="s">
        <v>5200</v>
      </c>
      <c r="K28" s="12">
        <v>181</v>
      </c>
      <c r="L28" s="12" t="s">
        <v>5201</v>
      </c>
      <c r="M28" s="10">
        <v>829767439</v>
      </c>
      <c r="N28" s="10">
        <v>100442</v>
      </c>
      <c r="O28" s="12">
        <v>34</v>
      </c>
    </row>
    <row r="29" spans="1:15" ht="15" customHeight="1" x14ac:dyDescent="0.3">
      <c r="A29" s="9">
        <v>43562</v>
      </c>
      <c r="B29" s="12">
        <v>6</v>
      </c>
      <c r="C29" s="11">
        <v>1E-3</v>
      </c>
      <c r="D29" s="12">
        <v>8</v>
      </c>
      <c r="E29" s="11">
        <v>0</v>
      </c>
      <c r="F29" s="10">
        <v>1534</v>
      </c>
      <c r="G29" s="11">
        <v>1E-3</v>
      </c>
      <c r="H29" s="11">
        <v>9.0999999999999998E-2</v>
      </c>
      <c r="I29" s="10">
        <v>1067900</v>
      </c>
      <c r="J29" s="12" t="s">
        <v>5202</v>
      </c>
      <c r="K29" s="12">
        <v>140</v>
      </c>
      <c r="L29" s="12" t="s">
        <v>5203</v>
      </c>
      <c r="M29" s="10">
        <v>830835339</v>
      </c>
      <c r="N29" s="10">
        <v>100582</v>
      </c>
      <c r="O29" s="12">
        <v>31</v>
      </c>
    </row>
    <row r="30" spans="1:15" ht="15" customHeight="1" x14ac:dyDescent="0.3">
      <c r="A30" s="9">
        <v>43563</v>
      </c>
      <c r="B30" s="12">
        <v>5</v>
      </c>
      <c r="C30" s="11">
        <v>1E-3</v>
      </c>
      <c r="D30" s="12">
        <v>8</v>
      </c>
      <c r="E30" s="11">
        <v>0</v>
      </c>
      <c r="F30" s="10">
        <v>1623</v>
      </c>
      <c r="G30" s="11">
        <v>1E-3</v>
      </c>
      <c r="H30" s="11">
        <v>5.7000000000000002E-2</v>
      </c>
      <c r="I30" s="10">
        <v>662500</v>
      </c>
      <c r="J30" s="12" t="s">
        <v>5204</v>
      </c>
      <c r="K30" s="12">
        <v>93</v>
      </c>
      <c r="L30" s="12" t="s">
        <v>5205</v>
      </c>
      <c r="M30" s="10">
        <v>831497839</v>
      </c>
      <c r="N30" s="10">
        <v>100675</v>
      </c>
      <c r="O30" s="12">
        <v>39</v>
      </c>
    </row>
    <row r="31" spans="1:15" ht="15" customHeight="1" x14ac:dyDescent="0.3">
      <c r="A31" s="9">
        <v>43564</v>
      </c>
      <c r="B31" s="12">
        <v>5</v>
      </c>
      <c r="C31" s="11">
        <v>1E-3</v>
      </c>
      <c r="D31" s="12">
        <v>7</v>
      </c>
      <c r="E31" s="11">
        <v>0</v>
      </c>
      <c r="F31" s="10">
        <v>1374</v>
      </c>
      <c r="G31" s="11">
        <v>1E-3</v>
      </c>
      <c r="H31" s="11">
        <v>4.2999999999999997E-2</v>
      </c>
      <c r="I31" s="10">
        <v>412800</v>
      </c>
      <c r="J31" s="12" t="s">
        <v>5206</v>
      </c>
      <c r="K31" s="12">
        <v>59</v>
      </c>
      <c r="L31" s="12" t="s">
        <v>5207</v>
      </c>
      <c r="M31" s="10">
        <v>831910639</v>
      </c>
      <c r="N31" s="10">
        <v>100734</v>
      </c>
      <c r="O31" s="12">
        <v>54</v>
      </c>
    </row>
    <row r="32" spans="1:15" ht="15" customHeight="1" x14ac:dyDescent="0.3">
      <c r="A32" s="9">
        <v>43565</v>
      </c>
      <c r="B32" s="12">
        <v>5</v>
      </c>
      <c r="C32" s="11">
        <v>1E-3</v>
      </c>
      <c r="D32" s="12">
        <v>7</v>
      </c>
      <c r="E32" s="11">
        <v>0</v>
      </c>
      <c r="F32" s="10">
        <v>1235</v>
      </c>
      <c r="G32" s="11">
        <v>0</v>
      </c>
      <c r="H32" s="11">
        <v>9.0999999999999998E-2</v>
      </c>
      <c r="I32" s="10">
        <v>852000</v>
      </c>
      <c r="J32" s="12" t="s">
        <v>5208</v>
      </c>
      <c r="K32" s="12">
        <v>113</v>
      </c>
      <c r="L32" s="12" t="s">
        <v>5209</v>
      </c>
      <c r="M32" s="10">
        <v>832762639</v>
      </c>
      <c r="N32" s="10">
        <v>100847</v>
      </c>
      <c r="O32" s="12">
        <v>36</v>
      </c>
    </row>
    <row r="33" spans="1:15" ht="15" customHeight="1" x14ac:dyDescent="0.3">
      <c r="A33" s="9">
        <v>43566</v>
      </c>
      <c r="B33" s="12">
        <v>1</v>
      </c>
      <c r="C33" s="11">
        <v>0</v>
      </c>
      <c r="D33" s="12">
        <v>2</v>
      </c>
      <c r="E33" s="11">
        <v>0</v>
      </c>
      <c r="F33" s="12">
        <v>626</v>
      </c>
      <c r="G33" s="11">
        <v>0</v>
      </c>
      <c r="H33" s="11">
        <v>2.5999999999999999E-2</v>
      </c>
      <c r="I33" s="10">
        <v>116000</v>
      </c>
      <c r="J33" s="12" t="s">
        <v>5210</v>
      </c>
      <c r="K33" s="12">
        <v>16</v>
      </c>
      <c r="L33" s="12" t="s">
        <v>5211</v>
      </c>
      <c r="M33" s="10">
        <v>832878639</v>
      </c>
      <c r="N33" s="10">
        <v>100863</v>
      </c>
      <c r="O33" s="12">
        <v>79</v>
      </c>
    </row>
    <row r="34" spans="1:15" ht="15" customHeight="1" x14ac:dyDescent="0.3">
      <c r="A34" s="9">
        <v>43567</v>
      </c>
      <c r="B34" s="12">
        <v>1</v>
      </c>
      <c r="C34" s="11">
        <v>0</v>
      </c>
      <c r="D34" s="12">
        <v>3</v>
      </c>
      <c r="E34" s="11">
        <v>0</v>
      </c>
      <c r="F34" s="12">
        <v>939</v>
      </c>
      <c r="G34" s="11">
        <v>0</v>
      </c>
      <c r="H34" s="11">
        <v>3.3000000000000002E-2</v>
      </c>
      <c r="I34" s="10">
        <v>206000</v>
      </c>
      <c r="J34" s="12" t="s">
        <v>5212</v>
      </c>
      <c r="K34" s="12">
        <v>31</v>
      </c>
      <c r="L34" s="12" t="s">
        <v>5213</v>
      </c>
      <c r="M34" s="10">
        <v>833084639</v>
      </c>
      <c r="N34" s="10">
        <v>100894</v>
      </c>
      <c r="O34" s="12">
        <v>69</v>
      </c>
    </row>
    <row r="35" spans="1:15" ht="15" customHeight="1" x14ac:dyDescent="0.3">
      <c r="A35" s="9">
        <v>43568</v>
      </c>
      <c r="B35" s="12">
        <v>2</v>
      </c>
      <c r="C35" s="11">
        <v>0</v>
      </c>
      <c r="D35" s="12">
        <v>2</v>
      </c>
      <c r="E35" s="11">
        <v>0</v>
      </c>
      <c r="F35" s="12">
        <v>539</v>
      </c>
      <c r="G35" s="11">
        <v>0</v>
      </c>
      <c r="H35" s="11">
        <v>7.0999999999999994E-2</v>
      </c>
      <c r="I35" s="10">
        <v>296000</v>
      </c>
      <c r="J35" s="12" t="s">
        <v>5214</v>
      </c>
      <c r="K35" s="12">
        <v>38</v>
      </c>
      <c r="L35" s="12" t="s">
        <v>5215</v>
      </c>
      <c r="M35" s="10">
        <v>833380639</v>
      </c>
      <c r="N35" s="10">
        <v>100932</v>
      </c>
      <c r="O35" s="12">
        <v>65</v>
      </c>
    </row>
    <row r="36" spans="1:15" ht="15" customHeight="1" x14ac:dyDescent="0.3">
      <c r="A36" s="9">
        <v>43569</v>
      </c>
      <c r="B36" s="12">
        <v>2</v>
      </c>
      <c r="C36" s="11">
        <v>0</v>
      </c>
      <c r="D36" s="12">
        <v>2</v>
      </c>
      <c r="E36" s="11">
        <v>0</v>
      </c>
      <c r="F36" s="12">
        <v>631</v>
      </c>
      <c r="G36" s="11">
        <v>0</v>
      </c>
      <c r="H36" s="11">
        <v>5.1999999999999998E-2</v>
      </c>
      <c r="I36" s="10">
        <v>259000</v>
      </c>
      <c r="J36" s="12" t="s">
        <v>5216</v>
      </c>
      <c r="K36" s="12">
        <v>33</v>
      </c>
      <c r="L36" s="12" t="s">
        <v>2268</v>
      </c>
      <c r="M36" s="10">
        <v>833639639</v>
      </c>
      <c r="N36" s="10">
        <v>100965</v>
      </c>
      <c r="O36" s="12">
        <v>64</v>
      </c>
    </row>
    <row r="37" spans="1:15" ht="15" customHeight="1" x14ac:dyDescent="0.3">
      <c r="A37" s="9">
        <v>43570</v>
      </c>
      <c r="B37" s="12">
        <v>2</v>
      </c>
      <c r="C37" s="11">
        <v>0</v>
      </c>
      <c r="D37" s="12">
        <v>3</v>
      </c>
      <c r="E37" s="11">
        <v>0</v>
      </c>
      <c r="F37" s="12">
        <v>944</v>
      </c>
      <c r="G37" s="11">
        <v>0</v>
      </c>
      <c r="H37" s="11">
        <v>3.5999999999999997E-2</v>
      </c>
      <c r="I37" s="10">
        <v>233000</v>
      </c>
      <c r="J37" s="12" t="s">
        <v>5217</v>
      </c>
      <c r="K37" s="12">
        <v>34</v>
      </c>
      <c r="L37" s="12" t="s">
        <v>5218</v>
      </c>
      <c r="M37" s="10">
        <v>833872639</v>
      </c>
      <c r="N37" s="10">
        <v>100999</v>
      </c>
      <c r="O37" s="12">
        <v>56</v>
      </c>
    </row>
    <row r="38" spans="1:15" ht="15" customHeight="1" x14ac:dyDescent="0.3">
      <c r="A38" s="9">
        <v>43571</v>
      </c>
      <c r="B38" s="12">
        <v>2</v>
      </c>
      <c r="C38" s="11">
        <v>0</v>
      </c>
      <c r="D38" s="12">
        <v>3</v>
      </c>
      <c r="E38" s="11">
        <v>0</v>
      </c>
      <c r="F38" s="12">
        <v>944</v>
      </c>
      <c r="G38" s="11">
        <v>0</v>
      </c>
      <c r="H38" s="11">
        <v>1.7000000000000001E-2</v>
      </c>
      <c r="I38" s="10">
        <v>87000</v>
      </c>
      <c r="J38" s="12" t="s">
        <v>5219</v>
      </c>
      <c r="K38" s="12">
        <v>16</v>
      </c>
      <c r="L38" s="12" t="s">
        <v>5220</v>
      </c>
      <c r="M38" s="10">
        <v>833959639</v>
      </c>
      <c r="N38" s="10">
        <v>101015</v>
      </c>
      <c r="O38" s="12">
        <v>75</v>
      </c>
    </row>
    <row r="39" spans="1:15" ht="15" customHeight="1" x14ac:dyDescent="0.3">
      <c r="A39" s="9">
        <v>43572</v>
      </c>
      <c r="B39" s="12">
        <v>2</v>
      </c>
      <c r="C39" s="11">
        <v>0</v>
      </c>
      <c r="D39" s="12">
        <v>2</v>
      </c>
      <c r="E39" s="11">
        <v>0</v>
      </c>
      <c r="F39" s="12">
        <v>173</v>
      </c>
      <c r="G39" s="11">
        <v>0</v>
      </c>
      <c r="H39" s="11">
        <v>0.13300000000000001</v>
      </c>
      <c r="I39" s="10">
        <v>168000</v>
      </c>
      <c r="J39" s="12" t="s">
        <v>5221</v>
      </c>
      <c r="K39" s="12">
        <v>23</v>
      </c>
      <c r="L39" s="12" t="s">
        <v>4300</v>
      </c>
      <c r="M39" s="10">
        <v>834127639</v>
      </c>
      <c r="N39" s="10">
        <v>101038</v>
      </c>
      <c r="O39" s="12">
        <v>72</v>
      </c>
    </row>
    <row r="40" spans="1:15" ht="15" customHeight="1" x14ac:dyDescent="0.3">
      <c r="A40" s="9">
        <v>43573</v>
      </c>
      <c r="B40" s="12">
        <v>1</v>
      </c>
      <c r="C40" s="11">
        <v>0</v>
      </c>
      <c r="D40" s="12">
        <v>2</v>
      </c>
      <c r="E40" s="11">
        <v>0</v>
      </c>
      <c r="F40" s="12">
        <v>162</v>
      </c>
      <c r="G40" s="11">
        <v>0</v>
      </c>
      <c r="H40" s="11">
        <v>0.111</v>
      </c>
      <c r="I40" s="10">
        <v>106000</v>
      </c>
      <c r="J40" s="12" t="s">
        <v>5222</v>
      </c>
      <c r="K40" s="12">
        <v>18</v>
      </c>
      <c r="L40" s="12" t="s">
        <v>5223</v>
      </c>
      <c r="M40" s="10">
        <v>834233639</v>
      </c>
      <c r="N40" s="10">
        <v>101056</v>
      </c>
      <c r="O40" s="12">
        <v>87</v>
      </c>
    </row>
    <row r="41" spans="1:15" ht="15" customHeight="1" x14ac:dyDescent="0.3">
      <c r="A41" s="9">
        <v>43574</v>
      </c>
      <c r="B41" s="12">
        <v>1</v>
      </c>
      <c r="C41" s="11">
        <v>0</v>
      </c>
      <c r="D41" s="12">
        <v>2</v>
      </c>
      <c r="E41" s="11">
        <v>0</v>
      </c>
      <c r="F41" s="12">
        <v>162</v>
      </c>
      <c r="G41" s="11">
        <v>0</v>
      </c>
      <c r="H41" s="11">
        <v>0.111</v>
      </c>
      <c r="I41" s="10">
        <v>132000</v>
      </c>
      <c r="J41" s="12" t="s">
        <v>5224</v>
      </c>
      <c r="K41" s="12">
        <v>18</v>
      </c>
      <c r="L41" s="12" t="s">
        <v>292</v>
      </c>
      <c r="M41" s="10">
        <v>834365639</v>
      </c>
      <c r="N41" s="10">
        <v>101074</v>
      </c>
      <c r="O41" s="12">
        <v>80</v>
      </c>
    </row>
    <row r="42" spans="1:15" ht="15" customHeight="1" x14ac:dyDescent="0.3">
      <c r="A42" s="9">
        <v>43575</v>
      </c>
      <c r="B42" s="12">
        <v>2</v>
      </c>
      <c r="C42" s="11">
        <v>0</v>
      </c>
      <c r="D42" s="12">
        <v>2</v>
      </c>
      <c r="E42" s="11">
        <v>0</v>
      </c>
      <c r="F42" s="12">
        <v>497</v>
      </c>
      <c r="G42" s="11">
        <v>0</v>
      </c>
      <c r="H42" s="11">
        <v>5.3999999999999999E-2</v>
      </c>
      <c r="I42" s="10">
        <v>191000</v>
      </c>
      <c r="J42" s="12" t="s">
        <v>5225</v>
      </c>
      <c r="K42" s="12">
        <v>27</v>
      </c>
      <c r="L42" s="12" t="s">
        <v>5226</v>
      </c>
      <c r="M42" s="10">
        <v>834556639</v>
      </c>
      <c r="N42" s="10">
        <v>101101</v>
      </c>
      <c r="O42" s="12">
        <v>70</v>
      </c>
    </row>
    <row r="43" spans="1:15" ht="15" customHeight="1" x14ac:dyDescent="0.3">
      <c r="A43" s="9">
        <v>43576</v>
      </c>
      <c r="B43" s="12">
        <v>1</v>
      </c>
      <c r="C43" s="11">
        <v>0</v>
      </c>
      <c r="D43" s="12">
        <v>2</v>
      </c>
      <c r="E43" s="11">
        <v>0</v>
      </c>
      <c r="F43" s="12">
        <v>162</v>
      </c>
      <c r="G43" s="11">
        <v>0</v>
      </c>
      <c r="H43" s="11">
        <v>0.25900000000000001</v>
      </c>
      <c r="I43" s="10">
        <v>292000</v>
      </c>
      <c r="J43" s="12" t="s">
        <v>5227</v>
      </c>
      <c r="K43" s="12">
        <v>42</v>
      </c>
      <c r="L43" s="12" t="s">
        <v>5228</v>
      </c>
      <c r="M43" s="10">
        <v>834848639</v>
      </c>
      <c r="N43" s="10">
        <v>101143</v>
      </c>
      <c r="O43" s="12">
        <v>62</v>
      </c>
    </row>
    <row r="44" spans="1:15" ht="15" customHeight="1" x14ac:dyDescent="0.3">
      <c r="A44" s="9">
        <v>43577</v>
      </c>
      <c r="B44" s="12">
        <v>1</v>
      </c>
      <c r="C44" s="11">
        <v>0</v>
      </c>
      <c r="D44" s="12">
        <v>2</v>
      </c>
      <c r="E44" s="11">
        <v>0</v>
      </c>
      <c r="F44" s="12">
        <v>162</v>
      </c>
      <c r="G44" s="11">
        <v>0</v>
      </c>
      <c r="H44" s="11">
        <v>0.111</v>
      </c>
      <c r="I44" s="10">
        <v>120000</v>
      </c>
      <c r="J44" s="12" t="s">
        <v>5229</v>
      </c>
      <c r="K44" s="12">
        <v>18</v>
      </c>
      <c r="L44" s="12" t="s">
        <v>5230</v>
      </c>
      <c r="M44" s="10">
        <v>834968639</v>
      </c>
      <c r="N44" s="10">
        <v>101161</v>
      </c>
      <c r="O44" s="12">
        <v>69</v>
      </c>
    </row>
    <row r="45" spans="1:15" ht="15" customHeight="1" x14ac:dyDescent="0.3">
      <c r="A45" s="9">
        <v>43578</v>
      </c>
      <c r="B45" s="12">
        <v>1</v>
      </c>
      <c r="C45" s="11">
        <v>0</v>
      </c>
      <c r="D45" s="12">
        <v>2</v>
      </c>
      <c r="E45" s="11">
        <v>0</v>
      </c>
      <c r="F45" s="12">
        <v>162</v>
      </c>
      <c r="G45" s="11">
        <v>0</v>
      </c>
      <c r="H45" s="11">
        <v>0.17299999999999999</v>
      </c>
      <c r="I45" s="10">
        <v>175000</v>
      </c>
      <c r="J45" s="12" t="s">
        <v>5231</v>
      </c>
      <c r="K45" s="12">
        <v>28</v>
      </c>
      <c r="L45" s="12" t="s">
        <v>5232</v>
      </c>
      <c r="M45" s="10">
        <v>835143639</v>
      </c>
      <c r="N45" s="10">
        <v>101189</v>
      </c>
      <c r="O45" s="12">
        <v>70</v>
      </c>
    </row>
    <row r="46" spans="1:15" ht="15" customHeight="1" x14ac:dyDescent="0.3">
      <c r="A46" s="9">
        <v>43579</v>
      </c>
      <c r="B46" s="12">
        <v>1</v>
      </c>
      <c r="C46" s="11">
        <v>0</v>
      </c>
      <c r="D46" s="12">
        <v>1</v>
      </c>
      <c r="E46" s="11">
        <v>0</v>
      </c>
      <c r="F46" s="12">
        <v>81</v>
      </c>
      <c r="G46" s="11">
        <v>0</v>
      </c>
      <c r="H46" s="11">
        <v>0.247</v>
      </c>
      <c r="I46" s="10">
        <v>129000</v>
      </c>
      <c r="J46" s="12" t="s">
        <v>5233</v>
      </c>
      <c r="K46" s="12">
        <v>20</v>
      </c>
      <c r="L46" s="12" t="s">
        <v>5234</v>
      </c>
      <c r="M46" s="10">
        <v>835272639</v>
      </c>
      <c r="N46" s="10">
        <v>101209</v>
      </c>
      <c r="O46" s="12">
        <v>71</v>
      </c>
    </row>
    <row r="47" spans="1:15" ht="15" customHeight="1" x14ac:dyDescent="0.3">
      <c r="A47" s="9">
        <v>43580</v>
      </c>
      <c r="B47" s="12">
        <v>1</v>
      </c>
      <c r="C47" s="11">
        <v>0</v>
      </c>
      <c r="D47" s="12">
        <v>1</v>
      </c>
      <c r="E47" s="11">
        <v>0</v>
      </c>
      <c r="F47" s="12">
        <v>81</v>
      </c>
      <c r="G47" s="11">
        <v>0</v>
      </c>
      <c r="H47" s="11">
        <v>0.27200000000000002</v>
      </c>
      <c r="I47" s="10">
        <v>147000</v>
      </c>
      <c r="J47" s="12" t="s">
        <v>5235</v>
      </c>
      <c r="K47" s="12">
        <v>22</v>
      </c>
      <c r="L47" s="12" t="s">
        <v>5236</v>
      </c>
      <c r="M47" s="10">
        <v>835419639</v>
      </c>
      <c r="N47" s="10">
        <v>101231</v>
      </c>
      <c r="O47" s="12">
        <v>80</v>
      </c>
    </row>
    <row r="48" spans="1:15" ht="15" customHeight="1" x14ac:dyDescent="0.3">
      <c r="A48" s="9">
        <v>43581</v>
      </c>
      <c r="B48" s="12">
        <v>2</v>
      </c>
      <c r="C48" s="11">
        <v>0</v>
      </c>
      <c r="D48" s="12">
        <v>2</v>
      </c>
      <c r="E48" s="11">
        <v>0</v>
      </c>
      <c r="F48" s="12">
        <v>145</v>
      </c>
      <c r="G48" s="11">
        <v>0</v>
      </c>
      <c r="H48" s="11">
        <v>0.53800000000000003</v>
      </c>
      <c r="I48" s="10">
        <v>677000</v>
      </c>
      <c r="J48" s="12" t="s">
        <v>5237</v>
      </c>
      <c r="K48" s="12">
        <v>78</v>
      </c>
      <c r="L48" s="12" t="s">
        <v>5238</v>
      </c>
      <c r="M48" s="10">
        <v>836096639</v>
      </c>
      <c r="N48" s="10">
        <v>101309</v>
      </c>
      <c r="O48" s="12">
        <v>54</v>
      </c>
    </row>
    <row r="49" spans="1:15" ht="15" customHeight="1" x14ac:dyDescent="0.3">
      <c r="A49" s="9">
        <v>43582</v>
      </c>
      <c r="B49" s="12">
        <v>1</v>
      </c>
      <c r="C49" s="11">
        <v>0</v>
      </c>
      <c r="D49" s="12">
        <v>1</v>
      </c>
      <c r="E49" s="11">
        <v>0</v>
      </c>
      <c r="F49" s="12">
        <v>313</v>
      </c>
      <c r="G49" s="11">
        <v>0</v>
      </c>
      <c r="H49" s="11">
        <v>5.0999999999999997E-2</v>
      </c>
      <c r="I49" s="10">
        <v>104000</v>
      </c>
      <c r="J49" s="12" t="s">
        <v>5239</v>
      </c>
      <c r="K49" s="12">
        <v>16</v>
      </c>
      <c r="L49" s="12" t="s">
        <v>5240</v>
      </c>
      <c r="M49" s="10">
        <v>836200639</v>
      </c>
      <c r="N49" s="10">
        <v>101325</v>
      </c>
      <c r="O49" s="12">
        <v>83</v>
      </c>
    </row>
    <row r="50" spans="1:15" ht="15" customHeight="1" x14ac:dyDescent="0.3">
      <c r="A50" s="9">
        <v>43583</v>
      </c>
      <c r="B50" s="12">
        <v>1</v>
      </c>
      <c r="C50" s="11">
        <v>0</v>
      </c>
      <c r="D50" s="12">
        <v>1</v>
      </c>
      <c r="E50" s="11">
        <v>0</v>
      </c>
      <c r="F50" s="12">
        <v>313</v>
      </c>
      <c r="G50" s="11">
        <v>0</v>
      </c>
      <c r="H50" s="11">
        <v>3.5000000000000003E-2</v>
      </c>
      <c r="I50" s="10">
        <v>77000</v>
      </c>
      <c r="J50" s="12" t="s">
        <v>5241</v>
      </c>
      <c r="K50" s="12">
        <v>11</v>
      </c>
      <c r="L50" s="12" t="s">
        <v>5242</v>
      </c>
      <c r="M50" s="10">
        <v>836277639</v>
      </c>
      <c r="N50" s="10">
        <v>101336</v>
      </c>
      <c r="O50" s="12">
        <v>77</v>
      </c>
    </row>
    <row r="51" spans="1:15" ht="15" customHeight="1" x14ac:dyDescent="0.3">
      <c r="A51" s="9">
        <v>43584</v>
      </c>
      <c r="B51" s="12">
        <v>1</v>
      </c>
      <c r="C51" s="11">
        <v>0</v>
      </c>
      <c r="D51" s="12">
        <v>1</v>
      </c>
      <c r="E51" s="11">
        <v>0</v>
      </c>
      <c r="F51" s="12">
        <v>81</v>
      </c>
      <c r="G51" s="11">
        <v>0</v>
      </c>
      <c r="H51" s="11">
        <v>0.17299999999999999</v>
      </c>
      <c r="I51" s="10">
        <v>86000</v>
      </c>
      <c r="J51" s="12" t="s">
        <v>5243</v>
      </c>
      <c r="K51" s="12">
        <v>14</v>
      </c>
      <c r="L51" s="12" t="s">
        <v>5244</v>
      </c>
      <c r="M51" s="10">
        <v>836363639</v>
      </c>
      <c r="N51" s="10">
        <v>101350</v>
      </c>
      <c r="O51" s="12">
        <v>75</v>
      </c>
    </row>
    <row r="52" spans="1:15" ht="15" customHeight="1" x14ac:dyDescent="0.3">
      <c r="A52" s="9">
        <v>43585</v>
      </c>
      <c r="B52" s="12">
        <v>1</v>
      </c>
      <c r="C52" s="11">
        <v>0</v>
      </c>
      <c r="D52" s="12">
        <v>1</v>
      </c>
      <c r="E52" s="11">
        <v>0</v>
      </c>
      <c r="F52" s="12">
        <v>81</v>
      </c>
      <c r="G52" s="11">
        <v>0</v>
      </c>
      <c r="H52" s="11">
        <v>0.111</v>
      </c>
      <c r="I52" s="10">
        <v>53000</v>
      </c>
      <c r="J52" s="12" t="s">
        <v>5245</v>
      </c>
      <c r="K52" s="12">
        <v>9</v>
      </c>
      <c r="L52" s="12" t="s">
        <v>5246</v>
      </c>
      <c r="M52" s="10">
        <v>836416639</v>
      </c>
      <c r="N52" s="10">
        <v>101359</v>
      </c>
      <c r="O52" s="12">
        <v>98</v>
      </c>
    </row>
    <row r="53" spans="1:15" ht="15" customHeight="1" x14ac:dyDescent="0.3">
      <c r="A53" s="9">
        <v>43586</v>
      </c>
      <c r="B53" s="12">
        <v>1</v>
      </c>
      <c r="C53" s="11">
        <v>0</v>
      </c>
      <c r="D53" s="12">
        <v>1</v>
      </c>
      <c r="E53" s="11">
        <v>0</v>
      </c>
      <c r="F53" s="12">
        <v>81</v>
      </c>
      <c r="G53" s="11">
        <v>0</v>
      </c>
      <c r="H53" s="11">
        <v>0.39500000000000002</v>
      </c>
      <c r="I53" s="10">
        <v>249000</v>
      </c>
      <c r="J53" s="12" t="s">
        <v>5247</v>
      </c>
      <c r="K53" s="12">
        <v>32</v>
      </c>
      <c r="L53" s="12" t="s">
        <v>5248</v>
      </c>
      <c r="M53" s="10">
        <v>836665639</v>
      </c>
      <c r="N53" s="10">
        <v>101391</v>
      </c>
      <c r="O53" s="12">
        <v>73</v>
      </c>
    </row>
    <row r="54" spans="1:15" ht="15" customHeight="1" x14ac:dyDescent="0.3">
      <c r="A54" s="9">
        <v>43587</v>
      </c>
      <c r="B54" s="12">
        <v>1</v>
      </c>
      <c r="C54" s="11">
        <v>0</v>
      </c>
      <c r="D54" s="12">
        <v>1</v>
      </c>
      <c r="E54" s="11">
        <v>0</v>
      </c>
      <c r="F54" s="12">
        <v>226</v>
      </c>
      <c r="G54" s="11">
        <v>0</v>
      </c>
      <c r="H54" s="11">
        <v>2.1999999999999999E-2</v>
      </c>
      <c r="I54" s="10">
        <v>30000</v>
      </c>
      <c r="J54" s="12" t="s">
        <v>5249</v>
      </c>
      <c r="K54" s="12">
        <v>5</v>
      </c>
      <c r="L54" s="12" t="s">
        <v>5250</v>
      </c>
      <c r="M54" s="10">
        <v>836695639</v>
      </c>
      <c r="N54" s="10">
        <v>101396</v>
      </c>
      <c r="O54" s="12">
        <v>83</v>
      </c>
    </row>
    <row r="55" spans="1:15" ht="15" customHeight="1" x14ac:dyDescent="0.3">
      <c r="A55" s="9">
        <v>43588</v>
      </c>
      <c r="B55" s="12">
        <v>1</v>
      </c>
      <c r="C55" s="11">
        <v>0</v>
      </c>
      <c r="D55" s="12">
        <v>1</v>
      </c>
      <c r="E55" s="11">
        <v>0</v>
      </c>
      <c r="F55" s="12">
        <v>226</v>
      </c>
      <c r="G55" s="11">
        <v>0</v>
      </c>
      <c r="H55" s="11">
        <v>2.1999999999999999E-2</v>
      </c>
      <c r="I55" s="10">
        <v>31000</v>
      </c>
      <c r="J55" s="12" t="s">
        <v>5251</v>
      </c>
      <c r="K55" s="12">
        <v>5</v>
      </c>
      <c r="L55" s="12" t="s">
        <v>292</v>
      </c>
      <c r="M55" s="10">
        <v>836726639</v>
      </c>
      <c r="N55" s="10">
        <v>101401</v>
      </c>
      <c r="O55" s="12">
        <v>81</v>
      </c>
    </row>
    <row r="56" spans="1:15" ht="15" customHeight="1" x14ac:dyDescent="0.3">
      <c r="A56" s="9">
        <v>43589</v>
      </c>
      <c r="B56" s="12">
        <v>1</v>
      </c>
      <c r="C56" s="11">
        <v>0</v>
      </c>
      <c r="D56" s="12">
        <v>1</v>
      </c>
      <c r="E56" s="11">
        <v>0</v>
      </c>
      <c r="F56" s="12">
        <v>226</v>
      </c>
      <c r="G56" s="11">
        <v>0</v>
      </c>
      <c r="H56" s="11">
        <v>9.2999999999999999E-2</v>
      </c>
      <c r="I56" s="10">
        <v>133000</v>
      </c>
      <c r="J56" s="12" t="s">
        <v>5252</v>
      </c>
      <c r="K56" s="12">
        <v>21</v>
      </c>
      <c r="L56" s="12" t="s">
        <v>5253</v>
      </c>
      <c r="M56" s="10">
        <v>836859639</v>
      </c>
      <c r="N56" s="10">
        <v>101422</v>
      </c>
      <c r="O56" s="12">
        <v>65</v>
      </c>
    </row>
    <row r="57" spans="1:15" ht="15" customHeight="1" x14ac:dyDescent="0.3">
      <c r="A57" s="9">
        <v>43590</v>
      </c>
      <c r="B57" s="12">
        <v>1</v>
      </c>
      <c r="C57" s="11">
        <v>0</v>
      </c>
      <c r="D57" s="12">
        <v>1</v>
      </c>
      <c r="E57" s="11">
        <v>0</v>
      </c>
      <c r="F57" s="12">
        <v>226</v>
      </c>
      <c r="G57" s="11">
        <v>0</v>
      </c>
      <c r="H57" s="11">
        <v>7.0999999999999994E-2</v>
      </c>
      <c r="I57" s="10">
        <v>98000</v>
      </c>
      <c r="J57" s="12" t="s">
        <v>5254</v>
      </c>
      <c r="K57" s="12">
        <v>16</v>
      </c>
      <c r="L57" s="12" t="s">
        <v>5255</v>
      </c>
      <c r="M57" s="10">
        <v>836957639</v>
      </c>
      <c r="N57" s="10">
        <v>101438</v>
      </c>
      <c r="O57" s="12">
        <v>63</v>
      </c>
    </row>
    <row r="58" spans="1:15" ht="15" customHeight="1" x14ac:dyDescent="0.3">
      <c r="A58" s="9">
        <v>43591</v>
      </c>
      <c r="B58" s="12">
        <v>1</v>
      </c>
      <c r="C58" s="11">
        <v>0</v>
      </c>
      <c r="D58" s="12">
        <v>1</v>
      </c>
      <c r="E58" s="11">
        <v>0</v>
      </c>
      <c r="F58" s="12">
        <v>226</v>
      </c>
      <c r="G58" s="11">
        <v>0</v>
      </c>
      <c r="H58" s="11">
        <v>7.0999999999999994E-2</v>
      </c>
      <c r="I58" s="10">
        <v>94000</v>
      </c>
      <c r="J58" s="12" t="s">
        <v>5256</v>
      </c>
      <c r="K58" s="12">
        <v>16</v>
      </c>
      <c r="L58" s="12" t="s">
        <v>292</v>
      </c>
      <c r="M58" s="10">
        <v>837051639</v>
      </c>
      <c r="N58" s="10">
        <v>101454</v>
      </c>
      <c r="O58" s="12">
        <v>68</v>
      </c>
    </row>
    <row r="59" spans="1:15" ht="15" customHeight="1" x14ac:dyDescent="0.3">
      <c r="A59" s="9">
        <v>43592</v>
      </c>
      <c r="B59" s="12">
        <v>1</v>
      </c>
      <c r="C59" s="11">
        <v>0</v>
      </c>
      <c r="D59" s="12">
        <v>1</v>
      </c>
      <c r="E59" s="11">
        <v>0</v>
      </c>
      <c r="F59" s="12">
        <v>226</v>
      </c>
      <c r="G59" s="11">
        <v>0</v>
      </c>
      <c r="H59" s="11">
        <v>8.9999999999999993E-3</v>
      </c>
      <c r="I59" s="10">
        <v>12000</v>
      </c>
      <c r="J59" s="12" t="s">
        <v>5257</v>
      </c>
      <c r="K59" s="12">
        <v>2</v>
      </c>
      <c r="L59" s="12" t="s">
        <v>5258</v>
      </c>
      <c r="M59" s="10">
        <v>837063639</v>
      </c>
      <c r="N59" s="10">
        <v>101456</v>
      </c>
      <c r="O59" s="12">
        <v>87</v>
      </c>
    </row>
    <row r="60" spans="1:15" ht="15" customHeight="1" x14ac:dyDescent="0.3">
      <c r="A60" s="9">
        <v>43593</v>
      </c>
      <c r="B60" s="12">
        <v>1</v>
      </c>
      <c r="C60" s="11">
        <v>0</v>
      </c>
      <c r="D60" s="12">
        <v>1</v>
      </c>
      <c r="E60" s="11">
        <v>0</v>
      </c>
      <c r="F60" s="12">
        <v>226</v>
      </c>
      <c r="G60" s="11">
        <v>0</v>
      </c>
      <c r="H60" s="11">
        <v>0.04</v>
      </c>
      <c r="I60" s="10">
        <v>45000</v>
      </c>
      <c r="J60" s="12" t="s">
        <v>5259</v>
      </c>
      <c r="K60" s="12">
        <v>9</v>
      </c>
      <c r="L60" s="12" t="s">
        <v>1124</v>
      </c>
      <c r="M60" s="10">
        <v>837108639</v>
      </c>
      <c r="N60" s="10">
        <v>101465</v>
      </c>
      <c r="O60" s="12">
        <v>86</v>
      </c>
    </row>
    <row r="61" spans="1:15" ht="15" customHeight="1" x14ac:dyDescent="0.3"/>
    <row r="62" spans="1:15" ht="15" customHeight="1" x14ac:dyDescent="0.3"/>
    <row r="63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941AE-E513-4A5C-B006-1D521ED7DFFC}">
  <dimension ref="A1:O84"/>
  <sheetViews>
    <sheetView showGridLines="0" topLeftCell="A4" workbookViewId="0">
      <selection sqref="A1:O1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6.375" bestFit="1" customWidth="1"/>
    <col min="7" max="8" width="9.625" bestFit="1" customWidth="1"/>
    <col min="9" max="9" width="10.125" bestFit="1" customWidth="1"/>
    <col min="10" max="10" width="18.12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5260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43501</v>
      </c>
      <c r="B5" s="12">
        <v>10</v>
      </c>
      <c r="C5" s="11">
        <v>2E-3</v>
      </c>
      <c r="D5" s="12">
        <v>10</v>
      </c>
      <c r="E5" s="11">
        <v>0</v>
      </c>
      <c r="F5" s="10">
        <v>1079</v>
      </c>
      <c r="G5" s="11">
        <v>0</v>
      </c>
      <c r="H5" s="11">
        <v>0.71599999999999997</v>
      </c>
      <c r="I5" s="10">
        <v>7552500</v>
      </c>
      <c r="J5" s="12" t="s">
        <v>5261</v>
      </c>
      <c r="K5" s="12">
        <v>773</v>
      </c>
      <c r="L5" s="12" t="s">
        <v>5262</v>
      </c>
      <c r="M5" s="10">
        <v>7552500</v>
      </c>
      <c r="N5" s="12">
        <v>773</v>
      </c>
      <c r="O5" s="12">
        <v>11</v>
      </c>
    </row>
    <row r="6" spans="1:15" ht="15" customHeight="1" x14ac:dyDescent="0.3">
      <c r="A6" s="9">
        <v>43502</v>
      </c>
      <c r="B6" s="12">
        <v>9</v>
      </c>
      <c r="C6" s="11">
        <v>1E-3</v>
      </c>
      <c r="D6" s="12">
        <v>9</v>
      </c>
      <c r="E6" s="11">
        <v>0</v>
      </c>
      <c r="F6" s="12">
        <v>892</v>
      </c>
      <c r="G6" s="11">
        <v>0</v>
      </c>
      <c r="H6" s="11">
        <v>0.81799999999999995</v>
      </c>
      <c r="I6" s="10">
        <v>7026000</v>
      </c>
      <c r="J6" s="12" t="s">
        <v>5263</v>
      </c>
      <c r="K6" s="12">
        <v>730</v>
      </c>
      <c r="L6" s="12" t="s">
        <v>5264</v>
      </c>
      <c r="M6" s="10">
        <v>14578500</v>
      </c>
      <c r="N6" s="10">
        <v>1503</v>
      </c>
      <c r="O6" s="12">
        <v>14</v>
      </c>
    </row>
    <row r="7" spans="1:15" ht="15" customHeight="1" x14ac:dyDescent="0.3">
      <c r="A7" s="9">
        <v>43504</v>
      </c>
      <c r="B7" s="12">
        <v>11</v>
      </c>
      <c r="C7" s="11">
        <v>2E-3</v>
      </c>
      <c r="D7" s="12">
        <v>11</v>
      </c>
      <c r="E7" s="11">
        <v>1E-3</v>
      </c>
      <c r="F7" s="10">
        <v>1628</v>
      </c>
      <c r="G7" s="11">
        <v>1E-3</v>
      </c>
      <c r="H7" s="11">
        <v>0.37</v>
      </c>
      <c r="I7" s="10">
        <v>5693100</v>
      </c>
      <c r="J7" s="12" t="s">
        <v>5265</v>
      </c>
      <c r="K7" s="12">
        <v>603</v>
      </c>
      <c r="L7" s="12" t="s">
        <v>5266</v>
      </c>
      <c r="M7" s="10">
        <v>20271600</v>
      </c>
      <c r="N7" s="10">
        <v>2106</v>
      </c>
      <c r="O7" s="12">
        <v>17</v>
      </c>
    </row>
    <row r="8" spans="1:15" ht="15" customHeight="1" x14ac:dyDescent="0.3">
      <c r="A8" s="9">
        <v>43505</v>
      </c>
      <c r="B8" s="12">
        <v>11</v>
      </c>
      <c r="C8" s="11">
        <v>2E-3</v>
      </c>
      <c r="D8" s="12">
        <v>11</v>
      </c>
      <c r="E8" s="11">
        <v>1E-3</v>
      </c>
      <c r="F8" s="10">
        <v>1429</v>
      </c>
      <c r="G8" s="11">
        <v>0</v>
      </c>
      <c r="H8" s="11">
        <v>0.57599999999999996</v>
      </c>
      <c r="I8" s="10">
        <v>7635700</v>
      </c>
      <c r="J8" s="12" t="s">
        <v>5267</v>
      </c>
      <c r="K8" s="12">
        <v>823</v>
      </c>
      <c r="L8" s="12" t="s">
        <v>5268</v>
      </c>
      <c r="M8" s="10">
        <v>27907300</v>
      </c>
      <c r="N8" s="10">
        <v>2929</v>
      </c>
      <c r="O8" s="12">
        <v>17</v>
      </c>
    </row>
    <row r="9" spans="1:15" ht="15" customHeight="1" x14ac:dyDescent="0.3">
      <c r="A9" s="9">
        <v>43510</v>
      </c>
      <c r="B9" s="12">
        <v>11</v>
      </c>
      <c r="C9" s="11">
        <v>2E-3</v>
      </c>
      <c r="D9" s="12">
        <v>11</v>
      </c>
      <c r="E9" s="11">
        <v>1E-3</v>
      </c>
      <c r="F9" s="10">
        <v>1528</v>
      </c>
      <c r="G9" s="11">
        <v>1E-3</v>
      </c>
      <c r="H9" s="11">
        <v>0.39500000000000002</v>
      </c>
      <c r="I9" s="10">
        <v>4946900</v>
      </c>
      <c r="J9" s="12" t="s">
        <v>5269</v>
      </c>
      <c r="K9" s="12">
        <v>604</v>
      </c>
      <c r="L9" s="12" t="s">
        <v>5270</v>
      </c>
      <c r="M9" s="10">
        <v>32854200</v>
      </c>
      <c r="N9" s="10">
        <v>3533</v>
      </c>
      <c r="O9" s="12">
        <v>20</v>
      </c>
    </row>
    <row r="10" spans="1:15" ht="15" customHeight="1" x14ac:dyDescent="0.3">
      <c r="A10" s="9">
        <v>43511</v>
      </c>
      <c r="B10" s="12">
        <v>18</v>
      </c>
      <c r="C10" s="11">
        <v>3.0000000000000001E-3</v>
      </c>
      <c r="D10" s="12">
        <v>18</v>
      </c>
      <c r="E10" s="11">
        <v>1E-3</v>
      </c>
      <c r="F10" s="10">
        <v>2599</v>
      </c>
      <c r="G10" s="11">
        <v>1E-3</v>
      </c>
      <c r="H10" s="11">
        <v>0.72899999999999998</v>
      </c>
      <c r="I10" s="10">
        <v>18916900</v>
      </c>
      <c r="J10" s="12" t="s">
        <v>5271</v>
      </c>
      <c r="K10" s="10">
        <v>1895</v>
      </c>
      <c r="L10" s="12" t="s">
        <v>5272</v>
      </c>
      <c r="M10" s="10">
        <v>51771100</v>
      </c>
      <c r="N10" s="10">
        <v>5428</v>
      </c>
      <c r="O10" s="12">
        <v>15</v>
      </c>
    </row>
    <row r="11" spans="1:15" ht="15" customHeight="1" x14ac:dyDescent="0.3">
      <c r="A11" s="9">
        <v>43512</v>
      </c>
      <c r="B11" s="12">
        <v>12</v>
      </c>
      <c r="C11" s="11">
        <v>2E-3</v>
      </c>
      <c r="D11" s="12">
        <v>12</v>
      </c>
      <c r="E11" s="11">
        <v>1E-3</v>
      </c>
      <c r="F11" s="10">
        <v>2112</v>
      </c>
      <c r="G11" s="11">
        <v>1E-3</v>
      </c>
      <c r="H11" s="11">
        <v>0.60399999999999998</v>
      </c>
      <c r="I11" s="10">
        <v>10236500</v>
      </c>
      <c r="J11" s="12" t="s">
        <v>5273</v>
      </c>
      <c r="K11" s="10">
        <v>1276</v>
      </c>
      <c r="L11" s="12" t="s">
        <v>5274</v>
      </c>
      <c r="M11" s="10">
        <v>62007600</v>
      </c>
      <c r="N11" s="10">
        <v>6704</v>
      </c>
      <c r="O11" s="12">
        <v>18</v>
      </c>
    </row>
    <row r="12" spans="1:15" ht="15" customHeight="1" x14ac:dyDescent="0.3">
      <c r="A12" s="9">
        <v>43513</v>
      </c>
      <c r="B12" s="12">
        <v>1</v>
      </c>
      <c r="C12" s="11">
        <v>0</v>
      </c>
      <c r="D12" s="12">
        <v>1</v>
      </c>
      <c r="E12" s="11">
        <v>0</v>
      </c>
      <c r="F12" s="12">
        <v>413</v>
      </c>
      <c r="G12" s="11">
        <v>0</v>
      </c>
      <c r="H12" s="11">
        <v>0.95199999999999996</v>
      </c>
      <c r="I12" s="10">
        <v>2425000</v>
      </c>
      <c r="J12" s="12" t="s">
        <v>5275</v>
      </c>
      <c r="K12" s="12">
        <v>393</v>
      </c>
      <c r="L12" s="12" t="s">
        <v>5276</v>
      </c>
      <c r="M12" s="10">
        <v>64432600</v>
      </c>
      <c r="N12" s="10">
        <v>7097</v>
      </c>
      <c r="O12" s="12">
        <v>22</v>
      </c>
    </row>
    <row r="13" spans="1:15" ht="15" customHeight="1" x14ac:dyDescent="0.3">
      <c r="A13" s="9">
        <v>43517</v>
      </c>
      <c r="B13" s="12">
        <v>73</v>
      </c>
      <c r="C13" s="11">
        <v>1.0999999999999999E-2</v>
      </c>
      <c r="D13" s="12">
        <v>175</v>
      </c>
      <c r="E13" s="11">
        <v>8.9999999999999993E-3</v>
      </c>
      <c r="F13" s="10">
        <v>23028</v>
      </c>
      <c r="G13" s="11">
        <v>8.0000000000000002E-3</v>
      </c>
      <c r="H13" s="11">
        <v>0.25600000000000001</v>
      </c>
      <c r="I13" s="10">
        <v>46609310</v>
      </c>
      <c r="J13" s="12" t="s">
        <v>5277</v>
      </c>
      <c r="K13" s="10">
        <v>5902</v>
      </c>
      <c r="L13" s="12" t="s">
        <v>5278</v>
      </c>
      <c r="M13" s="10">
        <v>111041910</v>
      </c>
      <c r="N13" s="10">
        <v>12999</v>
      </c>
      <c r="O13" s="12">
        <v>11</v>
      </c>
    </row>
    <row r="14" spans="1:15" ht="15" customHeight="1" x14ac:dyDescent="0.3">
      <c r="A14" s="9">
        <v>43518</v>
      </c>
      <c r="B14" s="12">
        <v>79</v>
      </c>
      <c r="C14" s="11">
        <v>1.2E-2</v>
      </c>
      <c r="D14" s="12">
        <v>182</v>
      </c>
      <c r="E14" s="11">
        <v>0.01</v>
      </c>
      <c r="F14" s="10">
        <v>24294</v>
      </c>
      <c r="G14" s="11">
        <v>8.0000000000000002E-3</v>
      </c>
      <c r="H14" s="11">
        <v>0.255</v>
      </c>
      <c r="I14" s="10">
        <v>54741760</v>
      </c>
      <c r="J14" s="12" t="s">
        <v>5279</v>
      </c>
      <c r="K14" s="10">
        <v>6194</v>
      </c>
      <c r="L14" s="12" t="s">
        <v>5280</v>
      </c>
      <c r="M14" s="10">
        <v>165783670</v>
      </c>
      <c r="N14" s="10">
        <v>19193</v>
      </c>
      <c r="O14" s="12">
        <v>11</v>
      </c>
    </row>
    <row r="15" spans="1:15" ht="15" customHeight="1" x14ac:dyDescent="0.3">
      <c r="A15" s="9">
        <v>43519</v>
      </c>
      <c r="B15" s="12">
        <v>81</v>
      </c>
      <c r="C15" s="11">
        <v>1.2E-2</v>
      </c>
      <c r="D15" s="12">
        <v>187</v>
      </c>
      <c r="E15" s="11">
        <v>0.01</v>
      </c>
      <c r="F15" s="10">
        <v>24239</v>
      </c>
      <c r="G15" s="11">
        <v>8.0000000000000002E-3</v>
      </c>
      <c r="H15" s="11">
        <v>0.42399999999999999</v>
      </c>
      <c r="I15" s="10">
        <v>91832840</v>
      </c>
      <c r="J15" s="12" t="s">
        <v>5281</v>
      </c>
      <c r="K15" s="10">
        <v>10283</v>
      </c>
      <c r="L15" s="12" t="s">
        <v>5282</v>
      </c>
      <c r="M15" s="10">
        <v>257616510</v>
      </c>
      <c r="N15" s="10">
        <v>29476</v>
      </c>
      <c r="O15" s="12">
        <v>11</v>
      </c>
    </row>
    <row r="16" spans="1:15" ht="15" customHeight="1" x14ac:dyDescent="0.3">
      <c r="A16" s="9">
        <v>43520</v>
      </c>
      <c r="B16" s="12">
        <v>83</v>
      </c>
      <c r="C16" s="11">
        <v>1.2E-2</v>
      </c>
      <c r="D16" s="12">
        <v>190</v>
      </c>
      <c r="E16" s="11">
        <v>0.01</v>
      </c>
      <c r="F16" s="10">
        <v>24794</v>
      </c>
      <c r="G16" s="11">
        <v>8.0000000000000002E-3</v>
      </c>
      <c r="H16" s="11">
        <v>0.40400000000000003</v>
      </c>
      <c r="I16" s="10">
        <v>89023500</v>
      </c>
      <c r="J16" s="12" t="s">
        <v>5283</v>
      </c>
      <c r="K16" s="10">
        <v>10029</v>
      </c>
      <c r="L16" s="12" t="s">
        <v>5284</v>
      </c>
      <c r="M16" s="10">
        <v>346640010</v>
      </c>
      <c r="N16" s="10">
        <v>39505</v>
      </c>
      <c r="O16" s="12">
        <v>9</v>
      </c>
    </row>
    <row r="17" spans="1:15" ht="15" customHeight="1" x14ac:dyDescent="0.3">
      <c r="A17" s="9">
        <v>43521</v>
      </c>
      <c r="B17" s="12">
        <v>79</v>
      </c>
      <c r="C17" s="11">
        <v>1.2999999999999999E-2</v>
      </c>
      <c r="D17" s="12">
        <v>210</v>
      </c>
      <c r="E17" s="11">
        <v>1.2E-2</v>
      </c>
      <c r="F17" s="10">
        <v>26807</v>
      </c>
      <c r="G17" s="11">
        <v>8.9999999999999993E-3</v>
      </c>
      <c r="H17" s="11">
        <v>0.24099999999999999</v>
      </c>
      <c r="I17" s="10">
        <v>52093640</v>
      </c>
      <c r="J17" s="12" t="s">
        <v>5285</v>
      </c>
      <c r="K17" s="10">
        <v>6471</v>
      </c>
      <c r="L17" s="12" t="s">
        <v>5286</v>
      </c>
      <c r="M17" s="10">
        <v>398733650</v>
      </c>
      <c r="N17" s="10">
        <v>45976</v>
      </c>
      <c r="O17" s="12">
        <v>8</v>
      </c>
    </row>
    <row r="18" spans="1:15" ht="15" customHeight="1" x14ac:dyDescent="0.3">
      <c r="A18" s="9">
        <v>43522</v>
      </c>
      <c r="B18" s="12">
        <v>78</v>
      </c>
      <c r="C18" s="11">
        <v>1.2E-2</v>
      </c>
      <c r="D18" s="12">
        <v>218</v>
      </c>
      <c r="E18" s="11">
        <v>1.2E-2</v>
      </c>
      <c r="F18" s="10">
        <v>28354</v>
      </c>
      <c r="G18" s="11">
        <v>0.01</v>
      </c>
      <c r="H18" s="11">
        <v>0.28599999999999998</v>
      </c>
      <c r="I18" s="10">
        <v>64123380</v>
      </c>
      <c r="J18" s="12" t="s">
        <v>5287</v>
      </c>
      <c r="K18" s="10">
        <v>8122</v>
      </c>
      <c r="L18" s="12" t="s">
        <v>5288</v>
      </c>
      <c r="M18" s="10">
        <v>462857030</v>
      </c>
      <c r="N18" s="10">
        <v>54098</v>
      </c>
      <c r="O18" s="12">
        <v>7</v>
      </c>
    </row>
    <row r="19" spans="1:15" ht="15" customHeight="1" x14ac:dyDescent="0.3">
      <c r="A19" s="9">
        <v>43523</v>
      </c>
      <c r="B19" s="12">
        <v>73</v>
      </c>
      <c r="C19" s="11">
        <v>1.0999999999999999E-2</v>
      </c>
      <c r="D19" s="12">
        <v>181</v>
      </c>
      <c r="E19" s="11">
        <v>8.9999999999999993E-3</v>
      </c>
      <c r="F19" s="10">
        <v>24686</v>
      </c>
      <c r="G19" s="11">
        <v>8.0000000000000002E-3</v>
      </c>
      <c r="H19" s="11">
        <v>0.39700000000000002</v>
      </c>
      <c r="I19" s="10">
        <v>61595640</v>
      </c>
      <c r="J19" s="12" t="s">
        <v>5289</v>
      </c>
      <c r="K19" s="10">
        <v>9798</v>
      </c>
      <c r="L19" s="12" t="s">
        <v>5290</v>
      </c>
      <c r="M19" s="10">
        <v>524452670</v>
      </c>
      <c r="N19" s="10">
        <v>63896</v>
      </c>
      <c r="O19" s="12">
        <v>8</v>
      </c>
    </row>
    <row r="20" spans="1:15" ht="15" customHeight="1" x14ac:dyDescent="0.3">
      <c r="A20" s="9">
        <v>43524</v>
      </c>
      <c r="B20" s="12">
        <v>83</v>
      </c>
      <c r="C20" s="11">
        <v>1.2999999999999999E-2</v>
      </c>
      <c r="D20" s="12">
        <v>191</v>
      </c>
      <c r="E20" s="11">
        <v>0.01</v>
      </c>
      <c r="F20" s="10">
        <v>24814</v>
      </c>
      <c r="G20" s="11">
        <v>8.0000000000000002E-3</v>
      </c>
      <c r="H20" s="11">
        <v>0.28599999999999998</v>
      </c>
      <c r="I20" s="10">
        <v>56784450</v>
      </c>
      <c r="J20" s="12" t="s">
        <v>5291</v>
      </c>
      <c r="K20" s="10">
        <v>7086</v>
      </c>
      <c r="L20" s="12" t="s">
        <v>5292</v>
      </c>
      <c r="M20" s="10">
        <v>581237120</v>
      </c>
      <c r="N20" s="10">
        <v>70982</v>
      </c>
      <c r="O20" s="12">
        <v>10</v>
      </c>
    </row>
    <row r="21" spans="1:15" ht="15" customHeight="1" x14ac:dyDescent="0.3">
      <c r="A21" s="9">
        <v>43525</v>
      </c>
      <c r="B21" s="12">
        <v>114</v>
      </c>
      <c r="C21" s="11">
        <v>1.6E-2</v>
      </c>
      <c r="D21" s="12">
        <v>247</v>
      </c>
      <c r="E21" s="11">
        <v>1.2E-2</v>
      </c>
      <c r="F21" s="10">
        <v>33277</v>
      </c>
      <c r="G21" s="11">
        <v>0.01</v>
      </c>
      <c r="H21" s="11">
        <v>0.39400000000000002</v>
      </c>
      <c r="I21" s="10">
        <v>116226950</v>
      </c>
      <c r="J21" s="12" t="s">
        <v>5293</v>
      </c>
      <c r="K21" s="10">
        <v>13111</v>
      </c>
      <c r="L21" s="12" t="s">
        <v>5294</v>
      </c>
      <c r="M21" s="10">
        <v>697464070</v>
      </c>
      <c r="N21" s="10">
        <v>84093</v>
      </c>
      <c r="O21" s="12">
        <v>9</v>
      </c>
    </row>
    <row r="22" spans="1:15" ht="15" customHeight="1" x14ac:dyDescent="0.3">
      <c r="A22" s="9">
        <v>43526</v>
      </c>
      <c r="B22" s="12">
        <v>128</v>
      </c>
      <c r="C22" s="11">
        <v>1.7000000000000001E-2</v>
      </c>
      <c r="D22" s="12">
        <v>262</v>
      </c>
      <c r="E22" s="11">
        <v>1.2999999999999999E-2</v>
      </c>
      <c r="F22" s="10">
        <v>35250</v>
      </c>
      <c r="G22" s="11">
        <v>1.0999999999999999E-2</v>
      </c>
      <c r="H22" s="11">
        <v>0.33800000000000002</v>
      </c>
      <c r="I22" s="10">
        <v>105428220</v>
      </c>
      <c r="J22" s="12" t="s">
        <v>5295</v>
      </c>
      <c r="K22" s="10">
        <v>11912</v>
      </c>
      <c r="L22" s="12" t="s">
        <v>5296</v>
      </c>
      <c r="M22" s="10">
        <v>802892290</v>
      </c>
      <c r="N22" s="10">
        <v>96005</v>
      </c>
      <c r="O22" s="12">
        <v>7</v>
      </c>
    </row>
    <row r="23" spans="1:15" ht="15" customHeight="1" x14ac:dyDescent="0.3">
      <c r="A23" s="9">
        <v>43527</v>
      </c>
      <c r="B23" s="12">
        <v>120</v>
      </c>
      <c r="C23" s="11">
        <v>1.7000000000000001E-2</v>
      </c>
      <c r="D23" s="12">
        <v>255</v>
      </c>
      <c r="E23" s="11">
        <v>1.2999999999999999E-2</v>
      </c>
      <c r="F23" s="10">
        <v>33768</v>
      </c>
      <c r="G23" s="11">
        <v>1.0999999999999999E-2</v>
      </c>
      <c r="H23" s="11">
        <v>0.26400000000000001</v>
      </c>
      <c r="I23" s="10">
        <v>79146850</v>
      </c>
      <c r="J23" s="12" t="s">
        <v>5297</v>
      </c>
      <c r="K23" s="10">
        <v>8911</v>
      </c>
      <c r="L23" s="12" t="s">
        <v>5298</v>
      </c>
      <c r="M23" s="10">
        <v>882039140</v>
      </c>
      <c r="N23" s="10">
        <v>104916</v>
      </c>
      <c r="O23" s="12">
        <v>8</v>
      </c>
    </row>
    <row r="24" spans="1:15" ht="15" customHeight="1" x14ac:dyDescent="0.3">
      <c r="A24" s="9">
        <v>43528</v>
      </c>
      <c r="B24" s="12">
        <v>110</v>
      </c>
      <c r="C24" s="11">
        <v>1.7999999999999999E-2</v>
      </c>
      <c r="D24" s="12">
        <v>260</v>
      </c>
      <c r="E24" s="11">
        <v>1.4999999999999999E-2</v>
      </c>
      <c r="F24" s="10">
        <v>33977</v>
      </c>
      <c r="G24" s="11">
        <v>1.2E-2</v>
      </c>
      <c r="H24" s="11">
        <v>0.126</v>
      </c>
      <c r="I24" s="10">
        <v>33653520</v>
      </c>
      <c r="J24" s="12" t="s">
        <v>5299</v>
      </c>
      <c r="K24" s="10">
        <v>4268</v>
      </c>
      <c r="L24" s="12" t="s">
        <v>5300</v>
      </c>
      <c r="M24" s="10">
        <v>915692660</v>
      </c>
      <c r="N24" s="10">
        <v>109184</v>
      </c>
      <c r="O24" s="12">
        <v>6</v>
      </c>
    </row>
    <row r="25" spans="1:15" ht="15" customHeight="1" x14ac:dyDescent="0.3">
      <c r="A25" s="9">
        <v>43529</v>
      </c>
      <c r="B25" s="12">
        <v>111</v>
      </c>
      <c r="C25" s="11">
        <v>1.9E-2</v>
      </c>
      <c r="D25" s="12">
        <v>260</v>
      </c>
      <c r="E25" s="11">
        <v>1.4999999999999999E-2</v>
      </c>
      <c r="F25" s="10">
        <v>34744</v>
      </c>
      <c r="G25" s="11">
        <v>1.2999999999999999E-2</v>
      </c>
      <c r="H25" s="11">
        <v>0.11700000000000001</v>
      </c>
      <c r="I25" s="10">
        <v>31440620</v>
      </c>
      <c r="J25" s="12" t="s">
        <v>5301</v>
      </c>
      <c r="K25" s="10">
        <v>4055</v>
      </c>
      <c r="L25" s="12" t="s">
        <v>5302</v>
      </c>
      <c r="M25" s="10">
        <v>947133280</v>
      </c>
      <c r="N25" s="10">
        <v>113239</v>
      </c>
      <c r="O25" s="12">
        <v>6</v>
      </c>
    </row>
    <row r="26" spans="1:15" ht="15" customHeight="1" x14ac:dyDescent="0.3">
      <c r="A26" s="9">
        <v>43530</v>
      </c>
      <c r="B26" s="12">
        <v>88</v>
      </c>
      <c r="C26" s="11">
        <v>1.7000000000000001E-2</v>
      </c>
      <c r="D26" s="12">
        <v>189</v>
      </c>
      <c r="E26" s="11">
        <v>0.01</v>
      </c>
      <c r="F26" s="10">
        <v>23368</v>
      </c>
      <c r="G26" s="11">
        <v>8.0000000000000002E-3</v>
      </c>
      <c r="H26" s="11">
        <v>0.14000000000000001</v>
      </c>
      <c r="I26" s="10">
        <v>26240480</v>
      </c>
      <c r="J26" s="12" t="s">
        <v>5303</v>
      </c>
      <c r="K26" s="10">
        <v>3273</v>
      </c>
      <c r="L26" s="12" t="s">
        <v>5304</v>
      </c>
      <c r="M26" s="10">
        <v>973373760</v>
      </c>
      <c r="N26" s="10">
        <v>116512</v>
      </c>
      <c r="O26" s="12">
        <v>7</v>
      </c>
    </row>
    <row r="27" spans="1:15" ht="15" customHeight="1" x14ac:dyDescent="0.3">
      <c r="A27" s="9">
        <v>43531</v>
      </c>
      <c r="B27" s="12">
        <v>88</v>
      </c>
      <c r="C27" s="11">
        <v>1.7000000000000001E-2</v>
      </c>
      <c r="D27" s="12">
        <v>159</v>
      </c>
      <c r="E27" s="11">
        <v>8.9999999999999993E-3</v>
      </c>
      <c r="F27" s="10">
        <v>19419</v>
      </c>
      <c r="G27" s="11">
        <v>7.0000000000000001E-3</v>
      </c>
      <c r="H27" s="11">
        <v>0.14299999999999999</v>
      </c>
      <c r="I27" s="10">
        <v>22096960</v>
      </c>
      <c r="J27" s="12" t="s">
        <v>5305</v>
      </c>
      <c r="K27" s="10">
        <v>2773</v>
      </c>
      <c r="L27" s="12" t="s">
        <v>5306</v>
      </c>
      <c r="M27" s="10">
        <v>995470720</v>
      </c>
      <c r="N27" s="10">
        <v>119285</v>
      </c>
      <c r="O27" s="12">
        <v>6</v>
      </c>
    </row>
    <row r="28" spans="1:15" ht="15" customHeight="1" x14ac:dyDescent="0.3">
      <c r="A28" s="9">
        <v>43532</v>
      </c>
      <c r="B28" s="12">
        <v>93</v>
      </c>
      <c r="C28" s="11">
        <v>1.7000000000000001E-2</v>
      </c>
      <c r="D28" s="12">
        <v>175</v>
      </c>
      <c r="E28" s="11">
        <v>0.01</v>
      </c>
      <c r="F28" s="10">
        <v>22767</v>
      </c>
      <c r="G28" s="11">
        <v>8.0000000000000002E-3</v>
      </c>
      <c r="H28" s="11">
        <v>0.159</v>
      </c>
      <c r="I28" s="10">
        <v>31678459</v>
      </c>
      <c r="J28" s="12" t="s">
        <v>5307</v>
      </c>
      <c r="K28" s="10">
        <v>3629</v>
      </c>
      <c r="L28" s="12" t="s">
        <v>5308</v>
      </c>
      <c r="M28" s="10">
        <v>1027149179</v>
      </c>
      <c r="N28" s="10">
        <v>122914</v>
      </c>
      <c r="O28" s="12">
        <v>6</v>
      </c>
    </row>
    <row r="29" spans="1:15" ht="15" customHeight="1" x14ac:dyDescent="0.3">
      <c r="A29" s="9">
        <v>43533</v>
      </c>
      <c r="B29" s="12">
        <v>83</v>
      </c>
      <c r="C29" s="11">
        <v>1.4E-2</v>
      </c>
      <c r="D29" s="12">
        <v>166</v>
      </c>
      <c r="E29" s="11">
        <v>8.9999999999999993E-3</v>
      </c>
      <c r="F29" s="10">
        <v>20717</v>
      </c>
      <c r="G29" s="11">
        <v>7.0000000000000001E-3</v>
      </c>
      <c r="H29" s="11">
        <v>0.28599999999999998</v>
      </c>
      <c r="I29" s="10">
        <v>53628771</v>
      </c>
      <c r="J29" s="12" t="s">
        <v>5309</v>
      </c>
      <c r="K29" s="10">
        <v>5932</v>
      </c>
      <c r="L29" s="12" t="s">
        <v>5310</v>
      </c>
      <c r="M29" s="10">
        <v>1080777950</v>
      </c>
      <c r="N29" s="10">
        <v>128846</v>
      </c>
      <c r="O29" s="12">
        <v>8</v>
      </c>
    </row>
    <row r="30" spans="1:15" ht="15" customHeight="1" x14ac:dyDescent="0.3">
      <c r="A30" s="9">
        <v>43534</v>
      </c>
      <c r="B30" s="12">
        <v>84</v>
      </c>
      <c r="C30" s="11">
        <v>1.4999999999999999E-2</v>
      </c>
      <c r="D30" s="12">
        <v>166</v>
      </c>
      <c r="E30" s="11">
        <v>8.9999999999999993E-3</v>
      </c>
      <c r="F30" s="10">
        <v>20345</v>
      </c>
      <c r="G30" s="11">
        <v>7.0000000000000001E-3</v>
      </c>
      <c r="H30" s="11">
        <v>0.22900000000000001</v>
      </c>
      <c r="I30" s="10">
        <v>42505380</v>
      </c>
      <c r="J30" s="12" t="s">
        <v>5311</v>
      </c>
      <c r="K30" s="10">
        <v>4662</v>
      </c>
      <c r="L30" s="12" t="s">
        <v>5312</v>
      </c>
      <c r="M30" s="10">
        <v>1123283330</v>
      </c>
      <c r="N30" s="10">
        <v>133508</v>
      </c>
      <c r="O30" s="12">
        <v>9</v>
      </c>
    </row>
    <row r="31" spans="1:15" ht="15" customHeight="1" x14ac:dyDescent="0.3">
      <c r="A31" s="9">
        <v>43535</v>
      </c>
      <c r="B31" s="12">
        <v>90</v>
      </c>
      <c r="C31" s="11">
        <v>1.7999999999999999E-2</v>
      </c>
      <c r="D31" s="12">
        <v>176</v>
      </c>
      <c r="E31" s="11">
        <v>0.01</v>
      </c>
      <c r="F31" s="10">
        <v>22915</v>
      </c>
      <c r="G31" s="11">
        <v>8.0000000000000002E-3</v>
      </c>
      <c r="H31" s="11">
        <v>0.105</v>
      </c>
      <c r="I31" s="10">
        <v>19120400</v>
      </c>
      <c r="J31" s="12" t="s">
        <v>5313</v>
      </c>
      <c r="K31" s="10">
        <v>2409</v>
      </c>
      <c r="L31" s="12" t="s">
        <v>5314</v>
      </c>
      <c r="M31" s="10">
        <v>1142403730</v>
      </c>
      <c r="N31" s="10">
        <v>135917</v>
      </c>
      <c r="O31" s="12">
        <v>7</v>
      </c>
    </row>
    <row r="32" spans="1:15" ht="15" customHeight="1" x14ac:dyDescent="0.3">
      <c r="A32" s="9">
        <v>43536</v>
      </c>
      <c r="B32" s="12">
        <v>92</v>
      </c>
      <c r="C32" s="11">
        <v>1.7999999999999999E-2</v>
      </c>
      <c r="D32" s="12">
        <v>165</v>
      </c>
      <c r="E32" s="11">
        <v>0.01</v>
      </c>
      <c r="F32" s="10">
        <v>21777</v>
      </c>
      <c r="G32" s="11">
        <v>8.0000000000000002E-3</v>
      </c>
      <c r="H32" s="11">
        <v>0.108</v>
      </c>
      <c r="I32" s="10">
        <v>17971540</v>
      </c>
      <c r="J32" s="12" t="s">
        <v>5315</v>
      </c>
      <c r="K32" s="10">
        <v>2347</v>
      </c>
      <c r="L32" s="12" t="s">
        <v>5316</v>
      </c>
      <c r="M32" s="10">
        <v>1160375270</v>
      </c>
      <c r="N32" s="10">
        <v>138264</v>
      </c>
      <c r="O32" s="12">
        <v>9</v>
      </c>
    </row>
    <row r="33" spans="1:15" ht="15" customHeight="1" x14ac:dyDescent="0.3">
      <c r="A33" s="9">
        <v>43537</v>
      </c>
      <c r="B33" s="12">
        <v>91</v>
      </c>
      <c r="C33" s="11">
        <v>1.6E-2</v>
      </c>
      <c r="D33" s="12">
        <v>180</v>
      </c>
      <c r="E33" s="11">
        <v>1.0999999999999999E-2</v>
      </c>
      <c r="F33" s="10">
        <v>22631</v>
      </c>
      <c r="G33" s="11">
        <v>8.0000000000000002E-3</v>
      </c>
      <c r="H33" s="11">
        <v>0.107</v>
      </c>
      <c r="I33" s="10">
        <v>19145460</v>
      </c>
      <c r="J33" s="12" t="s">
        <v>5317</v>
      </c>
      <c r="K33" s="10">
        <v>2411</v>
      </c>
      <c r="L33" s="12" t="s">
        <v>5318</v>
      </c>
      <c r="M33" s="10">
        <v>1179520730</v>
      </c>
      <c r="N33" s="10">
        <v>140675</v>
      </c>
      <c r="O33" s="12">
        <v>8</v>
      </c>
    </row>
    <row r="34" spans="1:15" ht="15" customHeight="1" x14ac:dyDescent="0.3">
      <c r="A34" s="9">
        <v>43538</v>
      </c>
      <c r="B34" s="12">
        <v>69</v>
      </c>
      <c r="C34" s="11">
        <v>1.2E-2</v>
      </c>
      <c r="D34" s="12">
        <v>111</v>
      </c>
      <c r="E34" s="11">
        <v>6.0000000000000001E-3</v>
      </c>
      <c r="F34" s="10">
        <v>14377</v>
      </c>
      <c r="G34" s="11">
        <v>5.0000000000000001E-3</v>
      </c>
      <c r="H34" s="11">
        <v>0.10199999999999999</v>
      </c>
      <c r="I34" s="10">
        <v>11363990</v>
      </c>
      <c r="J34" s="12" t="s">
        <v>5319</v>
      </c>
      <c r="K34" s="10">
        <v>1469</v>
      </c>
      <c r="L34" s="12" t="s">
        <v>5320</v>
      </c>
      <c r="M34" s="10">
        <v>1190884720</v>
      </c>
      <c r="N34" s="10">
        <v>142144</v>
      </c>
      <c r="O34" s="12">
        <v>14</v>
      </c>
    </row>
    <row r="35" spans="1:15" ht="15" customHeight="1" x14ac:dyDescent="0.3">
      <c r="A35" s="9">
        <v>43539</v>
      </c>
      <c r="B35" s="12">
        <v>75</v>
      </c>
      <c r="C35" s="11">
        <v>1.2999999999999999E-2</v>
      </c>
      <c r="D35" s="12">
        <v>119</v>
      </c>
      <c r="E35" s="11">
        <v>7.0000000000000001E-3</v>
      </c>
      <c r="F35" s="10">
        <v>15796</v>
      </c>
      <c r="G35" s="11">
        <v>6.0000000000000001E-3</v>
      </c>
      <c r="H35" s="11">
        <v>0.121</v>
      </c>
      <c r="I35" s="10">
        <v>16685749</v>
      </c>
      <c r="J35" s="12" t="s">
        <v>5321</v>
      </c>
      <c r="K35" s="10">
        <v>1907</v>
      </c>
      <c r="L35" s="12" t="s">
        <v>5322</v>
      </c>
      <c r="M35" s="10">
        <v>1207570469</v>
      </c>
      <c r="N35" s="10">
        <v>144051</v>
      </c>
      <c r="O35" s="12">
        <v>11</v>
      </c>
    </row>
    <row r="36" spans="1:15" ht="15" customHeight="1" x14ac:dyDescent="0.3">
      <c r="A36" s="9">
        <v>43540</v>
      </c>
      <c r="B36" s="12">
        <v>72</v>
      </c>
      <c r="C36" s="11">
        <v>1.0999999999999999E-2</v>
      </c>
      <c r="D36" s="12">
        <v>123</v>
      </c>
      <c r="E36" s="11">
        <v>6.0000000000000001E-3</v>
      </c>
      <c r="F36" s="10">
        <v>15835</v>
      </c>
      <c r="G36" s="11">
        <v>5.0000000000000001E-3</v>
      </c>
      <c r="H36" s="11">
        <v>0.20399999999999999</v>
      </c>
      <c r="I36" s="10">
        <v>28811277</v>
      </c>
      <c r="J36" s="12" t="s">
        <v>5323</v>
      </c>
      <c r="K36" s="10">
        <v>3238</v>
      </c>
      <c r="L36" s="12" t="s">
        <v>5324</v>
      </c>
      <c r="M36" s="10">
        <v>1236381746</v>
      </c>
      <c r="N36" s="10">
        <v>147289</v>
      </c>
      <c r="O36" s="12">
        <v>13</v>
      </c>
    </row>
    <row r="37" spans="1:15" ht="15" customHeight="1" x14ac:dyDescent="0.3">
      <c r="A37" s="9">
        <v>43541</v>
      </c>
      <c r="B37" s="12">
        <v>77</v>
      </c>
      <c r="C37" s="11">
        <v>1.2E-2</v>
      </c>
      <c r="D37" s="12">
        <v>119</v>
      </c>
      <c r="E37" s="11">
        <v>6.0000000000000001E-3</v>
      </c>
      <c r="F37" s="10">
        <v>16015</v>
      </c>
      <c r="G37" s="11">
        <v>5.0000000000000001E-3</v>
      </c>
      <c r="H37" s="11">
        <v>0.16200000000000001</v>
      </c>
      <c r="I37" s="10">
        <v>23045820</v>
      </c>
      <c r="J37" s="12" t="s">
        <v>5325</v>
      </c>
      <c r="K37" s="10">
        <v>2598</v>
      </c>
      <c r="L37" s="12" t="s">
        <v>5326</v>
      </c>
      <c r="M37" s="10">
        <v>1259427566</v>
      </c>
      <c r="N37" s="10">
        <v>149887</v>
      </c>
      <c r="O37" s="12">
        <v>13</v>
      </c>
    </row>
    <row r="38" spans="1:15" ht="15" customHeight="1" x14ac:dyDescent="0.3">
      <c r="A38" s="9">
        <v>43542</v>
      </c>
      <c r="B38" s="12">
        <v>71</v>
      </c>
      <c r="C38" s="11">
        <v>1.2999999999999999E-2</v>
      </c>
      <c r="D38" s="12">
        <v>126</v>
      </c>
      <c r="E38" s="11">
        <v>7.0000000000000001E-3</v>
      </c>
      <c r="F38" s="10">
        <v>15867</v>
      </c>
      <c r="G38" s="11">
        <v>6.0000000000000001E-3</v>
      </c>
      <c r="H38" s="11">
        <v>7.6999999999999999E-2</v>
      </c>
      <c r="I38" s="10">
        <v>9734310</v>
      </c>
      <c r="J38" s="12" t="s">
        <v>5327</v>
      </c>
      <c r="K38" s="10">
        <v>1219</v>
      </c>
      <c r="L38" s="12" t="s">
        <v>5328</v>
      </c>
      <c r="M38" s="10">
        <v>1269161876</v>
      </c>
      <c r="N38" s="10">
        <v>151106</v>
      </c>
      <c r="O38" s="12">
        <v>14</v>
      </c>
    </row>
    <row r="39" spans="1:15" ht="15" customHeight="1" x14ac:dyDescent="0.3">
      <c r="A39" s="9">
        <v>43543</v>
      </c>
      <c r="B39" s="12">
        <v>74</v>
      </c>
      <c r="C39" s="11">
        <v>1.2999999999999999E-2</v>
      </c>
      <c r="D39" s="12">
        <v>119</v>
      </c>
      <c r="E39" s="11">
        <v>7.0000000000000001E-3</v>
      </c>
      <c r="F39" s="10">
        <v>15091</v>
      </c>
      <c r="G39" s="11">
        <v>6.0000000000000001E-3</v>
      </c>
      <c r="H39" s="11">
        <v>9.6000000000000002E-2</v>
      </c>
      <c r="I39" s="10">
        <v>11346130</v>
      </c>
      <c r="J39" s="12" t="s">
        <v>5329</v>
      </c>
      <c r="K39" s="10">
        <v>1445</v>
      </c>
      <c r="L39" s="12" t="s">
        <v>5330</v>
      </c>
      <c r="M39" s="10">
        <v>1280508006</v>
      </c>
      <c r="N39" s="10">
        <v>152551</v>
      </c>
      <c r="O39" s="12">
        <v>12</v>
      </c>
    </row>
    <row r="40" spans="1:15" ht="15" customHeight="1" x14ac:dyDescent="0.3">
      <c r="A40" s="9">
        <v>43544</v>
      </c>
      <c r="B40" s="12">
        <v>53</v>
      </c>
      <c r="C40" s="11">
        <v>0.01</v>
      </c>
      <c r="D40" s="12">
        <v>83</v>
      </c>
      <c r="E40" s="11">
        <v>5.0000000000000001E-3</v>
      </c>
      <c r="F40" s="10">
        <v>10193</v>
      </c>
      <c r="G40" s="11">
        <v>4.0000000000000001E-3</v>
      </c>
      <c r="H40" s="11">
        <v>9.0999999999999998E-2</v>
      </c>
      <c r="I40" s="10">
        <v>7424600</v>
      </c>
      <c r="J40" s="12" t="s">
        <v>5331</v>
      </c>
      <c r="K40" s="12">
        <v>927</v>
      </c>
      <c r="L40" s="12" t="s">
        <v>5332</v>
      </c>
      <c r="M40" s="10">
        <v>1287932606</v>
      </c>
      <c r="N40" s="10">
        <v>153478</v>
      </c>
      <c r="O40" s="12">
        <v>13</v>
      </c>
    </row>
    <row r="41" spans="1:15" ht="15" customHeight="1" x14ac:dyDescent="0.3">
      <c r="A41" s="9">
        <v>43545</v>
      </c>
      <c r="B41" s="12">
        <v>38</v>
      </c>
      <c r="C41" s="11">
        <v>7.0000000000000001E-3</v>
      </c>
      <c r="D41" s="12">
        <v>62</v>
      </c>
      <c r="E41" s="11">
        <v>4.0000000000000001E-3</v>
      </c>
      <c r="F41" s="10">
        <v>8605</v>
      </c>
      <c r="G41" s="11">
        <v>3.0000000000000001E-3</v>
      </c>
      <c r="H41" s="11">
        <v>0.09</v>
      </c>
      <c r="I41" s="10">
        <v>5851530</v>
      </c>
      <c r="J41" s="12" t="s">
        <v>5333</v>
      </c>
      <c r="K41" s="12">
        <v>772</v>
      </c>
      <c r="L41" s="12" t="s">
        <v>5334</v>
      </c>
      <c r="M41" s="10">
        <v>1293784136</v>
      </c>
      <c r="N41" s="10">
        <v>154250</v>
      </c>
      <c r="O41" s="12">
        <v>14</v>
      </c>
    </row>
    <row r="42" spans="1:15" ht="15" customHeight="1" x14ac:dyDescent="0.3">
      <c r="A42" s="9">
        <v>43546</v>
      </c>
      <c r="B42" s="12">
        <v>38</v>
      </c>
      <c r="C42" s="11">
        <v>7.0000000000000001E-3</v>
      </c>
      <c r="D42" s="12">
        <v>61</v>
      </c>
      <c r="E42" s="11">
        <v>3.0000000000000001E-3</v>
      </c>
      <c r="F42" s="10">
        <v>8135</v>
      </c>
      <c r="G42" s="11">
        <v>3.0000000000000001E-3</v>
      </c>
      <c r="H42" s="11">
        <v>0.108</v>
      </c>
      <c r="I42" s="10">
        <v>7724410</v>
      </c>
      <c r="J42" s="12" t="s">
        <v>5335</v>
      </c>
      <c r="K42" s="12">
        <v>880</v>
      </c>
      <c r="L42" s="12" t="s">
        <v>5336</v>
      </c>
      <c r="M42" s="10">
        <v>1301508546</v>
      </c>
      <c r="N42" s="10">
        <v>155130</v>
      </c>
      <c r="O42" s="12">
        <v>12</v>
      </c>
    </row>
    <row r="43" spans="1:15" ht="15" customHeight="1" x14ac:dyDescent="0.3">
      <c r="A43" s="9">
        <v>43547</v>
      </c>
      <c r="B43" s="12">
        <v>39</v>
      </c>
      <c r="C43" s="11">
        <v>7.0000000000000001E-3</v>
      </c>
      <c r="D43" s="12">
        <v>62</v>
      </c>
      <c r="E43" s="11">
        <v>3.0000000000000001E-3</v>
      </c>
      <c r="F43" s="10">
        <v>7818</v>
      </c>
      <c r="G43" s="11">
        <v>3.0000000000000001E-3</v>
      </c>
      <c r="H43" s="11">
        <v>0.2</v>
      </c>
      <c r="I43" s="10">
        <v>14015590</v>
      </c>
      <c r="J43" s="12" t="s">
        <v>5337</v>
      </c>
      <c r="K43" s="10">
        <v>1560</v>
      </c>
      <c r="L43" s="12" t="s">
        <v>5338</v>
      </c>
      <c r="M43" s="10">
        <v>1315524136</v>
      </c>
      <c r="N43" s="10">
        <v>156690</v>
      </c>
      <c r="O43" s="12">
        <v>12</v>
      </c>
    </row>
    <row r="44" spans="1:15" ht="15" customHeight="1" x14ac:dyDescent="0.3">
      <c r="A44" s="9">
        <v>43548</v>
      </c>
      <c r="B44" s="12">
        <v>47</v>
      </c>
      <c r="C44" s="11">
        <v>8.0000000000000002E-3</v>
      </c>
      <c r="D44" s="12">
        <v>68</v>
      </c>
      <c r="E44" s="11">
        <v>4.0000000000000001E-3</v>
      </c>
      <c r="F44" s="10">
        <v>9616</v>
      </c>
      <c r="G44" s="11">
        <v>3.0000000000000001E-3</v>
      </c>
      <c r="H44" s="11">
        <v>0.17100000000000001</v>
      </c>
      <c r="I44" s="10">
        <v>14167530</v>
      </c>
      <c r="J44" s="12" t="s">
        <v>5339</v>
      </c>
      <c r="K44" s="10">
        <v>1640</v>
      </c>
      <c r="L44" s="12" t="s">
        <v>5340</v>
      </c>
      <c r="M44" s="10">
        <v>1329691666</v>
      </c>
      <c r="N44" s="10">
        <v>158330</v>
      </c>
      <c r="O44" s="12">
        <v>12</v>
      </c>
    </row>
    <row r="45" spans="1:15" ht="15" customHeight="1" x14ac:dyDescent="0.3">
      <c r="A45" s="9">
        <v>43549</v>
      </c>
      <c r="B45" s="12">
        <v>38</v>
      </c>
      <c r="C45" s="11">
        <v>8.0000000000000002E-3</v>
      </c>
      <c r="D45" s="12">
        <v>66</v>
      </c>
      <c r="E45" s="11">
        <v>4.0000000000000001E-3</v>
      </c>
      <c r="F45" s="10">
        <v>8106</v>
      </c>
      <c r="G45" s="11">
        <v>3.0000000000000001E-3</v>
      </c>
      <c r="H45" s="11">
        <v>8.1000000000000003E-2</v>
      </c>
      <c r="I45" s="10">
        <v>5391430</v>
      </c>
      <c r="J45" s="12" t="s">
        <v>5341</v>
      </c>
      <c r="K45" s="12">
        <v>660</v>
      </c>
      <c r="L45" s="12" t="s">
        <v>5342</v>
      </c>
      <c r="M45" s="10">
        <v>1335083096</v>
      </c>
      <c r="N45" s="10">
        <v>158990</v>
      </c>
      <c r="O45" s="12">
        <v>16</v>
      </c>
    </row>
    <row r="46" spans="1:15" ht="15" customHeight="1" x14ac:dyDescent="0.3">
      <c r="A46" s="9">
        <v>43550</v>
      </c>
      <c r="B46" s="12">
        <v>37</v>
      </c>
      <c r="C46" s="11">
        <v>7.0000000000000001E-3</v>
      </c>
      <c r="D46" s="12">
        <v>62</v>
      </c>
      <c r="E46" s="11">
        <v>4.0000000000000001E-3</v>
      </c>
      <c r="F46" s="10">
        <v>8482</v>
      </c>
      <c r="G46" s="11">
        <v>3.0000000000000001E-3</v>
      </c>
      <c r="H46" s="11">
        <v>0.08</v>
      </c>
      <c r="I46" s="10">
        <v>5060550</v>
      </c>
      <c r="J46" s="12" t="s">
        <v>5343</v>
      </c>
      <c r="K46" s="12">
        <v>675</v>
      </c>
      <c r="L46" s="12" t="s">
        <v>5344</v>
      </c>
      <c r="M46" s="10">
        <v>1340143646</v>
      </c>
      <c r="N46" s="10">
        <v>159665</v>
      </c>
      <c r="O46" s="12">
        <v>16</v>
      </c>
    </row>
    <row r="47" spans="1:15" ht="15" customHeight="1" x14ac:dyDescent="0.3">
      <c r="A47" s="9">
        <v>43551</v>
      </c>
      <c r="B47" s="12">
        <v>21</v>
      </c>
      <c r="C47" s="11">
        <v>3.0000000000000001E-3</v>
      </c>
      <c r="D47" s="12">
        <v>23</v>
      </c>
      <c r="E47" s="11">
        <v>1E-3</v>
      </c>
      <c r="F47" s="10">
        <v>3624</v>
      </c>
      <c r="G47" s="11">
        <v>1E-3</v>
      </c>
      <c r="H47" s="11">
        <v>0.111</v>
      </c>
      <c r="I47" s="10">
        <v>3004200</v>
      </c>
      <c r="J47" s="12" t="s">
        <v>5345</v>
      </c>
      <c r="K47" s="12">
        <v>404</v>
      </c>
      <c r="L47" s="12" t="s">
        <v>5346</v>
      </c>
      <c r="M47" s="10">
        <v>1343147846</v>
      </c>
      <c r="N47" s="10">
        <v>160069</v>
      </c>
      <c r="O47" s="12">
        <v>29</v>
      </c>
    </row>
    <row r="48" spans="1:15" ht="15" customHeight="1" x14ac:dyDescent="0.3">
      <c r="A48" s="9">
        <v>43552</v>
      </c>
      <c r="B48" s="12">
        <v>17</v>
      </c>
      <c r="C48" s="11">
        <v>3.0000000000000001E-3</v>
      </c>
      <c r="D48" s="12">
        <v>19</v>
      </c>
      <c r="E48" s="11">
        <v>1E-3</v>
      </c>
      <c r="F48" s="10">
        <v>2530</v>
      </c>
      <c r="G48" s="11">
        <v>1E-3</v>
      </c>
      <c r="H48" s="11">
        <v>0.10199999999999999</v>
      </c>
      <c r="I48" s="10">
        <v>1996000</v>
      </c>
      <c r="J48" s="12" t="s">
        <v>5347</v>
      </c>
      <c r="K48" s="12">
        <v>259</v>
      </c>
      <c r="L48" s="12" t="s">
        <v>5348</v>
      </c>
      <c r="M48" s="10">
        <v>1345143846</v>
      </c>
      <c r="N48" s="10">
        <v>160328</v>
      </c>
      <c r="O48" s="12">
        <v>36</v>
      </c>
    </row>
    <row r="49" spans="1:15" ht="15" customHeight="1" x14ac:dyDescent="0.3">
      <c r="A49" s="9">
        <v>43553</v>
      </c>
      <c r="B49" s="12">
        <v>16</v>
      </c>
      <c r="C49" s="11">
        <v>3.0000000000000001E-3</v>
      </c>
      <c r="D49" s="12">
        <v>22</v>
      </c>
      <c r="E49" s="11">
        <v>1E-3</v>
      </c>
      <c r="F49" s="10">
        <v>2393</v>
      </c>
      <c r="G49" s="11">
        <v>1E-3</v>
      </c>
      <c r="H49" s="11">
        <v>0.17299999999999999</v>
      </c>
      <c r="I49" s="10">
        <v>3869180</v>
      </c>
      <c r="J49" s="12" t="s">
        <v>5349</v>
      </c>
      <c r="K49" s="12">
        <v>414</v>
      </c>
      <c r="L49" s="12" t="s">
        <v>5350</v>
      </c>
      <c r="M49" s="10">
        <v>1349013026</v>
      </c>
      <c r="N49" s="10">
        <v>160742</v>
      </c>
      <c r="O49" s="12">
        <v>24</v>
      </c>
    </row>
    <row r="50" spans="1:15" ht="15" customHeight="1" x14ac:dyDescent="0.3">
      <c r="A50" s="9">
        <v>43554</v>
      </c>
      <c r="B50" s="12">
        <v>16</v>
      </c>
      <c r="C50" s="11">
        <v>3.0000000000000001E-3</v>
      </c>
      <c r="D50" s="12">
        <v>18</v>
      </c>
      <c r="E50" s="11">
        <v>1E-3</v>
      </c>
      <c r="F50" s="10">
        <v>2124</v>
      </c>
      <c r="G50" s="11">
        <v>1E-3</v>
      </c>
      <c r="H50" s="11">
        <v>0.23400000000000001</v>
      </c>
      <c r="I50" s="10">
        <v>4702500</v>
      </c>
      <c r="J50" s="12" t="s">
        <v>5351</v>
      </c>
      <c r="K50" s="12">
        <v>497</v>
      </c>
      <c r="L50" s="12" t="s">
        <v>5352</v>
      </c>
      <c r="M50" s="10">
        <v>1353715526</v>
      </c>
      <c r="N50" s="10">
        <v>161239</v>
      </c>
      <c r="O50" s="12">
        <v>24</v>
      </c>
    </row>
    <row r="51" spans="1:15" ht="15" customHeight="1" x14ac:dyDescent="0.3">
      <c r="A51" s="9">
        <v>43555</v>
      </c>
      <c r="B51" s="12">
        <v>18</v>
      </c>
      <c r="C51" s="11">
        <v>3.0000000000000001E-3</v>
      </c>
      <c r="D51" s="12">
        <v>21</v>
      </c>
      <c r="E51" s="11">
        <v>1E-3</v>
      </c>
      <c r="F51" s="10">
        <v>2281</v>
      </c>
      <c r="G51" s="11">
        <v>1E-3</v>
      </c>
      <c r="H51" s="11">
        <v>0.22500000000000001</v>
      </c>
      <c r="I51" s="10">
        <v>4721500</v>
      </c>
      <c r="J51" s="12" t="s">
        <v>5353</v>
      </c>
      <c r="K51" s="12">
        <v>514</v>
      </c>
      <c r="L51" s="12" t="s">
        <v>5354</v>
      </c>
      <c r="M51" s="10">
        <v>1358437026</v>
      </c>
      <c r="N51" s="10">
        <v>161753</v>
      </c>
      <c r="O51" s="12">
        <v>21</v>
      </c>
    </row>
    <row r="52" spans="1:15" ht="15" customHeight="1" x14ac:dyDescent="0.3">
      <c r="A52" s="9">
        <v>43556</v>
      </c>
      <c r="B52" s="12">
        <v>16</v>
      </c>
      <c r="C52" s="11">
        <v>3.0000000000000001E-3</v>
      </c>
      <c r="D52" s="12">
        <v>19</v>
      </c>
      <c r="E52" s="11">
        <v>1E-3</v>
      </c>
      <c r="F52" s="10">
        <v>2287</v>
      </c>
      <c r="G52" s="11">
        <v>1E-3</v>
      </c>
      <c r="H52" s="11">
        <v>0.126</v>
      </c>
      <c r="I52" s="10">
        <v>2188450</v>
      </c>
      <c r="J52" s="12" t="s">
        <v>5355</v>
      </c>
      <c r="K52" s="12">
        <v>288</v>
      </c>
      <c r="L52" s="12" t="s">
        <v>5356</v>
      </c>
      <c r="M52" s="10">
        <v>1360625476</v>
      </c>
      <c r="N52" s="10">
        <v>162041</v>
      </c>
      <c r="O52" s="12">
        <v>26</v>
      </c>
    </row>
    <row r="53" spans="1:15" ht="15" customHeight="1" x14ac:dyDescent="0.3">
      <c r="A53" s="9">
        <v>43557</v>
      </c>
      <c r="B53" s="12">
        <v>17</v>
      </c>
      <c r="C53" s="11">
        <v>3.0000000000000001E-3</v>
      </c>
      <c r="D53" s="12">
        <v>19</v>
      </c>
      <c r="E53" s="11">
        <v>1E-3</v>
      </c>
      <c r="F53" s="10">
        <v>2405</v>
      </c>
      <c r="G53" s="11">
        <v>1E-3</v>
      </c>
      <c r="H53" s="11">
        <v>8.4000000000000005E-2</v>
      </c>
      <c r="I53" s="10">
        <v>1536800</v>
      </c>
      <c r="J53" s="12" t="s">
        <v>5357</v>
      </c>
      <c r="K53" s="12">
        <v>201</v>
      </c>
      <c r="L53" s="12" t="s">
        <v>5358</v>
      </c>
      <c r="M53" s="10">
        <v>1362162276</v>
      </c>
      <c r="N53" s="10">
        <v>162242</v>
      </c>
      <c r="O53" s="12">
        <v>30</v>
      </c>
    </row>
    <row r="54" spans="1:15" ht="15" customHeight="1" x14ac:dyDescent="0.3">
      <c r="A54" s="9">
        <v>43558</v>
      </c>
      <c r="B54" s="12">
        <v>14</v>
      </c>
      <c r="C54" s="11">
        <v>3.0000000000000001E-3</v>
      </c>
      <c r="D54" s="12">
        <v>17</v>
      </c>
      <c r="E54" s="11">
        <v>1E-3</v>
      </c>
      <c r="F54" s="10">
        <v>1608</v>
      </c>
      <c r="G54" s="11">
        <v>1E-3</v>
      </c>
      <c r="H54" s="11">
        <v>0.152</v>
      </c>
      <c r="I54" s="10">
        <v>2005000</v>
      </c>
      <c r="J54" s="12" t="s">
        <v>5359</v>
      </c>
      <c r="K54" s="12">
        <v>244</v>
      </c>
      <c r="L54" s="12" t="s">
        <v>5360</v>
      </c>
      <c r="M54" s="10">
        <v>1364167276</v>
      </c>
      <c r="N54" s="10">
        <v>162486</v>
      </c>
      <c r="O54" s="12">
        <v>23</v>
      </c>
    </row>
    <row r="55" spans="1:15" ht="15" customHeight="1" x14ac:dyDescent="0.3">
      <c r="A55" s="9">
        <v>43559</v>
      </c>
      <c r="B55" s="12">
        <v>7</v>
      </c>
      <c r="C55" s="11">
        <v>1E-3</v>
      </c>
      <c r="D55" s="12">
        <v>8</v>
      </c>
      <c r="E55" s="11">
        <v>0</v>
      </c>
      <c r="F55" s="10">
        <v>1016</v>
      </c>
      <c r="G55" s="11">
        <v>0</v>
      </c>
      <c r="H55" s="11">
        <v>6.6000000000000003E-2</v>
      </c>
      <c r="I55" s="10">
        <v>535300</v>
      </c>
      <c r="J55" s="12" t="s">
        <v>5361</v>
      </c>
      <c r="K55" s="12">
        <v>67</v>
      </c>
      <c r="L55" s="12" t="s">
        <v>5362</v>
      </c>
      <c r="M55" s="10">
        <v>1364702576</v>
      </c>
      <c r="N55" s="10">
        <v>162553</v>
      </c>
      <c r="O55" s="12">
        <v>53</v>
      </c>
    </row>
    <row r="56" spans="1:15" ht="15" customHeight="1" x14ac:dyDescent="0.3">
      <c r="A56" s="9">
        <v>43560</v>
      </c>
      <c r="B56" s="12">
        <v>9</v>
      </c>
      <c r="C56" s="11">
        <v>2E-3</v>
      </c>
      <c r="D56" s="12">
        <v>12</v>
      </c>
      <c r="E56" s="11">
        <v>1E-3</v>
      </c>
      <c r="F56" s="10">
        <v>1317</v>
      </c>
      <c r="G56" s="11">
        <v>0</v>
      </c>
      <c r="H56" s="11">
        <v>0.121</v>
      </c>
      <c r="I56" s="10">
        <v>1364500</v>
      </c>
      <c r="J56" s="12" t="s">
        <v>5363</v>
      </c>
      <c r="K56" s="12">
        <v>160</v>
      </c>
      <c r="L56" s="12" t="s">
        <v>5364</v>
      </c>
      <c r="M56" s="10">
        <v>1366067076</v>
      </c>
      <c r="N56" s="10">
        <v>162713</v>
      </c>
      <c r="O56" s="12">
        <v>35</v>
      </c>
    </row>
    <row r="57" spans="1:15" ht="15" customHeight="1" x14ac:dyDescent="0.3">
      <c r="A57" s="9">
        <v>43561</v>
      </c>
      <c r="B57" s="12">
        <v>11</v>
      </c>
      <c r="C57" s="11">
        <v>2E-3</v>
      </c>
      <c r="D57" s="12">
        <v>12</v>
      </c>
      <c r="E57" s="11">
        <v>1E-3</v>
      </c>
      <c r="F57" s="10">
        <v>1618</v>
      </c>
      <c r="G57" s="11">
        <v>1E-3</v>
      </c>
      <c r="H57" s="11">
        <v>0.158</v>
      </c>
      <c r="I57" s="10">
        <v>2355000</v>
      </c>
      <c r="J57" s="12" t="s">
        <v>5365</v>
      </c>
      <c r="K57" s="12">
        <v>255</v>
      </c>
      <c r="L57" s="12" t="s">
        <v>5366</v>
      </c>
      <c r="M57" s="10">
        <v>1368422076</v>
      </c>
      <c r="N57" s="10">
        <v>162968</v>
      </c>
      <c r="O57" s="12">
        <v>28</v>
      </c>
    </row>
    <row r="58" spans="1:15" ht="15" customHeight="1" x14ac:dyDescent="0.3">
      <c r="A58" s="9">
        <v>43562</v>
      </c>
      <c r="B58" s="12">
        <v>12</v>
      </c>
      <c r="C58" s="11">
        <v>2E-3</v>
      </c>
      <c r="D58" s="12">
        <v>13</v>
      </c>
      <c r="E58" s="11">
        <v>1E-3</v>
      </c>
      <c r="F58" s="10">
        <v>1621</v>
      </c>
      <c r="G58" s="11">
        <v>1E-3</v>
      </c>
      <c r="H58" s="11">
        <v>0.11600000000000001</v>
      </c>
      <c r="I58" s="10">
        <v>1624000</v>
      </c>
      <c r="J58" s="12" t="s">
        <v>5367</v>
      </c>
      <c r="K58" s="12">
        <v>188</v>
      </c>
      <c r="L58" s="12" t="s">
        <v>5368</v>
      </c>
      <c r="M58" s="10">
        <v>1370046076</v>
      </c>
      <c r="N58" s="10">
        <v>163156</v>
      </c>
      <c r="O58" s="12">
        <v>27</v>
      </c>
    </row>
    <row r="59" spans="1:15" ht="15" customHeight="1" x14ac:dyDescent="0.3">
      <c r="A59" s="9">
        <v>43563</v>
      </c>
      <c r="B59" s="12">
        <v>8</v>
      </c>
      <c r="C59" s="11">
        <v>1E-3</v>
      </c>
      <c r="D59" s="12">
        <v>9</v>
      </c>
      <c r="E59" s="11">
        <v>1E-3</v>
      </c>
      <c r="F59" s="10">
        <v>1130</v>
      </c>
      <c r="G59" s="11">
        <v>0</v>
      </c>
      <c r="H59" s="11">
        <v>9.6000000000000002E-2</v>
      </c>
      <c r="I59" s="10">
        <v>890000</v>
      </c>
      <c r="J59" s="12" t="s">
        <v>5369</v>
      </c>
      <c r="K59" s="12">
        <v>108</v>
      </c>
      <c r="L59" s="12" t="s">
        <v>5370</v>
      </c>
      <c r="M59" s="10">
        <v>1370936076</v>
      </c>
      <c r="N59" s="10">
        <v>163264</v>
      </c>
      <c r="O59" s="12">
        <v>35</v>
      </c>
    </row>
    <row r="60" spans="1:15" ht="15" customHeight="1" x14ac:dyDescent="0.3">
      <c r="A60" s="9">
        <v>43564</v>
      </c>
      <c r="B60" s="12">
        <v>8</v>
      </c>
      <c r="C60" s="11">
        <v>1E-3</v>
      </c>
      <c r="D60" s="12">
        <v>9</v>
      </c>
      <c r="E60" s="11">
        <v>1E-3</v>
      </c>
      <c r="F60" s="10">
        <v>1184</v>
      </c>
      <c r="G60" s="11">
        <v>0</v>
      </c>
      <c r="H60" s="11">
        <v>0.115</v>
      </c>
      <c r="I60" s="10">
        <v>1181000</v>
      </c>
      <c r="J60" s="12" t="s">
        <v>5371</v>
      </c>
      <c r="K60" s="12">
        <v>136</v>
      </c>
      <c r="L60" s="12" t="s">
        <v>5372</v>
      </c>
      <c r="M60" s="10">
        <v>1372117076</v>
      </c>
      <c r="N60" s="10">
        <v>163400</v>
      </c>
      <c r="O60" s="12">
        <v>30</v>
      </c>
    </row>
    <row r="61" spans="1:15" ht="15" customHeight="1" x14ac:dyDescent="0.3">
      <c r="A61" s="9">
        <v>43565</v>
      </c>
      <c r="B61" s="12">
        <v>9</v>
      </c>
      <c r="C61" s="11">
        <v>2E-3</v>
      </c>
      <c r="D61" s="12">
        <v>9</v>
      </c>
      <c r="E61" s="11">
        <v>1E-3</v>
      </c>
      <c r="F61" s="12">
        <v>972</v>
      </c>
      <c r="G61" s="11">
        <v>0</v>
      </c>
      <c r="H61" s="11">
        <v>0.10299999999999999</v>
      </c>
      <c r="I61" s="10">
        <v>836200</v>
      </c>
      <c r="J61" s="12" t="s">
        <v>5373</v>
      </c>
      <c r="K61" s="12">
        <v>100</v>
      </c>
      <c r="L61" s="12" t="s">
        <v>5374</v>
      </c>
      <c r="M61" s="10">
        <v>1372953276</v>
      </c>
      <c r="N61" s="10">
        <v>163500</v>
      </c>
      <c r="O61" s="12">
        <v>41</v>
      </c>
    </row>
    <row r="62" spans="1:15" ht="15" customHeight="1" x14ac:dyDescent="0.3">
      <c r="A62" s="9">
        <v>43566</v>
      </c>
      <c r="B62" s="12">
        <v>6</v>
      </c>
      <c r="C62" s="11">
        <v>1E-3</v>
      </c>
      <c r="D62" s="12">
        <v>6</v>
      </c>
      <c r="E62" s="11">
        <v>0</v>
      </c>
      <c r="F62" s="12">
        <v>813</v>
      </c>
      <c r="G62" s="11">
        <v>0</v>
      </c>
      <c r="H62" s="11">
        <v>8.5000000000000006E-2</v>
      </c>
      <c r="I62" s="10">
        <v>559500</v>
      </c>
      <c r="J62" s="12" t="s">
        <v>5375</v>
      </c>
      <c r="K62" s="12">
        <v>69</v>
      </c>
      <c r="L62" s="12" t="s">
        <v>5376</v>
      </c>
      <c r="M62" s="10">
        <v>1373512776</v>
      </c>
      <c r="N62" s="10">
        <v>163569</v>
      </c>
      <c r="O62" s="12">
        <v>52</v>
      </c>
    </row>
    <row r="63" spans="1:15" ht="15" customHeight="1" x14ac:dyDescent="0.3">
      <c r="A63" s="9">
        <v>43567</v>
      </c>
      <c r="B63" s="12">
        <v>4</v>
      </c>
      <c r="C63" s="11">
        <v>1E-3</v>
      </c>
      <c r="D63" s="12">
        <v>4</v>
      </c>
      <c r="E63" s="11">
        <v>0</v>
      </c>
      <c r="F63" s="12">
        <v>468</v>
      </c>
      <c r="G63" s="11">
        <v>0</v>
      </c>
      <c r="H63" s="11">
        <v>0.182</v>
      </c>
      <c r="I63" s="10">
        <v>728500</v>
      </c>
      <c r="J63" s="12" t="s">
        <v>5377</v>
      </c>
      <c r="K63" s="12">
        <v>85</v>
      </c>
      <c r="L63" s="12" t="s">
        <v>5378</v>
      </c>
      <c r="M63" s="10">
        <v>1374241276</v>
      </c>
      <c r="N63" s="10">
        <v>163654</v>
      </c>
      <c r="O63" s="12">
        <v>46</v>
      </c>
    </row>
    <row r="64" spans="1:15" ht="15" customHeight="1" x14ac:dyDescent="0.3">
      <c r="A64" s="9">
        <v>43568</v>
      </c>
      <c r="B64" s="12">
        <v>6</v>
      </c>
      <c r="C64" s="11">
        <v>1E-3</v>
      </c>
      <c r="D64" s="12">
        <v>6</v>
      </c>
      <c r="E64" s="11">
        <v>0</v>
      </c>
      <c r="F64" s="12">
        <v>802</v>
      </c>
      <c r="G64" s="11">
        <v>0</v>
      </c>
      <c r="H64" s="11">
        <v>0.182</v>
      </c>
      <c r="I64" s="10">
        <v>1297000</v>
      </c>
      <c r="J64" s="12" t="s">
        <v>5379</v>
      </c>
      <c r="K64" s="12">
        <v>146</v>
      </c>
      <c r="L64" s="12" t="s">
        <v>5380</v>
      </c>
      <c r="M64" s="10">
        <v>1375538276</v>
      </c>
      <c r="N64" s="10">
        <v>163800</v>
      </c>
      <c r="O64" s="12">
        <v>38</v>
      </c>
    </row>
    <row r="65" spans="1:15" ht="15" customHeight="1" x14ac:dyDescent="0.3">
      <c r="A65" s="9">
        <v>43569</v>
      </c>
      <c r="B65" s="12">
        <v>4</v>
      </c>
      <c r="C65" s="11">
        <v>1E-3</v>
      </c>
      <c r="D65" s="12">
        <v>4</v>
      </c>
      <c r="E65" s="11">
        <v>0</v>
      </c>
      <c r="F65" s="12">
        <v>833</v>
      </c>
      <c r="G65" s="11">
        <v>0</v>
      </c>
      <c r="H65" s="11">
        <v>9.4E-2</v>
      </c>
      <c r="I65" s="10">
        <v>673500</v>
      </c>
      <c r="J65" s="12" t="s">
        <v>5381</v>
      </c>
      <c r="K65" s="12">
        <v>78</v>
      </c>
      <c r="L65" s="12" t="s">
        <v>5382</v>
      </c>
      <c r="M65" s="10">
        <v>1376211776</v>
      </c>
      <c r="N65" s="10">
        <v>163878</v>
      </c>
      <c r="O65" s="12">
        <v>50</v>
      </c>
    </row>
    <row r="66" spans="1:15" ht="15" customHeight="1" x14ac:dyDescent="0.3">
      <c r="A66" s="9">
        <v>43570</v>
      </c>
      <c r="B66" s="12">
        <v>6</v>
      </c>
      <c r="C66" s="11">
        <v>1E-3</v>
      </c>
      <c r="D66" s="12">
        <v>6</v>
      </c>
      <c r="E66" s="11">
        <v>0</v>
      </c>
      <c r="F66" s="12">
        <v>956</v>
      </c>
      <c r="G66" s="11">
        <v>0</v>
      </c>
      <c r="H66" s="11">
        <v>4.1000000000000002E-2</v>
      </c>
      <c r="I66" s="10">
        <v>286000</v>
      </c>
      <c r="J66" s="12" t="s">
        <v>5383</v>
      </c>
      <c r="K66" s="12">
        <v>39</v>
      </c>
      <c r="L66" s="12" t="s">
        <v>5384</v>
      </c>
      <c r="M66" s="10">
        <v>1376497776</v>
      </c>
      <c r="N66" s="10">
        <v>163917</v>
      </c>
      <c r="O66" s="12">
        <v>52</v>
      </c>
    </row>
    <row r="67" spans="1:15" ht="15" customHeight="1" x14ac:dyDescent="0.3">
      <c r="A67" s="9">
        <v>43571</v>
      </c>
      <c r="B67" s="12">
        <v>4</v>
      </c>
      <c r="C67" s="11">
        <v>1E-3</v>
      </c>
      <c r="D67" s="12">
        <v>4</v>
      </c>
      <c r="E67" s="11">
        <v>0</v>
      </c>
      <c r="F67" s="12">
        <v>705</v>
      </c>
      <c r="G67" s="11">
        <v>0</v>
      </c>
      <c r="H67" s="11">
        <v>0.10199999999999999</v>
      </c>
      <c r="I67" s="10">
        <v>572000</v>
      </c>
      <c r="J67" s="12" t="s">
        <v>5385</v>
      </c>
      <c r="K67" s="12">
        <v>72</v>
      </c>
      <c r="L67" s="12" t="s">
        <v>5386</v>
      </c>
      <c r="M67" s="10">
        <v>1377069776</v>
      </c>
      <c r="N67" s="10">
        <v>163989</v>
      </c>
      <c r="O67" s="12">
        <v>52</v>
      </c>
    </row>
    <row r="68" spans="1:15" ht="15" customHeight="1" x14ac:dyDescent="0.3">
      <c r="A68" s="9">
        <v>43572</v>
      </c>
      <c r="B68" s="12">
        <v>2</v>
      </c>
      <c r="C68" s="11">
        <v>0</v>
      </c>
      <c r="D68" s="12">
        <v>2</v>
      </c>
      <c r="E68" s="11">
        <v>0</v>
      </c>
      <c r="F68" s="12">
        <v>518</v>
      </c>
      <c r="G68" s="11">
        <v>0</v>
      </c>
      <c r="H68" s="11">
        <v>4.2000000000000003E-2</v>
      </c>
      <c r="I68" s="10">
        <v>175000</v>
      </c>
      <c r="J68" s="12" t="s">
        <v>5387</v>
      </c>
      <c r="K68" s="12">
        <v>22</v>
      </c>
      <c r="L68" s="12" t="s">
        <v>5388</v>
      </c>
      <c r="M68" s="10">
        <v>1377244776</v>
      </c>
      <c r="N68" s="10">
        <v>164011</v>
      </c>
      <c r="O68" s="12">
        <v>75</v>
      </c>
    </row>
    <row r="69" spans="1:15" ht="15" customHeight="1" x14ac:dyDescent="0.3">
      <c r="A69" s="9">
        <v>43573</v>
      </c>
      <c r="B69" s="12">
        <v>3</v>
      </c>
      <c r="C69" s="11">
        <v>0</v>
      </c>
      <c r="D69" s="12">
        <v>3</v>
      </c>
      <c r="E69" s="11">
        <v>0</v>
      </c>
      <c r="F69" s="12">
        <v>258</v>
      </c>
      <c r="G69" s="11">
        <v>0</v>
      </c>
      <c r="H69" s="11">
        <v>0.12</v>
      </c>
      <c r="I69" s="10">
        <v>246000</v>
      </c>
      <c r="J69" s="12" t="s">
        <v>5389</v>
      </c>
      <c r="K69" s="12">
        <v>31</v>
      </c>
      <c r="L69" s="12" t="s">
        <v>279</v>
      </c>
      <c r="M69" s="10">
        <v>1377490776</v>
      </c>
      <c r="N69" s="10">
        <v>164042</v>
      </c>
      <c r="O69" s="12">
        <v>76</v>
      </c>
    </row>
    <row r="70" spans="1:15" ht="15" customHeight="1" x14ac:dyDescent="0.3">
      <c r="A70" s="9">
        <v>43574</v>
      </c>
      <c r="B70" s="12">
        <v>2</v>
      </c>
      <c r="C70" s="11">
        <v>0</v>
      </c>
      <c r="D70" s="12">
        <v>2</v>
      </c>
      <c r="E70" s="11">
        <v>0</v>
      </c>
      <c r="F70" s="12">
        <v>207</v>
      </c>
      <c r="G70" s="11">
        <v>0</v>
      </c>
      <c r="H70" s="11">
        <v>0.13500000000000001</v>
      </c>
      <c r="I70" s="10">
        <v>243000</v>
      </c>
      <c r="J70" s="12" t="s">
        <v>5390</v>
      </c>
      <c r="K70" s="12">
        <v>28</v>
      </c>
      <c r="L70" s="12" t="s">
        <v>5391</v>
      </c>
      <c r="M70" s="10">
        <v>1377733776</v>
      </c>
      <c r="N70" s="10">
        <v>164070</v>
      </c>
      <c r="O70" s="12">
        <v>72</v>
      </c>
    </row>
    <row r="71" spans="1:15" ht="15" customHeight="1" x14ac:dyDescent="0.3">
      <c r="A71" s="9">
        <v>43575</v>
      </c>
      <c r="B71" s="12">
        <v>2</v>
      </c>
      <c r="C71" s="11">
        <v>0</v>
      </c>
      <c r="D71" s="12">
        <v>2</v>
      </c>
      <c r="E71" s="11">
        <v>0</v>
      </c>
      <c r="F71" s="12">
        <v>207</v>
      </c>
      <c r="G71" s="11">
        <v>0</v>
      </c>
      <c r="H71" s="11">
        <v>0.19800000000000001</v>
      </c>
      <c r="I71" s="10">
        <v>347000</v>
      </c>
      <c r="J71" s="12" t="s">
        <v>5392</v>
      </c>
      <c r="K71" s="12">
        <v>41</v>
      </c>
      <c r="L71" s="12" t="s">
        <v>1304</v>
      </c>
      <c r="M71" s="10">
        <v>1378080776</v>
      </c>
      <c r="N71" s="10">
        <v>164111</v>
      </c>
      <c r="O71" s="12">
        <v>60</v>
      </c>
    </row>
    <row r="72" spans="1:15" ht="15" customHeight="1" x14ac:dyDescent="0.3">
      <c r="A72" s="9">
        <v>43576</v>
      </c>
      <c r="B72" s="12">
        <v>3</v>
      </c>
      <c r="C72" s="11">
        <v>0</v>
      </c>
      <c r="D72" s="12">
        <v>3</v>
      </c>
      <c r="E72" s="11">
        <v>0</v>
      </c>
      <c r="F72" s="12">
        <v>279</v>
      </c>
      <c r="G72" s="11">
        <v>0</v>
      </c>
      <c r="H72" s="11">
        <v>0.28999999999999998</v>
      </c>
      <c r="I72" s="10">
        <v>770000</v>
      </c>
      <c r="J72" s="12" t="s">
        <v>5393</v>
      </c>
      <c r="K72" s="12">
        <v>81</v>
      </c>
      <c r="L72" s="12" t="s">
        <v>5394</v>
      </c>
      <c r="M72" s="10">
        <v>1378850776</v>
      </c>
      <c r="N72" s="10">
        <v>164192</v>
      </c>
      <c r="O72" s="12">
        <v>52</v>
      </c>
    </row>
    <row r="73" spans="1:15" ht="15" customHeight="1" x14ac:dyDescent="0.3">
      <c r="A73" s="9">
        <v>43577</v>
      </c>
      <c r="B73" s="12">
        <v>3</v>
      </c>
      <c r="C73" s="11">
        <v>0</v>
      </c>
      <c r="D73" s="12">
        <v>3</v>
      </c>
      <c r="E73" s="11">
        <v>0</v>
      </c>
      <c r="F73" s="12">
        <v>359</v>
      </c>
      <c r="G73" s="11">
        <v>0</v>
      </c>
      <c r="H73" s="11">
        <v>9.1999999999999998E-2</v>
      </c>
      <c r="I73" s="10">
        <v>261000</v>
      </c>
      <c r="J73" s="12" t="s">
        <v>5395</v>
      </c>
      <c r="K73" s="12">
        <v>33</v>
      </c>
      <c r="L73" s="12" t="s">
        <v>5396</v>
      </c>
      <c r="M73" s="10">
        <v>1379111776</v>
      </c>
      <c r="N73" s="10">
        <v>164225</v>
      </c>
      <c r="O73" s="12">
        <v>56</v>
      </c>
    </row>
    <row r="74" spans="1:15" ht="15" customHeight="1" x14ac:dyDescent="0.3">
      <c r="A74" s="9">
        <v>43578</v>
      </c>
      <c r="B74" s="12">
        <v>3</v>
      </c>
      <c r="C74" s="11">
        <v>0</v>
      </c>
      <c r="D74" s="12">
        <v>3</v>
      </c>
      <c r="E74" s="11">
        <v>0</v>
      </c>
      <c r="F74" s="12">
        <v>359</v>
      </c>
      <c r="G74" s="11">
        <v>0</v>
      </c>
      <c r="H74" s="11">
        <v>0.1</v>
      </c>
      <c r="I74" s="10">
        <v>270500</v>
      </c>
      <c r="J74" s="12" t="s">
        <v>5397</v>
      </c>
      <c r="K74" s="12">
        <v>36</v>
      </c>
      <c r="L74" s="12" t="s">
        <v>5398</v>
      </c>
      <c r="M74" s="10">
        <v>1379382276</v>
      </c>
      <c r="N74" s="10">
        <v>164261</v>
      </c>
      <c r="O74" s="12">
        <v>68</v>
      </c>
    </row>
    <row r="75" spans="1:15" ht="15" customHeight="1" x14ac:dyDescent="0.3">
      <c r="A75" s="9">
        <v>43579</v>
      </c>
      <c r="B75" s="12">
        <v>1</v>
      </c>
      <c r="C75" s="11">
        <v>0</v>
      </c>
      <c r="D75" s="12">
        <v>1</v>
      </c>
      <c r="E75" s="11">
        <v>0</v>
      </c>
      <c r="F75" s="12">
        <v>84</v>
      </c>
      <c r="G75" s="11">
        <v>0</v>
      </c>
      <c r="H75" s="11">
        <v>0.16700000000000001</v>
      </c>
      <c r="I75" s="10">
        <v>102000</v>
      </c>
      <c r="J75" s="12" t="s">
        <v>5399</v>
      </c>
      <c r="K75" s="12">
        <v>14</v>
      </c>
      <c r="L75" s="12" t="s">
        <v>5400</v>
      </c>
      <c r="M75" s="10">
        <v>1379484276</v>
      </c>
      <c r="N75" s="10">
        <v>164275</v>
      </c>
      <c r="O75" s="12">
        <v>79</v>
      </c>
    </row>
    <row r="76" spans="1:15" ht="15" customHeight="1" x14ac:dyDescent="0.3">
      <c r="A76" s="9">
        <v>43580</v>
      </c>
      <c r="B76" s="12">
        <v>2</v>
      </c>
      <c r="C76" s="11">
        <v>0</v>
      </c>
      <c r="D76" s="12">
        <v>2</v>
      </c>
      <c r="E76" s="11">
        <v>0</v>
      </c>
      <c r="F76" s="12">
        <v>204</v>
      </c>
      <c r="G76" s="11">
        <v>0</v>
      </c>
      <c r="H76" s="11">
        <v>8.3000000000000004E-2</v>
      </c>
      <c r="I76" s="10">
        <v>126000</v>
      </c>
      <c r="J76" s="12" t="s">
        <v>5401</v>
      </c>
      <c r="K76" s="12">
        <v>17</v>
      </c>
      <c r="L76" s="12" t="s">
        <v>5402</v>
      </c>
      <c r="M76" s="10">
        <v>1379610276</v>
      </c>
      <c r="N76" s="10">
        <v>164292</v>
      </c>
      <c r="O76" s="12">
        <v>83</v>
      </c>
    </row>
    <row r="77" spans="1:15" ht="15" customHeight="1" x14ac:dyDescent="0.3">
      <c r="A77" s="9">
        <v>43581</v>
      </c>
      <c r="B77" s="12">
        <v>2</v>
      </c>
      <c r="C77" s="11">
        <v>0</v>
      </c>
      <c r="D77" s="12">
        <v>2</v>
      </c>
      <c r="E77" s="11">
        <v>0</v>
      </c>
      <c r="F77" s="12">
        <v>132</v>
      </c>
      <c r="G77" s="11">
        <v>0</v>
      </c>
      <c r="H77" s="11">
        <v>8.3000000000000004E-2</v>
      </c>
      <c r="I77" s="10">
        <v>77000</v>
      </c>
      <c r="J77" s="12" t="s">
        <v>5403</v>
      </c>
      <c r="K77" s="12">
        <v>11</v>
      </c>
      <c r="L77" s="12" t="s">
        <v>5404</v>
      </c>
      <c r="M77" s="10">
        <v>1379687276</v>
      </c>
      <c r="N77" s="10">
        <v>164303</v>
      </c>
      <c r="O77" s="12">
        <v>78</v>
      </c>
    </row>
    <row r="78" spans="1:15" ht="15" customHeight="1" x14ac:dyDescent="0.3">
      <c r="A78" s="9">
        <v>43582</v>
      </c>
      <c r="B78" s="12">
        <v>1</v>
      </c>
      <c r="C78" s="11">
        <v>0</v>
      </c>
      <c r="D78" s="12">
        <v>1</v>
      </c>
      <c r="E78" s="11">
        <v>0</v>
      </c>
      <c r="F78" s="12">
        <v>81</v>
      </c>
      <c r="G78" s="11">
        <v>0</v>
      </c>
      <c r="H78" s="11">
        <v>0.14799999999999999</v>
      </c>
      <c r="I78" s="10">
        <v>84000</v>
      </c>
      <c r="J78" s="12" t="s">
        <v>5405</v>
      </c>
      <c r="K78" s="12">
        <v>12</v>
      </c>
      <c r="L78" s="12" t="s">
        <v>5406</v>
      </c>
      <c r="M78" s="10">
        <v>1379771276</v>
      </c>
      <c r="N78" s="10">
        <v>164315</v>
      </c>
      <c r="O78" s="12">
        <v>86</v>
      </c>
    </row>
    <row r="79" spans="1:15" ht="15" customHeight="1" x14ac:dyDescent="0.3">
      <c r="A79" s="9">
        <v>43583</v>
      </c>
      <c r="B79" s="12">
        <v>1</v>
      </c>
      <c r="C79" s="11">
        <v>0</v>
      </c>
      <c r="D79" s="12">
        <v>1</v>
      </c>
      <c r="E79" s="11">
        <v>0</v>
      </c>
      <c r="F79" s="12">
        <v>81</v>
      </c>
      <c r="G79" s="11">
        <v>0</v>
      </c>
      <c r="H79" s="11">
        <v>7.3999999999999996E-2</v>
      </c>
      <c r="I79" s="10">
        <v>50000</v>
      </c>
      <c r="J79" s="12" t="s">
        <v>5407</v>
      </c>
      <c r="K79" s="12">
        <v>6</v>
      </c>
      <c r="L79" s="12" t="s">
        <v>1310</v>
      </c>
      <c r="M79" s="10">
        <v>1379821276</v>
      </c>
      <c r="N79" s="10">
        <v>164321</v>
      </c>
      <c r="O79" s="12">
        <v>83</v>
      </c>
    </row>
    <row r="80" spans="1:15" ht="15" customHeight="1" x14ac:dyDescent="0.3">
      <c r="A80" s="9">
        <v>43584</v>
      </c>
      <c r="B80" s="12">
        <v>1</v>
      </c>
      <c r="C80" s="11">
        <v>0</v>
      </c>
      <c r="D80" s="12">
        <v>1</v>
      </c>
      <c r="E80" s="11">
        <v>0</v>
      </c>
      <c r="F80" s="12">
        <v>81</v>
      </c>
      <c r="G80" s="11">
        <v>0</v>
      </c>
      <c r="H80" s="11">
        <v>8.5999999999999993E-2</v>
      </c>
      <c r="I80" s="10">
        <v>51000</v>
      </c>
      <c r="J80" s="12" t="s">
        <v>5408</v>
      </c>
      <c r="K80" s="12">
        <v>7</v>
      </c>
      <c r="L80" s="12" t="s">
        <v>2297</v>
      </c>
      <c r="M80" s="10">
        <v>1379872276</v>
      </c>
      <c r="N80" s="10">
        <v>164328</v>
      </c>
      <c r="O80" s="12">
        <v>83</v>
      </c>
    </row>
    <row r="81" spans="1:15" ht="15" customHeight="1" x14ac:dyDescent="0.3">
      <c r="A81" s="9">
        <v>43585</v>
      </c>
      <c r="B81" s="12">
        <v>1</v>
      </c>
      <c r="C81" s="11">
        <v>0</v>
      </c>
      <c r="D81" s="12">
        <v>1</v>
      </c>
      <c r="E81" s="11">
        <v>0</v>
      </c>
      <c r="F81" s="12">
        <v>160</v>
      </c>
      <c r="G81" s="11">
        <v>0</v>
      </c>
      <c r="H81" s="11">
        <v>6.3E-2</v>
      </c>
      <c r="I81" s="10">
        <v>60000</v>
      </c>
      <c r="J81" s="12" t="s">
        <v>5409</v>
      </c>
      <c r="K81" s="12">
        <v>10</v>
      </c>
      <c r="L81" s="12" t="s">
        <v>5410</v>
      </c>
      <c r="M81" s="10">
        <v>1379932276</v>
      </c>
      <c r="N81" s="10">
        <v>164338</v>
      </c>
      <c r="O81" s="12">
        <v>95</v>
      </c>
    </row>
    <row r="82" spans="1:15" ht="15" customHeight="1" x14ac:dyDescent="0.3">
      <c r="A82" s="9">
        <v>43586</v>
      </c>
      <c r="B82" s="12">
        <v>1</v>
      </c>
      <c r="C82" s="11">
        <v>0</v>
      </c>
      <c r="D82" s="12">
        <v>1</v>
      </c>
      <c r="E82" s="11">
        <v>0</v>
      </c>
      <c r="F82" s="12">
        <v>81</v>
      </c>
      <c r="G82" s="11">
        <v>0</v>
      </c>
      <c r="H82" s="11">
        <v>0.28399999999999997</v>
      </c>
      <c r="I82" s="10">
        <v>174000</v>
      </c>
      <c r="J82" s="12" t="s">
        <v>5411</v>
      </c>
      <c r="K82" s="12">
        <v>23</v>
      </c>
      <c r="L82" s="12" t="s">
        <v>5412</v>
      </c>
      <c r="M82" s="10">
        <v>1380106276</v>
      </c>
      <c r="N82" s="10">
        <v>164361</v>
      </c>
      <c r="O82" s="12">
        <v>78</v>
      </c>
    </row>
    <row r="83" spans="1:15" ht="15" customHeight="1" x14ac:dyDescent="0.3">
      <c r="A83" s="9">
        <v>43591</v>
      </c>
      <c r="B83" s="12">
        <v>1</v>
      </c>
      <c r="C83" s="11">
        <v>0</v>
      </c>
      <c r="D83" s="12">
        <v>1</v>
      </c>
      <c r="E83" s="11">
        <v>0</v>
      </c>
      <c r="F83" s="12">
        <v>51</v>
      </c>
      <c r="G83" s="11">
        <v>0</v>
      </c>
      <c r="H83" s="11">
        <v>9.8000000000000004E-2</v>
      </c>
      <c r="I83" s="10">
        <v>38000</v>
      </c>
      <c r="J83" s="12" t="s">
        <v>5413</v>
      </c>
      <c r="K83" s="12">
        <v>5</v>
      </c>
      <c r="L83" s="12" t="s">
        <v>1395</v>
      </c>
      <c r="M83" s="10">
        <v>1380144276</v>
      </c>
      <c r="N83" s="10">
        <v>164366</v>
      </c>
      <c r="O83" s="12">
        <v>75</v>
      </c>
    </row>
    <row r="84" spans="1:15" ht="15" customHeight="1" x14ac:dyDescent="0.3">
      <c r="A84" s="9">
        <v>43596</v>
      </c>
      <c r="B84" s="12">
        <v>1</v>
      </c>
      <c r="C84" s="11">
        <v>0</v>
      </c>
      <c r="D84" s="12">
        <v>1</v>
      </c>
      <c r="E84" s="11">
        <v>0</v>
      </c>
      <c r="F84" s="12">
        <v>51</v>
      </c>
      <c r="G84" s="11">
        <v>0</v>
      </c>
      <c r="H84" s="11">
        <v>0.11799999999999999</v>
      </c>
      <c r="I84" s="10">
        <v>47000</v>
      </c>
      <c r="J84" s="12" t="s">
        <v>5414</v>
      </c>
      <c r="K84" s="12">
        <v>6</v>
      </c>
      <c r="L84" s="12" t="s">
        <v>2341</v>
      </c>
      <c r="M84" s="10">
        <v>1380191276</v>
      </c>
      <c r="N84" s="10">
        <v>164372</v>
      </c>
      <c r="O84" s="12">
        <v>90</v>
      </c>
    </row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0E236-1C49-487F-9B6E-C1859CFA1EC2}">
  <dimension ref="A1:O79"/>
  <sheetViews>
    <sheetView showGridLines="0" workbookViewId="0">
      <selection activeCell="A5" sqref="A5:O8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6.375" bestFit="1" customWidth="1"/>
    <col min="7" max="8" width="9.625" bestFit="1" customWidth="1"/>
    <col min="9" max="9" width="9.25" bestFit="1" customWidth="1"/>
    <col min="10" max="10" width="18.3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5415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43538</v>
      </c>
      <c r="B5" s="12">
        <v>269</v>
      </c>
      <c r="C5" s="11">
        <v>4.8000000000000001E-2</v>
      </c>
      <c r="D5" s="12">
        <v>510</v>
      </c>
      <c r="E5" s="11">
        <v>2.9000000000000001E-2</v>
      </c>
      <c r="F5" s="10">
        <v>63449</v>
      </c>
      <c r="G5" s="11">
        <v>2.3E-2</v>
      </c>
      <c r="H5" s="11">
        <v>4.8000000000000001E-2</v>
      </c>
      <c r="I5" s="10">
        <v>23149770</v>
      </c>
      <c r="J5" s="12" t="s">
        <v>5416</v>
      </c>
      <c r="K5" s="10">
        <v>3017</v>
      </c>
      <c r="L5" s="12" t="s">
        <v>5417</v>
      </c>
      <c r="M5" s="10">
        <v>49482770</v>
      </c>
      <c r="N5" s="10">
        <v>5945</v>
      </c>
      <c r="O5" s="12">
        <v>10</v>
      </c>
    </row>
    <row r="6" spans="1:15" ht="15" customHeight="1" x14ac:dyDescent="0.3">
      <c r="A6" s="9">
        <v>43539</v>
      </c>
      <c r="B6" s="12">
        <v>254</v>
      </c>
      <c r="C6" s="11">
        <v>4.4999999999999998E-2</v>
      </c>
      <c r="D6" s="12">
        <v>481</v>
      </c>
      <c r="E6" s="11">
        <v>2.5999999999999999E-2</v>
      </c>
      <c r="F6" s="10">
        <v>58751</v>
      </c>
      <c r="G6" s="11">
        <v>2.1000000000000001E-2</v>
      </c>
      <c r="H6" s="11">
        <v>4.3999999999999997E-2</v>
      </c>
      <c r="I6" s="10">
        <v>21636550</v>
      </c>
      <c r="J6" s="12" t="s">
        <v>5418</v>
      </c>
      <c r="K6" s="10">
        <v>2590</v>
      </c>
      <c r="L6" s="12" t="s">
        <v>5419</v>
      </c>
      <c r="M6" s="10">
        <v>71119320</v>
      </c>
      <c r="N6" s="10">
        <v>8535</v>
      </c>
      <c r="O6" s="12">
        <v>9</v>
      </c>
    </row>
    <row r="7" spans="1:15" ht="15" customHeight="1" x14ac:dyDescent="0.3">
      <c r="A7" s="9">
        <v>43540</v>
      </c>
      <c r="B7" s="12">
        <v>243</v>
      </c>
      <c r="C7" s="11">
        <v>3.5999999999999997E-2</v>
      </c>
      <c r="D7" s="12">
        <v>419</v>
      </c>
      <c r="E7" s="11">
        <v>2.1000000000000001E-2</v>
      </c>
      <c r="F7" s="10">
        <v>49993</v>
      </c>
      <c r="G7" s="11">
        <v>1.6E-2</v>
      </c>
      <c r="H7" s="11">
        <v>8.2000000000000003E-2</v>
      </c>
      <c r="I7" s="10">
        <v>35029140</v>
      </c>
      <c r="J7" s="12" t="s">
        <v>5420</v>
      </c>
      <c r="K7" s="10">
        <v>4093</v>
      </c>
      <c r="L7" s="12" t="s">
        <v>5421</v>
      </c>
      <c r="M7" s="10">
        <v>106148460</v>
      </c>
      <c r="N7" s="10">
        <v>12628</v>
      </c>
      <c r="O7" s="12">
        <v>12</v>
      </c>
    </row>
    <row r="8" spans="1:15" ht="15" customHeight="1" x14ac:dyDescent="0.3">
      <c r="A8" s="9">
        <v>43541</v>
      </c>
      <c r="B8" s="12">
        <v>238</v>
      </c>
      <c r="C8" s="11">
        <v>3.5999999999999997E-2</v>
      </c>
      <c r="D8" s="12">
        <v>385</v>
      </c>
      <c r="E8" s="11">
        <v>0.02</v>
      </c>
      <c r="F8" s="10">
        <v>47032</v>
      </c>
      <c r="G8" s="11">
        <v>1.6E-2</v>
      </c>
      <c r="H8" s="11">
        <v>8.3000000000000004E-2</v>
      </c>
      <c r="I8" s="10">
        <v>34532560</v>
      </c>
      <c r="J8" s="12" t="s">
        <v>5422</v>
      </c>
      <c r="K8" s="10">
        <v>3892</v>
      </c>
      <c r="L8" s="12" t="s">
        <v>5423</v>
      </c>
      <c r="M8" s="10">
        <v>140681020</v>
      </c>
      <c r="N8" s="10">
        <v>16520</v>
      </c>
      <c r="O8" s="12">
        <v>11</v>
      </c>
    </row>
    <row r="9" spans="1:15" ht="15" customHeight="1" x14ac:dyDescent="0.3">
      <c r="A9" s="9">
        <v>43542</v>
      </c>
      <c r="B9" s="12">
        <v>196</v>
      </c>
      <c r="C9" s="11">
        <v>3.5999999999999997E-2</v>
      </c>
      <c r="D9" s="12">
        <v>328</v>
      </c>
      <c r="E9" s="11">
        <v>1.9E-2</v>
      </c>
      <c r="F9" s="10">
        <v>39791</v>
      </c>
      <c r="G9" s="11">
        <v>1.4999999999999999E-2</v>
      </c>
      <c r="H9" s="11">
        <v>4.5999999999999999E-2</v>
      </c>
      <c r="I9" s="10">
        <v>13719210</v>
      </c>
      <c r="J9" s="12" t="s">
        <v>5424</v>
      </c>
      <c r="K9" s="10">
        <v>1832</v>
      </c>
      <c r="L9" s="12" t="s">
        <v>5425</v>
      </c>
      <c r="M9" s="10">
        <v>154400230</v>
      </c>
      <c r="N9" s="10">
        <v>18352</v>
      </c>
      <c r="O9" s="12">
        <v>11</v>
      </c>
    </row>
    <row r="10" spans="1:15" ht="15" customHeight="1" x14ac:dyDescent="0.3">
      <c r="A10" s="9">
        <v>43543</v>
      </c>
      <c r="B10" s="12">
        <v>218</v>
      </c>
      <c r="C10" s="11">
        <v>0.04</v>
      </c>
      <c r="D10" s="12">
        <v>341</v>
      </c>
      <c r="E10" s="11">
        <v>2.1000000000000001E-2</v>
      </c>
      <c r="F10" s="10">
        <v>42276</v>
      </c>
      <c r="G10" s="11">
        <v>1.6E-2</v>
      </c>
      <c r="H10" s="11">
        <v>5.1999999999999998E-2</v>
      </c>
      <c r="I10" s="10">
        <v>17818580</v>
      </c>
      <c r="J10" s="12" t="s">
        <v>5426</v>
      </c>
      <c r="K10" s="10">
        <v>2197</v>
      </c>
      <c r="L10" s="12" t="s">
        <v>5427</v>
      </c>
      <c r="M10" s="10">
        <v>172218810</v>
      </c>
      <c r="N10" s="10">
        <v>20549</v>
      </c>
      <c r="O10" s="12">
        <v>9</v>
      </c>
    </row>
    <row r="11" spans="1:15" ht="15" customHeight="1" x14ac:dyDescent="0.3">
      <c r="A11" s="9">
        <v>43544</v>
      </c>
      <c r="B11" s="12">
        <v>122</v>
      </c>
      <c r="C11" s="11">
        <v>2.3E-2</v>
      </c>
      <c r="D11" s="12">
        <v>130</v>
      </c>
      <c r="E11" s="11">
        <v>8.0000000000000002E-3</v>
      </c>
      <c r="F11" s="10">
        <v>20009</v>
      </c>
      <c r="G11" s="11">
        <v>8.0000000000000002E-3</v>
      </c>
      <c r="H11" s="11">
        <v>0.107</v>
      </c>
      <c r="I11" s="10">
        <v>17036400</v>
      </c>
      <c r="J11" s="12" t="s">
        <v>5428</v>
      </c>
      <c r="K11" s="10">
        <v>2147</v>
      </c>
      <c r="L11" s="12" t="s">
        <v>5429</v>
      </c>
      <c r="M11" s="10">
        <v>189255210</v>
      </c>
      <c r="N11" s="10">
        <v>22696</v>
      </c>
      <c r="O11" s="12">
        <v>6</v>
      </c>
    </row>
    <row r="12" spans="1:15" ht="15" customHeight="1" x14ac:dyDescent="0.3">
      <c r="A12" s="9">
        <v>43545</v>
      </c>
      <c r="B12" s="12">
        <v>35</v>
      </c>
      <c r="C12" s="11">
        <v>7.0000000000000001E-3</v>
      </c>
      <c r="D12" s="12">
        <v>38</v>
      </c>
      <c r="E12" s="11">
        <v>2E-3</v>
      </c>
      <c r="F12" s="10">
        <v>4744</v>
      </c>
      <c r="G12" s="11">
        <v>2E-3</v>
      </c>
      <c r="H12" s="11">
        <v>5.0999999999999997E-2</v>
      </c>
      <c r="I12" s="10">
        <v>1850000</v>
      </c>
      <c r="J12" s="12" t="s">
        <v>5430</v>
      </c>
      <c r="K12" s="12">
        <v>243</v>
      </c>
      <c r="L12" s="12" t="s">
        <v>5431</v>
      </c>
      <c r="M12" s="10">
        <v>191105210</v>
      </c>
      <c r="N12" s="10">
        <v>22939</v>
      </c>
      <c r="O12" s="12">
        <v>29</v>
      </c>
    </row>
    <row r="13" spans="1:15" ht="15" customHeight="1" x14ac:dyDescent="0.3">
      <c r="A13" s="9">
        <v>43546</v>
      </c>
      <c r="B13" s="12">
        <v>35</v>
      </c>
      <c r="C13" s="11">
        <v>7.0000000000000001E-3</v>
      </c>
      <c r="D13" s="12">
        <v>38</v>
      </c>
      <c r="E13" s="11">
        <v>2E-3</v>
      </c>
      <c r="F13" s="10">
        <v>4553</v>
      </c>
      <c r="G13" s="11">
        <v>2E-3</v>
      </c>
      <c r="H13" s="11">
        <v>0.05</v>
      </c>
      <c r="I13" s="10">
        <v>1727800</v>
      </c>
      <c r="J13" s="12" t="s">
        <v>5432</v>
      </c>
      <c r="K13" s="12">
        <v>228</v>
      </c>
      <c r="L13" s="12" t="s">
        <v>4609</v>
      </c>
      <c r="M13" s="10">
        <v>192833010</v>
      </c>
      <c r="N13" s="10">
        <v>23167</v>
      </c>
      <c r="O13" s="12">
        <v>31</v>
      </c>
    </row>
    <row r="14" spans="1:15" ht="15" customHeight="1" x14ac:dyDescent="0.3">
      <c r="A14" s="9">
        <v>43547</v>
      </c>
      <c r="B14" s="12">
        <v>40</v>
      </c>
      <c r="C14" s="11">
        <v>7.0000000000000001E-3</v>
      </c>
      <c r="D14" s="12">
        <v>42</v>
      </c>
      <c r="E14" s="11">
        <v>2E-3</v>
      </c>
      <c r="F14" s="10">
        <v>4637</v>
      </c>
      <c r="G14" s="11">
        <v>2E-3</v>
      </c>
      <c r="H14" s="11">
        <v>0.12</v>
      </c>
      <c r="I14" s="10">
        <v>4814700</v>
      </c>
      <c r="J14" s="12" t="s">
        <v>5433</v>
      </c>
      <c r="K14" s="12">
        <v>558</v>
      </c>
      <c r="L14" s="12" t="s">
        <v>5434</v>
      </c>
      <c r="M14" s="10">
        <v>197647710</v>
      </c>
      <c r="N14" s="10">
        <v>23725</v>
      </c>
      <c r="O14" s="12">
        <v>21</v>
      </c>
    </row>
    <row r="15" spans="1:15" ht="15" customHeight="1" x14ac:dyDescent="0.3">
      <c r="A15" s="9">
        <v>43548</v>
      </c>
      <c r="B15" s="12">
        <v>40</v>
      </c>
      <c r="C15" s="11">
        <v>7.0000000000000001E-3</v>
      </c>
      <c r="D15" s="12">
        <v>42</v>
      </c>
      <c r="E15" s="11">
        <v>2E-3</v>
      </c>
      <c r="F15" s="10">
        <v>4544</v>
      </c>
      <c r="G15" s="11">
        <v>2E-3</v>
      </c>
      <c r="H15" s="11">
        <v>0.182</v>
      </c>
      <c r="I15" s="10">
        <v>7024000</v>
      </c>
      <c r="J15" s="12" t="s">
        <v>5435</v>
      </c>
      <c r="K15" s="12">
        <v>826</v>
      </c>
      <c r="L15" s="12" t="s">
        <v>5436</v>
      </c>
      <c r="M15" s="10">
        <v>204671710</v>
      </c>
      <c r="N15" s="10">
        <v>24551</v>
      </c>
      <c r="O15" s="12">
        <v>16</v>
      </c>
    </row>
    <row r="16" spans="1:15" ht="15" customHeight="1" x14ac:dyDescent="0.3">
      <c r="A16" s="9">
        <v>43549</v>
      </c>
      <c r="B16" s="12">
        <v>34</v>
      </c>
      <c r="C16" s="11">
        <v>7.0000000000000001E-3</v>
      </c>
      <c r="D16" s="12">
        <v>36</v>
      </c>
      <c r="E16" s="11">
        <v>2E-3</v>
      </c>
      <c r="F16" s="10">
        <v>4184</v>
      </c>
      <c r="G16" s="11">
        <v>2E-3</v>
      </c>
      <c r="H16" s="11">
        <v>3.6999999999999998E-2</v>
      </c>
      <c r="I16" s="10">
        <v>1193500</v>
      </c>
      <c r="J16" s="12" t="s">
        <v>5437</v>
      </c>
      <c r="K16" s="12">
        <v>156</v>
      </c>
      <c r="L16" s="12" t="s">
        <v>5438</v>
      </c>
      <c r="M16" s="10">
        <v>205865210</v>
      </c>
      <c r="N16" s="10">
        <v>24707</v>
      </c>
      <c r="O16" s="12">
        <v>33</v>
      </c>
    </row>
    <row r="17" spans="1:15" ht="15" customHeight="1" x14ac:dyDescent="0.3">
      <c r="A17" s="9">
        <v>43550</v>
      </c>
      <c r="B17" s="12">
        <v>35</v>
      </c>
      <c r="C17" s="11">
        <v>7.0000000000000001E-3</v>
      </c>
      <c r="D17" s="12">
        <v>38</v>
      </c>
      <c r="E17" s="11">
        <v>2E-3</v>
      </c>
      <c r="F17" s="10">
        <v>4341</v>
      </c>
      <c r="G17" s="11">
        <v>2E-3</v>
      </c>
      <c r="H17" s="11">
        <v>4.1000000000000002E-2</v>
      </c>
      <c r="I17" s="10">
        <v>1390500</v>
      </c>
      <c r="J17" s="12" t="s">
        <v>5439</v>
      </c>
      <c r="K17" s="12">
        <v>178</v>
      </c>
      <c r="L17" s="12" t="s">
        <v>5440</v>
      </c>
      <c r="M17" s="10">
        <v>207255710</v>
      </c>
      <c r="N17" s="10">
        <v>24885</v>
      </c>
      <c r="O17" s="12">
        <v>37</v>
      </c>
    </row>
    <row r="18" spans="1:15" ht="15" customHeight="1" x14ac:dyDescent="0.3">
      <c r="A18" s="9">
        <v>43551</v>
      </c>
      <c r="B18" s="12">
        <v>27</v>
      </c>
      <c r="C18" s="11">
        <v>4.0000000000000001E-3</v>
      </c>
      <c r="D18" s="12">
        <v>53</v>
      </c>
      <c r="E18" s="11">
        <v>3.0000000000000001E-3</v>
      </c>
      <c r="F18" s="10">
        <v>6737</v>
      </c>
      <c r="G18" s="11">
        <v>2E-3</v>
      </c>
      <c r="H18" s="11">
        <v>0.85799999999999998</v>
      </c>
      <c r="I18" s="10">
        <v>45846700</v>
      </c>
      <c r="J18" s="12" t="s">
        <v>5441</v>
      </c>
      <c r="K18" s="10">
        <v>5780</v>
      </c>
      <c r="L18" s="12" t="s">
        <v>5442</v>
      </c>
      <c r="M18" s="10">
        <v>253102410</v>
      </c>
      <c r="N18" s="10">
        <v>30665</v>
      </c>
      <c r="O18" s="12">
        <v>8</v>
      </c>
    </row>
    <row r="19" spans="1:15" ht="15" customHeight="1" x14ac:dyDescent="0.3">
      <c r="A19" s="9">
        <v>43552</v>
      </c>
      <c r="B19" s="12">
        <v>39</v>
      </c>
      <c r="C19" s="11">
        <v>7.0000000000000001E-3</v>
      </c>
      <c r="D19" s="12">
        <v>67</v>
      </c>
      <c r="E19" s="11">
        <v>4.0000000000000001E-3</v>
      </c>
      <c r="F19" s="10">
        <v>11304</v>
      </c>
      <c r="G19" s="11">
        <v>4.0000000000000001E-3</v>
      </c>
      <c r="H19" s="11">
        <v>0.92900000000000005</v>
      </c>
      <c r="I19" s="10">
        <v>88630000</v>
      </c>
      <c r="J19" s="12" t="s">
        <v>5443</v>
      </c>
      <c r="K19" s="10">
        <v>10506</v>
      </c>
      <c r="L19" s="12" t="s">
        <v>5444</v>
      </c>
      <c r="M19" s="10">
        <v>341732410</v>
      </c>
      <c r="N19" s="10">
        <v>41171</v>
      </c>
      <c r="O19" s="12">
        <v>6</v>
      </c>
    </row>
    <row r="20" spans="1:15" ht="15" customHeight="1" x14ac:dyDescent="0.3">
      <c r="A20" s="9">
        <v>43553</v>
      </c>
      <c r="B20" s="12">
        <v>10</v>
      </c>
      <c r="C20" s="11">
        <v>2E-3</v>
      </c>
      <c r="D20" s="12">
        <v>24</v>
      </c>
      <c r="E20" s="11">
        <v>1E-3</v>
      </c>
      <c r="F20" s="10">
        <v>3630</v>
      </c>
      <c r="G20" s="11">
        <v>1E-3</v>
      </c>
      <c r="H20" s="11">
        <v>0.94199999999999995</v>
      </c>
      <c r="I20" s="10">
        <v>29700000</v>
      </c>
      <c r="J20" s="12" t="s">
        <v>5445</v>
      </c>
      <c r="K20" s="10">
        <v>3420</v>
      </c>
      <c r="L20" s="12" t="s">
        <v>5446</v>
      </c>
      <c r="M20" s="10">
        <v>371432410</v>
      </c>
      <c r="N20" s="10">
        <v>44591</v>
      </c>
      <c r="O20" s="12">
        <v>8</v>
      </c>
    </row>
    <row r="21" spans="1:15" ht="15" customHeight="1" x14ac:dyDescent="0.3">
      <c r="A21" s="9">
        <v>43554</v>
      </c>
      <c r="B21" s="12">
        <v>9</v>
      </c>
      <c r="C21" s="11">
        <v>1E-3</v>
      </c>
      <c r="D21" s="12">
        <v>9</v>
      </c>
      <c r="E21" s="11">
        <v>0</v>
      </c>
      <c r="F21" s="10">
        <v>1226</v>
      </c>
      <c r="G21" s="11">
        <v>0</v>
      </c>
      <c r="H21" s="11">
        <v>0.94499999999999995</v>
      </c>
      <c r="I21" s="10">
        <v>10038000</v>
      </c>
      <c r="J21" s="12" t="s">
        <v>5447</v>
      </c>
      <c r="K21" s="10">
        <v>1159</v>
      </c>
      <c r="L21" s="12" t="s">
        <v>5448</v>
      </c>
      <c r="M21" s="10">
        <v>381470410</v>
      </c>
      <c r="N21" s="10">
        <v>45750</v>
      </c>
      <c r="O21" s="12">
        <v>16</v>
      </c>
    </row>
    <row r="22" spans="1:15" ht="15" customHeight="1" x14ac:dyDescent="0.3">
      <c r="A22" s="9">
        <v>43555</v>
      </c>
      <c r="B22" s="12">
        <v>9</v>
      </c>
      <c r="C22" s="11">
        <v>1E-3</v>
      </c>
      <c r="D22" s="12">
        <v>9</v>
      </c>
      <c r="E22" s="11">
        <v>0</v>
      </c>
      <c r="F22" s="10">
        <v>1275</v>
      </c>
      <c r="G22" s="11">
        <v>0</v>
      </c>
      <c r="H22" s="11">
        <v>0.86899999999999999</v>
      </c>
      <c r="I22" s="10">
        <v>8852000</v>
      </c>
      <c r="J22" s="12" t="s">
        <v>5449</v>
      </c>
      <c r="K22" s="10">
        <v>1108</v>
      </c>
      <c r="L22" s="12" t="s">
        <v>5450</v>
      </c>
      <c r="M22" s="10">
        <v>390322410</v>
      </c>
      <c r="N22" s="10">
        <v>46858</v>
      </c>
      <c r="O22" s="12">
        <v>15</v>
      </c>
    </row>
    <row r="23" spans="1:15" ht="15" customHeight="1" x14ac:dyDescent="0.3">
      <c r="A23" s="9">
        <v>43556</v>
      </c>
      <c r="B23" s="12">
        <v>5</v>
      </c>
      <c r="C23" s="11">
        <v>1E-3</v>
      </c>
      <c r="D23" s="12">
        <v>5</v>
      </c>
      <c r="E23" s="11">
        <v>0</v>
      </c>
      <c r="F23" s="12">
        <v>583</v>
      </c>
      <c r="G23" s="11">
        <v>0</v>
      </c>
      <c r="H23" s="11">
        <v>0.59699999999999998</v>
      </c>
      <c r="I23" s="10">
        <v>2816000</v>
      </c>
      <c r="J23" s="12" t="s">
        <v>5451</v>
      </c>
      <c r="K23" s="12">
        <v>348</v>
      </c>
      <c r="L23" s="12" t="s">
        <v>5452</v>
      </c>
      <c r="M23" s="10">
        <v>393138410</v>
      </c>
      <c r="N23" s="10">
        <v>47206</v>
      </c>
      <c r="O23" s="12">
        <v>21</v>
      </c>
    </row>
    <row r="24" spans="1:15" ht="15" customHeight="1" x14ac:dyDescent="0.3">
      <c r="A24" s="9">
        <v>43557</v>
      </c>
      <c r="B24" s="12">
        <v>9</v>
      </c>
      <c r="C24" s="11">
        <v>2E-3</v>
      </c>
      <c r="D24" s="12">
        <v>9</v>
      </c>
      <c r="E24" s="11">
        <v>1E-3</v>
      </c>
      <c r="F24" s="10">
        <v>1276</v>
      </c>
      <c r="G24" s="11">
        <v>0</v>
      </c>
      <c r="H24" s="11">
        <v>0.86499999999999999</v>
      </c>
      <c r="I24" s="10">
        <v>8836000</v>
      </c>
      <c r="J24" s="12" t="s">
        <v>5453</v>
      </c>
      <c r="K24" s="10">
        <v>1104</v>
      </c>
      <c r="L24" s="12" t="s">
        <v>5454</v>
      </c>
      <c r="M24" s="10">
        <v>401974410</v>
      </c>
      <c r="N24" s="10">
        <v>48310</v>
      </c>
      <c r="O24" s="12">
        <v>13</v>
      </c>
    </row>
    <row r="25" spans="1:15" ht="15" customHeight="1" x14ac:dyDescent="0.3">
      <c r="A25" s="9">
        <v>43558</v>
      </c>
      <c r="B25" s="12">
        <v>9</v>
      </c>
      <c r="C25" s="11">
        <v>2E-3</v>
      </c>
      <c r="D25" s="12">
        <v>16</v>
      </c>
      <c r="E25" s="11">
        <v>1E-3</v>
      </c>
      <c r="F25" s="10">
        <v>2512</v>
      </c>
      <c r="G25" s="11">
        <v>1E-3</v>
      </c>
      <c r="H25" s="11">
        <v>0.878</v>
      </c>
      <c r="I25" s="10">
        <v>17639000</v>
      </c>
      <c r="J25" s="12" t="s">
        <v>5455</v>
      </c>
      <c r="K25" s="10">
        <v>2205</v>
      </c>
      <c r="L25" s="12" t="s">
        <v>5456</v>
      </c>
      <c r="M25" s="10">
        <v>419613410</v>
      </c>
      <c r="N25" s="10">
        <v>50515</v>
      </c>
      <c r="O25" s="12">
        <v>10</v>
      </c>
    </row>
    <row r="26" spans="1:15" ht="15" customHeight="1" x14ac:dyDescent="0.3">
      <c r="A26" s="9">
        <v>43559</v>
      </c>
      <c r="B26" s="12">
        <v>5</v>
      </c>
      <c r="C26" s="11">
        <v>1E-3</v>
      </c>
      <c r="D26" s="12">
        <v>5</v>
      </c>
      <c r="E26" s="11">
        <v>0</v>
      </c>
      <c r="F26" s="12">
        <v>859</v>
      </c>
      <c r="G26" s="11">
        <v>0</v>
      </c>
      <c r="H26" s="11">
        <v>0.92900000000000005</v>
      </c>
      <c r="I26" s="10">
        <v>6384000</v>
      </c>
      <c r="J26" s="12" t="s">
        <v>5457</v>
      </c>
      <c r="K26" s="12">
        <v>798</v>
      </c>
      <c r="L26" s="12" t="s">
        <v>5458</v>
      </c>
      <c r="M26" s="10">
        <v>425997410</v>
      </c>
      <c r="N26" s="10">
        <v>51313</v>
      </c>
      <c r="O26" s="12">
        <v>13</v>
      </c>
    </row>
    <row r="27" spans="1:15" ht="15" customHeight="1" x14ac:dyDescent="0.3">
      <c r="A27" s="9">
        <v>43560</v>
      </c>
      <c r="B27" s="12">
        <v>3</v>
      </c>
      <c r="C27" s="11">
        <v>1E-3</v>
      </c>
      <c r="D27" s="12">
        <v>3</v>
      </c>
      <c r="E27" s="11">
        <v>0</v>
      </c>
      <c r="F27" s="12">
        <v>547</v>
      </c>
      <c r="G27" s="11">
        <v>0</v>
      </c>
      <c r="H27" s="11">
        <v>0.622</v>
      </c>
      <c r="I27" s="10">
        <v>2396000</v>
      </c>
      <c r="J27" s="12" t="s">
        <v>5459</v>
      </c>
      <c r="K27" s="12">
        <v>340</v>
      </c>
      <c r="L27" s="12" t="s">
        <v>5460</v>
      </c>
      <c r="M27" s="10">
        <v>428393410</v>
      </c>
      <c r="N27" s="10">
        <v>51653</v>
      </c>
      <c r="O27" s="12">
        <v>20</v>
      </c>
    </row>
    <row r="28" spans="1:15" ht="15" customHeight="1" x14ac:dyDescent="0.3">
      <c r="A28" s="9">
        <v>43561</v>
      </c>
      <c r="B28" s="12">
        <v>3</v>
      </c>
      <c r="C28" s="11">
        <v>0</v>
      </c>
      <c r="D28" s="12">
        <v>4</v>
      </c>
      <c r="E28" s="11">
        <v>0</v>
      </c>
      <c r="F28" s="12">
        <v>410</v>
      </c>
      <c r="G28" s="11">
        <v>0</v>
      </c>
      <c r="H28" s="11">
        <v>0.10199999999999999</v>
      </c>
      <c r="I28" s="10">
        <v>330000</v>
      </c>
      <c r="J28" s="12" t="s">
        <v>5461</v>
      </c>
      <c r="K28" s="12">
        <v>42</v>
      </c>
      <c r="L28" s="12" t="s">
        <v>5462</v>
      </c>
      <c r="M28" s="10">
        <v>428723410</v>
      </c>
      <c r="N28" s="10">
        <v>51695</v>
      </c>
      <c r="O28" s="12">
        <v>61</v>
      </c>
    </row>
    <row r="29" spans="1:15" ht="15" customHeight="1" x14ac:dyDescent="0.3">
      <c r="A29" s="9">
        <v>43562</v>
      </c>
      <c r="B29" s="12">
        <v>6</v>
      </c>
      <c r="C29" s="11">
        <v>1E-3</v>
      </c>
      <c r="D29" s="12">
        <v>6</v>
      </c>
      <c r="E29" s="11">
        <v>0</v>
      </c>
      <c r="F29" s="12">
        <v>759</v>
      </c>
      <c r="G29" s="11">
        <v>0</v>
      </c>
      <c r="H29" s="11">
        <v>0.254</v>
      </c>
      <c r="I29" s="10">
        <v>1237000</v>
      </c>
      <c r="J29" s="12" t="s">
        <v>5463</v>
      </c>
      <c r="K29" s="12">
        <v>193</v>
      </c>
      <c r="L29" s="12" t="s">
        <v>5464</v>
      </c>
      <c r="M29" s="10">
        <v>429960410</v>
      </c>
      <c r="N29" s="10">
        <v>51888</v>
      </c>
      <c r="O29" s="12">
        <v>24</v>
      </c>
    </row>
    <row r="30" spans="1:15" ht="15" customHeight="1" x14ac:dyDescent="0.3">
      <c r="A30" s="9">
        <v>43563</v>
      </c>
      <c r="B30" s="12">
        <v>7</v>
      </c>
      <c r="C30" s="11">
        <v>1E-3</v>
      </c>
      <c r="D30" s="12">
        <v>8</v>
      </c>
      <c r="E30" s="11">
        <v>0</v>
      </c>
      <c r="F30" s="12">
        <v>535</v>
      </c>
      <c r="G30" s="11">
        <v>0</v>
      </c>
      <c r="H30" s="11">
        <v>0.51800000000000002</v>
      </c>
      <c r="I30" s="10">
        <v>2218000</v>
      </c>
      <c r="J30" s="12" t="s">
        <v>5465</v>
      </c>
      <c r="K30" s="12">
        <v>277</v>
      </c>
      <c r="L30" s="12" t="s">
        <v>5466</v>
      </c>
      <c r="M30" s="10">
        <v>432178410</v>
      </c>
      <c r="N30" s="10">
        <v>52165</v>
      </c>
      <c r="O30" s="12">
        <v>16</v>
      </c>
    </row>
    <row r="31" spans="1:15" ht="15" customHeight="1" x14ac:dyDescent="0.3">
      <c r="A31" s="9">
        <v>43564</v>
      </c>
      <c r="B31" s="12">
        <v>11</v>
      </c>
      <c r="C31" s="11">
        <v>2E-3</v>
      </c>
      <c r="D31" s="12">
        <v>17</v>
      </c>
      <c r="E31" s="11">
        <v>1E-3</v>
      </c>
      <c r="F31" s="10">
        <v>1277</v>
      </c>
      <c r="G31" s="11">
        <v>1E-3</v>
      </c>
      <c r="H31" s="11">
        <v>0.77400000000000002</v>
      </c>
      <c r="I31" s="10">
        <v>7910000</v>
      </c>
      <c r="J31" s="12" t="s">
        <v>5467</v>
      </c>
      <c r="K31" s="12">
        <v>988</v>
      </c>
      <c r="L31" s="12" t="s">
        <v>5468</v>
      </c>
      <c r="M31" s="10">
        <v>440088410</v>
      </c>
      <c r="N31" s="10">
        <v>53153</v>
      </c>
      <c r="O31" s="12">
        <v>9</v>
      </c>
    </row>
    <row r="32" spans="1:15" ht="15" customHeight="1" x14ac:dyDescent="0.3">
      <c r="A32" s="9">
        <v>43565</v>
      </c>
      <c r="B32" s="12">
        <v>6</v>
      </c>
      <c r="C32" s="11">
        <v>1E-3</v>
      </c>
      <c r="D32" s="12">
        <v>9</v>
      </c>
      <c r="E32" s="11">
        <v>1E-3</v>
      </c>
      <c r="F32" s="12">
        <v>622</v>
      </c>
      <c r="G32" s="11">
        <v>0</v>
      </c>
      <c r="H32" s="11">
        <v>0.441</v>
      </c>
      <c r="I32" s="10">
        <v>2202000</v>
      </c>
      <c r="J32" s="12" t="s">
        <v>5469</v>
      </c>
      <c r="K32" s="12">
        <v>274</v>
      </c>
      <c r="L32" s="12" t="s">
        <v>5470</v>
      </c>
      <c r="M32" s="10">
        <v>442290410</v>
      </c>
      <c r="N32" s="10">
        <v>53427</v>
      </c>
      <c r="O32" s="12">
        <v>25</v>
      </c>
    </row>
    <row r="33" spans="1:15" ht="15" customHeight="1" x14ac:dyDescent="0.3">
      <c r="A33" s="9">
        <v>43566</v>
      </c>
      <c r="B33" s="12">
        <v>1</v>
      </c>
      <c r="C33" s="11">
        <v>0</v>
      </c>
      <c r="D33" s="12">
        <v>2</v>
      </c>
      <c r="E33" s="11">
        <v>0</v>
      </c>
      <c r="F33" s="12">
        <v>250</v>
      </c>
      <c r="G33" s="11">
        <v>0</v>
      </c>
      <c r="H33" s="11">
        <v>0</v>
      </c>
      <c r="I33" s="12">
        <v>0</v>
      </c>
      <c r="J33" s="12" t="s">
        <v>5471</v>
      </c>
      <c r="K33" s="12">
        <v>0</v>
      </c>
      <c r="L33" s="12" t="s">
        <v>5472</v>
      </c>
      <c r="M33" s="10">
        <v>442290410</v>
      </c>
      <c r="N33" s="10">
        <v>53427</v>
      </c>
      <c r="O33" s="12">
        <v>115</v>
      </c>
    </row>
    <row r="34" spans="1:15" ht="15" customHeight="1" x14ac:dyDescent="0.3">
      <c r="A34" s="9">
        <v>43567</v>
      </c>
      <c r="B34" s="12">
        <v>1</v>
      </c>
      <c r="C34" s="11">
        <v>0</v>
      </c>
      <c r="D34" s="12">
        <v>1</v>
      </c>
      <c r="E34" s="11">
        <v>0</v>
      </c>
      <c r="F34" s="12">
        <v>262</v>
      </c>
      <c r="G34" s="11">
        <v>0</v>
      </c>
      <c r="H34" s="11">
        <v>8.0000000000000002E-3</v>
      </c>
      <c r="I34" s="10">
        <v>6000</v>
      </c>
      <c r="J34" s="12" t="s">
        <v>1555</v>
      </c>
      <c r="K34" s="12">
        <v>2</v>
      </c>
      <c r="L34" s="12" t="s">
        <v>1408</v>
      </c>
      <c r="M34" s="10">
        <v>442296410</v>
      </c>
      <c r="N34" s="10">
        <v>53429</v>
      </c>
      <c r="O34" s="12">
        <v>100</v>
      </c>
    </row>
    <row r="35" spans="1:15" ht="15" customHeight="1" x14ac:dyDescent="0.3">
      <c r="A35" s="9">
        <v>43568</v>
      </c>
      <c r="B35" s="12">
        <v>3</v>
      </c>
      <c r="C35" s="11">
        <v>0</v>
      </c>
      <c r="D35" s="12">
        <v>3</v>
      </c>
      <c r="E35" s="11">
        <v>0</v>
      </c>
      <c r="F35" s="12">
        <v>551</v>
      </c>
      <c r="G35" s="11">
        <v>0</v>
      </c>
      <c r="H35" s="11">
        <v>0.02</v>
      </c>
      <c r="I35" s="10">
        <v>50500</v>
      </c>
      <c r="J35" s="12" t="s">
        <v>5473</v>
      </c>
      <c r="K35" s="12">
        <v>11</v>
      </c>
      <c r="L35" s="12" t="s">
        <v>5474</v>
      </c>
      <c r="M35" s="10">
        <v>442346910</v>
      </c>
      <c r="N35" s="10">
        <v>53440</v>
      </c>
      <c r="O35" s="12">
        <v>100</v>
      </c>
    </row>
    <row r="36" spans="1:15" ht="15" customHeight="1" x14ac:dyDescent="0.3">
      <c r="A36" s="9">
        <v>43569</v>
      </c>
      <c r="B36" s="12">
        <v>3</v>
      </c>
      <c r="C36" s="11">
        <v>0</v>
      </c>
      <c r="D36" s="12">
        <v>3</v>
      </c>
      <c r="E36" s="11">
        <v>0</v>
      </c>
      <c r="F36" s="12">
        <v>489</v>
      </c>
      <c r="G36" s="11">
        <v>0</v>
      </c>
      <c r="H36" s="11">
        <v>0.41099999999999998</v>
      </c>
      <c r="I36" s="10">
        <v>1605000</v>
      </c>
      <c r="J36" s="12" t="s">
        <v>5475</v>
      </c>
      <c r="K36" s="12">
        <v>201</v>
      </c>
      <c r="L36" s="12" t="s">
        <v>5476</v>
      </c>
      <c r="M36" s="10">
        <v>443951910</v>
      </c>
      <c r="N36" s="10">
        <v>53641</v>
      </c>
      <c r="O36" s="12">
        <v>33</v>
      </c>
    </row>
    <row r="37" spans="1:15" ht="15" customHeight="1" x14ac:dyDescent="0.3">
      <c r="A37" s="9">
        <v>43570</v>
      </c>
      <c r="B37" s="12">
        <v>2</v>
      </c>
      <c r="C37" s="11">
        <v>0</v>
      </c>
      <c r="D37" s="12">
        <v>2</v>
      </c>
      <c r="E37" s="11">
        <v>0</v>
      </c>
      <c r="F37" s="12">
        <v>289</v>
      </c>
      <c r="G37" s="11">
        <v>0</v>
      </c>
      <c r="H37" s="11">
        <v>0.01</v>
      </c>
      <c r="I37" s="10">
        <v>20000</v>
      </c>
      <c r="J37" s="12" t="s">
        <v>5477</v>
      </c>
      <c r="K37" s="12">
        <v>3</v>
      </c>
      <c r="L37" s="12" t="s">
        <v>5478</v>
      </c>
      <c r="M37" s="10">
        <v>443971910</v>
      </c>
      <c r="N37" s="10">
        <v>53644</v>
      </c>
      <c r="O37" s="12">
        <v>88</v>
      </c>
    </row>
    <row r="38" spans="1:15" ht="15" customHeight="1" x14ac:dyDescent="0.3">
      <c r="A38" s="9">
        <v>43571</v>
      </c>
      <c r="B38" s="12">
        <v>3</v>
      </c>
      <c r="C38" s="11">
        <v>1E-3</v>
      </c>
      <c r="D38" s="12">
        <v>5</v>
      </c>
      <c r="E38" s="11">
        <v>0</v>
      </c>
      <c r="F38" s="12">
        <v>935</v>
      </c>
      <c r="G38" s="11">
        <v>0</v>
      </c>
      <c r="H38" s="11">
        <v>1</v>
      </c>
      <c r="I38" s="10">
        <v>7880000</v>
      </c>
      <c r="J38" s="12" t="s">
        <v>5479</v>
      </c>
      <c r="K38" s="12">
        <v>935</v>
      </c>
      <c r="L38" s="12" t="s">
        <v>5480</v>
      </c>
      <c r="M38" s="10">
        <v>451851910</v>
      </c>
      <c r="N38" s="10">
        <v>54579</v>
      </c>
      <c r="O38" s="12">
        <v>17</v>
      </c>
    </row>
    <row r="39" spans="1:15" ht="15" customHeight="1" x14ac:dyDescent="0.3">
      <c r="A39" s="9">
        <v>43572</v>
      </c>
      <c r="B39" s="12">
        <v>5</v>
      </c>
      <c r="C39" s="11">
        <v>1E-3</v>
      </c>
      <c r="D39" s="12">
        <v>5</v>
      </c>
      <c r="E39" s="11">
        <v>0</v>
      </c>
      <c r="F39" s="12">
        <v>846</v>
      </c>
      <c r="G39" s="11">
        <v>0</v>
      </c>
      <c r="H39" s="11">
        <v>0.69099999999999995</v>
      </c>
      <c r="I39" s="10">
        <v>5141500</v>
      </c>
      <c r="J39" s="12" t="s">
        <v>5481</v>
      </c>
      <c r="K39" s="12">
        <v>585</v>
      </c>
      <c r="L39" s="12" t="s">
        <v>5482</v>
      </c>
      <c r="M39" s="10">
        <v>456993410</v>
      </c>
      <c r="N39" s="10">
        <v>55164</v>
      </c>
      <c r="O39" s="12">
        <v>23</v>
      </c>
    </row>
    <row r="40" spans="1:15" ht="15" customHeight="1" x14ac:dyDescent="0.3">
      <c r="A40" s="9">
        <v>43573</v>
      </c>
      <c r="B40" s="12">
        <v>3</v>
      </c>
      <c r="C40" s="11">
        <v>0</v>
      </c>
      <c r="D40" s="12">
        <v>5</v>
      </c>
      <c r="E40" s="11">
        <v>0</v>
      </c>
      <c r="F40" s="12">
        <v>971</v>
      </c>
      <c r="G40" s="11">
        <v>0</v>
      </c>
      <c r="H40" s="11">
        <v>0.873</v>
      </c>
      <c r="I40" s="10">
        <v>7470000</v>
      </c>
      <c r="J40" s="12" t="s">
        <v>5483</v>
      </c>
      <c r="K40" s="12">
        <v>848</v>
      </c>
      <c r="L40" s="12" t="s">
        <v>5484</v>
      </c>
      <c r="M40" s="10">
        <v>464463410</v>
      </c>
      <c r="N40" s="10">
        <v>56012</v>
      </c>
      <c r="O40" s="12">
        <v>24</v>
      </c>
    </row>
    <row r="41" spans="1:15" ht="15" customHeight="1" x14ac:dyDescent="0.3">
      <c r="A41" s="9">
        <v>43574</v>
      </c>
      <c r="B41" s="12">
        <v>5</v>
      </c>
      <c r="C41" s="11">
        <v>1E-3</v>
      </c>
      <c r="D41" s="12">
        <v>5</v>
      </c>
      <c r="E41" s="11">
        <v>0</v>
      </c>
      <c r="F41" s="12">
        <v>709</v>
      </c>
      <c r="G41" s="11">
        <v>0</v>
      </c>
      <c r="H41" s="11">
        <v>0.82799999999999996</v>
      </c>
      <c r="I41" s="10">
        <v>5273000</v>
      </c>
      <c r="J41" s="12" t="s">
        <v>5485</v>
      </c>
      <c r="K41" s="12">
        <v>587</v>
      </c>
      <c r="L41" s="12" t="s">
        <v>5486</v>
      </c>
      <c r="M41" s="10">
        <v>469736410</v>
      </c>
      <c r="N41" s="10">
        <v>56599</v>
      </c>
      <c r="O41" s="12">
        <v>25</v>
      </c>
    </row>
    <row r="42" spans="1:15" ht="15" customHeight="1" x14ac:dyDescent="0.3">
      <c r="A42" s="9">
        <v>43575</v>
      </c>
      <c r="B42" s="12">
        <v>1</v>
      </c>
      <c r="C42" s="11">
        <v>0</v>
      </c>
      <c r="D42" s="12">
        <v>1</v>
      </c>
      <c r="E42" s="11">
        <v>0</v>
      </c>
      <c r="F42" s="12">
        <v>125</v>
      </c>
      <c r="G42" s="11">
        <v>0</v>
      </c>
      <c r="H42" s="11">
        <v>0.04</v>
      </c>
      <c r="I42" s="10">
        <v>31000</v>
      </c>
      <c r="J42" s="12" t="s">
        <v>5487</v>
      </c>
      <c r="K42" s="12">
        <v>5</v>
      </c>
      <c r="L42" s="12" t="s">
        <v>5488</v>
      </c>
      <c r="M42" s="10">
        <v>469767410</v>
      </c>
      <c r="N42" s="10">
        <v>56604</v>
      </c>
      <c r="O42" s="12">
        <v>106</v>
      </c>
    </row>
    <row r="43" spans="1:15" ht="15" customHeight="1" x14ac:dyDescent="0.3">
      <c r="A43" s="9">
        <v>43576</v>
      </c>
      <c r="B43" s="12">
        <v>1</v>
      </c>
      <c r="C43" s="11">
        <v>0</v>
      </c>
      <c r="D43" s="12">
        <v>1</v>
      </c>
      <c r="E43" s="11">
        <v>0</v>
      </c>
      <c r="F43" s="12">
        <v>125</v>
      </c>
      <c r="G43" s="11">
        <v>0</v>
      </c>
      <c r="H43" s="11">
        <v>2.4E-2</v>
      </c>
      <c r="I43" s="10">
        <v>20000</v>
      </c>
      <c r="J43" s="12" t="s">
        <v>5489</v>
      </c>
      <c r="K43" s="12">
        <v>3</v>
      </c>
      <c r="L43" s="12" t="s">
        <v>2310</v>
      </c>
      <c r="M43" s="10">
        <v>469787410</v>
      </c>
      <c r="N43" s="10">
        <v>56607</v>
      </c>
      <c r="O43" s="12">
        <v>113</v>
      </c>
    </row>
    <row r="44" spans="1:15" ht="15" customHeight="1" x14ac:dyDescent="0.3">
      <c r="A44" s="9">
        <v>43577</v>
      </c>
      <c r="B44" s="12">
        <v>1</v>
      </c>
      <c r="C44" s="11">
        <v>0</v>
      </c>
      <c r="D44" s="12">
        <v>1</v>
      </c>
      <c r="E44" s="11">
        <v>0</v>
      </c>
      <c r="F44" s="12">
        <v>125</v>
      </c>
      <c r="G44" s="11">
        <v>0</v>
      </c>
      <c r="H44" s="11">
        <v>1.6E-2</v>
      </c>
      <c r="I44" s="10">
        <v>14000</v>
      </c>
      <c r="J44" s="12" t="s">
        <v>5490</v>
      </c>
      <c r="K44" s="12">
        <v>2</v>
      </c>
      <c r="L44" s="12" t="s">
        <v>1422</v>
      </c>
      <c r="M44" s="10">
        <v>469801410</v>
      </c>
      <c r="N44" s="10">
        <v>56609</v>
      </c>
      <c r="O44" s="12">
        <v>102</v>
      </c>
    </row>
    <row r="45" spans="1:15" ht="15" customHeight="1" x14ac:dyDescent="0.3">
      <c r="A45" s="9">
        <v>43578</v>
      </c>
      <c r="B45" s="12">
        <v>1</v>
      </c>
      <c r="C45" s="11">
        <v>0</v>
      </c>
      <c r="D45" s="12">
        <v>1</v>
      </c>
      <c r="E45" s="11">
        <v>0</v>
      </c>
      <c r="F45" s="12">
        <v>108</v>
      </c>
      <c r="G45" s="11">
        <v>0</v>
      </c>
      <c r="H45" s="11">
        <v>1</v>
      </c>
      <c r="I45" s="10">
        <v>864000</v>
      </c>
      <c r="J45" s="12" t="s">
        <v>5491</v>
      </c>
      <c r="K45" s="12">
        <v>108</v>
      </c>
      <c r="L45" s="12" t="s">
        <v>5492</v>
      </c>
      <c r="M45" s="10">
        <v>470665410</v>
      </c>
      <c r="N45" s="10">
        <v>56717</v>
      </c>
      <c r="O45" s="12">
        <v>52</v>
      </c>
    </row>
    <row r="46" spans="1:15" ht="15" customHeight="1" x14ac:dyDescent="0.3">
      <c r="A46" s="9">
        <v>43579</v>
      </c>
      <c r="B46" s="12">
        <v>1</v>
      </c>
      <c r="C46" s="11">
        <v>0</v>
      </c>
      <c r="D46" s="12">
        <v>1</v>
      </c>
      <c r="E46" s="11">
        <v>0</v>
      </c>
      <c r="F46" s="12">
        <v>125</v>
      </c>
      <c r="G46" s="11">
        <v>0</v>
      </c>
      <c r="H46" s="11">
        <v>1.6E-2</v>
      </c>
      <c r="I46" s="10">
        <v>11000</v>
      </c>
      <c r="J46" s="12" t="s">
        <v>5493</v>
      </c>
      <c r="K46" s="12">
        <v>2</v>
      </c>
      <c r="L46" s="12" t="s">
        <v>5494</v>
      </c>
      <c r="M46" s="10">
        <v>470676410</v>
      </c>
      <c r="N46" s="10">
        <v>56719</v>
      </c>
      <c r="O46" s="12">
        <v>100</v>
      </c>
    </row>
    <row r="47" spans="1:15" ht="15" customHeight="1" x14ac:dyDescent="0.3">
      <c r="A47" s="9">
        <v>43580</v>
      </c>
      <c r="B47" s="12">
        <v>1</v>
      </c>
      <c r="C47" s="11">
        <v>0</v>
      </c>
      <c r="D47" s="12">
        <v>1</v>
      </c>
      <c r="E47" s="11">
        <v>0</v>
      </c>
      <c r="F47" s="12">
        <v>125</v>
      </c>
      <c r="G47" s="11">
        <v>0</v>
      </c>
      <c r="H47" s="11">
        <v>8.0000000000000002E-3</v>
      </c>
      <c r="I47" s="10">
        <v>4000</v>
      </c>
      <c r="J47" s="12" t="s">
        <v>5495</v>
      </c>
      <c r="K47" s="12">
        <v>1</v>
      </c>
      <c r="L47" s="12" t="s">
        <v>2338</v>
      </c>
      <c r="M47" s="10">
        <v>470680410</v>
      </c>
      <c r="N47" s="10">
        <v>56720</v>
      </c>
      <c r="O47" s="12">
        <v>105</v>
      </c>
    </row>
    <row r="48" spans="1:15" ht="15" customHeight="1" x14ac:dyDescent="0.3">
      <c r="A48" s="9">
        <v>43581</v>
      </c>
      <c r="B48" s="12">
        <v>1</v>
      </c>
      <c r="C48" s="11">
        <v>0</v>
      </c>
      <c r="D48" s="12">
        <v>1</v>
      </c>
      <c r="E48" s="11">
        <v>0</v>
      </c>
      <c r="F48" s="12">
        <v>90</v>
      </c>
      <c r="G48" s="11">
        <v>0</v>
      </c>
      <c r="H48" s="11">
        <v>0.55600000000000005</v>
      </c>
      <c r="I48" s="10">
        <v>350000</v>
      </c>
      <c r="J48" s="12" t="s">
        <v>5496</v>
      </c>
      <c r="K48" s="12">
        <v>50</v>
      </c>
      <c r="L48" s="12" t="s">
        <v>5497</v>
      </c>
      <c r="M48" s="10">
        <v>471030410</v>
      </c>
      <c r="N48" s="10">
        <v>56770</v>
      </c>
      <c r="O48" s="12">
        <v>65</v>
      </c>
    </row>
    <row r="49" spans="1:15" ht="15" customHeight="1" x14ac:dyDescent="0.3">
      <c r="A49" s="9">
        <v>43583</v>
      </c>
      <c r="B49" s="12">
        <v>1</v>
      </c>
      <c r="C49" s="11">
        <v>0</v>
      </c>
      <c r="D49" s="12">
        <v>1</v>
      </c>
      <c r="E49" s="11">
        <v>0</v>
      </c>
      <c r="F49" s="12">
        <v>92</v>
      </c>
      <c r="G49" s="11">
        <v>0</v>
      </c>
      <c r="H49" s="11">
        <v>0.97799999999999998</v>
      </c>
      <c r="I49" s="10">
        <v>540000</v>
      </c>
      <c r="J49" s="12" t="s">
        <v>5498</v>
      </c>
      <c r="K49" s="12">
        <v>90</v>
      </c>
      <c r="L49" s="12" t="s">
        <v>1882</v>
      </c>
      <c r="M49" s="10">
        <v>471570410</v>
      </c>
      <c r="N49" s="10">
        <v>56860</v>
      </c>
      <c r="O49" s="12">
        <v>53</v>
      </c>
    </row>
    <row r="50" spans="1:15" ht="15" customHeight="1" x14ac:dyDescent="0.3">
      <c r="A50" s="9">
        <v>43584</v>
      </c>
      <c r="B50" s="12">
        <v>1</v>
      </c>
      <c r="C50" s="11">
        <v>0</v>
      </c>
      <c r="D50" s="12">
        <v>1</v>
      </c>
      <c r="E50" s="11">
        <v>0</v>
      </c>
      <c r="F50" s="12">
        <v>125</v>
      </c>
      <c r="G50" s="11">
        <v>0</v>
      </c>
      <c r="H50" s="11">
        <v>8.0000000000000002E-3</v>
      </c>
      <c r="I50" s="10">
        <v>4000</v>
      </c>
      <c r="J50" s="12" t="s">
        <v>5499</v>
      </c>
      <c r="K50" s="12">
        <v>1</v>
      </c>
      <c r="L50" s="12" t="s">
        <v>5500</v>
      </c>
      <c r="M50" s="10">
        <v>471574410</v>
      </c>
      <c r="N50" s="10">
        <v>56861</v>
      </c>
      <c r="O50" s="12">
        <v>101</v>
      </c>
    </row>
    <row r="51" spans="1:15" ht="15" customHeight="1" x14ac:dyDescent="0.3">
      <c r="A51" s="9">
        <v>43585</v>
      </c>
      <c r="B51" s="12">
        <v>1</v>
      </c>
      <c r="C51" s="11">
        <v>0</v>
      </c>
      <c r="D51" s="12">
        <v>2</v>
      </c>
      <c r="E51" s="11">
        <v>0</v>
      </c>
      <c r="F51" s="12">
        <v>418</v>
      </c>
      <c r="G51" s="11">
        <v>0</v>
      </c>
      <c r="H51" s="11">
        <v>0.5</v>
      </c>
      <c r="I51" s="10">
        <v>1672000</v>
      </c>
      <c r="J51" s="12" t="s">
        <v>5501</v>
      </c>
      <c r="K51" s="12">
        <v>209</v>
      </c>
      <c r="L51" s="12" t="s">
        <v>5502</v>
      </c>
      <c r="M51" s="10">
        <v>473246410</v>
      </c>
      <c r="N51" s="10">
        <v>57070</v>
      </c>
      <c r="O51" s="12">
        <v>37</v>
      </c>
    </row>
    <row r="52" spans="1:15" ht="15" customHeight="1" x14ac:dyDescent="0.3">
      <c r="A52" s="9">
        <v>43586</v>
      </c>
      <c r="B52" s="12">
        <v>2</v>
      </c>
      <c r="C52" s="11">
        <v>0</v>
      </c>
      <c r="D52" s="12">
        <v>2</v>
      </c>
      <c r="E52" s="11">
        <v>0</v>
      </c>
      <c r="F52" s="12">
        <v>302</v>
      </c>
      <c r="G52" s="11">
        <v>0</v>
      </c>
      <c r="H52" s="11">
        <v>0.503</v>
      </c>
      <c r="I52" s="10">
        <v>1061000</v>
      </c>
      <c r="J52" s="12" t="s">
        <v>5503</v>
      </c>
      <c r="K52" s="12">
        <v>152</v>
      </c>
      <c r="L52" s="12" t="s">
        <v>5504</v>
      </c>
      <c r="M52" s="10">
        <v>474307410</v>
      </c>
      <c r="N52" s="10">
        <v>57222</v>
      </c>
      <c r="O52" s="12">
        <v>43</v>
      </c>
    </row>
    <row r="53" spans="1:15" ht="15" customHeight="1" x14ac:dyDescent="0.3">
      <c r="A53" s="9">
        <v>43587</v>
      </c>
      <c r="B53" s="12">
        <v>1</v>
      </c>
      <c r="C53" s="11">
        <v>0</v>
      </c>
      <c r="D53" s="12">
        <v>1</v>
      </c>
      <c r="E53" s="11">
        <v>0</v>
      </c>
      <c r="F53" s="12">
        <v>125</v>
      </c>
      <c r="G53" s="11">
        <v>0</v>
      </c>
      <c r="H53" s="11">
        <v>8.0000000000000002E-3</v>
      </c>
      <c r="I53" s="10">
        <v>5000</v>
      </c>
      <c r="J53" s="12" t="s">
        <v>5505</v>
      </c>
      <c r="K53" s="12">
        <v>1</v>
      </c>
      <c r="L53" s="12" t="s">
        <v>5506</v>
      </c>
      <c r="M53" s="10">
        <v>474312410</v>
      </c>
      <c r="N53" s="10">
        <v>57223</v>
      </c>
      <c r="O53" s="12">
        <v>92</v>
      </c>
    </row>
    <row r="54" spans="1:15" ht="15" customHeight="1" x14ac:dyDescent="0.3">
      <c r="A54" s="9">
        <v>43588</v>
      </c>
      <c r="B54" s="12">
        <v>1</v>
      </c>
      <c r="C54" s="11">
        <v>0</v>
      </c>
      <c r="D54" s="12">
        <v>1</v>
      </c>
      <c r="E54" s="11">
        <v>0</v>
      </c>
      <c r="F54" s="12">
        <v>125</v>
      </c>
      <c r="G54" s="11">
        <v>0</v>
      </c>
      <c r="H54" s="11">
        <v>8.0000000000000002E-3</v>
      </c>
      <c r="I54" s="10">
        <v>4000</v>
      </c>
      <c r="J54" s="12" t="s">
        <v>5507</v>
      </c>
      <c r="K54" s="12">
        <v>1</v>
      </c>
      <c r="L54" s="12" t="s">
        <v>292</v>
      </c>
      <c r="M54" s="10">
        <v>474316410</v>
      </c>
      <c r="N54" s="10">
        <v>57224</v>
      </c>
      <c r="O54" s="12">
        <v>94</v>
      </c>
    </row>
    <row r="55" spans="1:15" ht="15" customHeight="1" x14ac:dyDescent="0.3">
      <c r="A55" s="9">
        <v>43589</v>
      </c>
      <c r="B55" s="12">
        <v>2</v>
      </c>
      <c r="C55" s="11">
        <v>0</v>
      </c>
      <c r="D55" s="12">
        <v>2</v>
      </c>
      <c r="E55" s="11">
        <v>0</v>
      </c>
      <c r="F55" s="12">
        <v>387</v>
      </c>
      <c r="G55" s="11">
        <v>0</v>
      </c>
      <c r="H55" s="11">
        <v>1.6E-2</v>
      </c>
      <c r="I55" s="10">
        <v>25000</v>
      </c>
      <c r="J55" s="12" t="s">
        <v>5508</v>
      </c>
      <c r="K55" s="12">
        <v>6</v>
      </c>
      <c r="L55" s="12" t="s">
        <v>5509</v>
      </c>
      <c r="M55" s="10">
        <v>474341410</v>
      </c>
      <c r="N55" s="10">
        <v>57230</v>
      </c>
      <c r="O55" s="12">
        <v>81</v>
      </c>
    </row>
    <row r="56" spans="1:15" ht="15" customHeight="1" x14ac:dyDescent="0.3">
      <c r="A56" s="9">
        <v>43590</v>
      </c>
      <c r="B56" s="12">
        <v>1</v>
      </c>
      <c r="C56" s="11">
        <v>0</v>
      </c>
      <c r="D56" s="12">
        <v>1</v>
      </c>
      <c r="E56" s="11">
        <v>0</v>
      </c>
      <c r="F56" s="12">
        <v>125</v>
      </c>
      <c r="G56" s="11">
        <v>0</v>
      </c>
      <c r="H56" s="11">
        <v>4.8000000000000001E-2</v>
      </c>
      <c r="I56" s="10">
        <v>34000</v>
      </c>
      <c r="J56" s="12" t="s">
        <v>5510</v>
      </c>
      <c r="K56" s="12">
        <v>6</v>
      </c>
      <c r="L56" s="12" t="s">
        <v>292</v>
      </c>
      <c r="M56" s="10">
        <v>474375410</v>
      </c>
      <c r="N56" s="10">
        <v>57236</v>
      </c>
      <c r="O56" s="12">
        <v>73</v>
      </c>
    </row>
    <row r="57" spans="1:15" ht="15" customHeight="1" x14ac:dyDescent="0.3">
      <c r="A57" s="9">
        <v>43591</v>
      </c>
      <c r="B57" s="12">
        <v>1</v>
      </c>
      <c r="C57" s="11">
        <v>0</v>
      </c>
      <c r="D57" s="12">
        <v>1</v>
      </c>
      <c r="E57" s="11">
        <v>0</v>
      </c>
      <c r="F57" s="12">
        <v>125</v>
      </c>
      <c r="G57" s="11">
        <v>0</v>
      </c>
      <c r="H57" s="11">
        <v>0.04</v>
      </c>
      <c r="I57" s="10">
        <v>20000</v>
      </c>
      <c r="J57" s="12" t="s">
        <v>5511</v>
      </c>
      <c r="K57" s="12">
        <v>5</v>
      </c>
      <c r="L57" s="12" t="s">
        <v>3103</v>
      </c>
      <c r="M57" s="10">
        <v>474395410</v>
      </c>
      <c r="N57" s="10">
        <v>57241</v>
      </c>
      <c r="O57" s="12">
        <v>75</v>
      </c>
    </row>
    <row r="58" spans="1:15" ht="15" customHeight="1" x14ac:dyDescent="0.3">
      <c r="A58" s="9">
        <v>43594</v>
      </c>
      <c r="B58" s="12">
        <v>1</v>
      </c>
      <c r="C58" s="11">
        <v>0</v>
      </c>
      <c r="D58" s="12">
        <v>1</v>
      </c>
      <c r="E58" s="11">
        <v>0</v>
      </c>
      <c r="F58" s="12">
        <v>127</v>
      </c>
      <c r="G58" s="11">
        <v>0</v>
      </c>
      <c r="H58" s="11">
        <v>2.4E-2</v>
      </c>
      <c r="I58" s="10">
        <v>21000</v>
      </c>
      <c r="J58" s="12" t="s">
        <v>5512</v>
      </c>
      <c r="K58" s="12">
        <v>3</v>
      </c>
      <c r="L58" s="12" t="s">
        <v>294</v>
      </c>
      <c r="M58" s="10">
        <v>474416410</v>
      </c>
      <c r="N58" s="10">
        <v>57244</v>
      </c>
      <c r="O58" s="12">
        <v>92</v>
      </c>
    </row>
    <row r="59" spans="1:15" ht="15" customHeight="1" x14ac:dyDescent="0.3">
      <c r="A59" s="9">
        <v>43595</v>
      </c>
      <c r="B59" s="12">
        <v>1</v>
      </c>
      <c r="C59" s="11">
        <v>0</v>
      </c>
      <c r="D59" s="12">
        <v>1</v>
      </c>
      <c r="E59" s="11">
        <v>0</v>
      </c>
      <c r="F59" s="12">
        <v>262</v>
      </c>
      <c r="G59" s="11">
        <v>0</v>
      </c>
      <c r="H59" s="11">
        <v>2.3E-2</v>
      </c>
      <c r="I59" s="10">
        <v>18500</v>
      </c>
      <c r="J59" s="12" t="s">
        <v>5513</v>
      </c>
      <c r="K59" s="12">
        <v>6</v>
      </c>
      <c r="L59" s="12" t="s">
        <v>294</v>
      </c>
      <c r="M59" s="10">
        <v>474434910</v>
      </c>
      <c r="N59" s="10">
        <v>57250</v>
      </c>
      <c r="O59" s="12">
        <v>84</v>
      </c>
    </row>
    <row r="60" spans="1:15" ht="15" customHeight="1" x14ac:dyDescent="0.3">
      <c r="A60" s="9">
        <v>43596</v>
      </c>
      <c r="B60" s="12">
        <v>1</v>
      </c>
      <c r="C60" s="11">
        <v>0</v>
      </c>
      <c r="D60" s="12">
        <v>1</v>
      </c>
      <c r="E60" s="11">
        <v>0</v>
      </c>
      <c r="F60" s="12">
        <v>127</v>
      </c>
      <c r="G60" s="11">
        <v>0</v>
      </c>
      <c r="H60" s="11">
        <v>3.9E-2</v>
      </c>
      <c r="I60" s="10">
        <v>26000</v>
      </c>
      <c r="J60" s="12" t="s">
        <v>5514</v>
      </c>
      <c r="K60" s="12">
        <v>5</v>
      </c>
      <c r="L60" s="12" t="s">
        <v>3103</v>
      </c>
      <c r="M60" s="10">
        <v>474460910</v>
      </c>
      <c r="N60" s="10">
        <v>57255</v>
      </c>
      <c r="O60" s="12">
        <v>91</v>
      </c>
    </row>
    <row r="61" spans="1:15" ht="15" customHeight="1" x14ac:dyDescent="0.3">
      <c r="A61" s="9">
        <v>43597</v>
      </c>
      <c r="B61" s="12">
        <v>1</v>
      </c>
      <c r="C61" s="11">
        <v>0</v>
      </c>
      <c r="D61" s="12">
        <v>1</v>
      </c>
      <c r="E61" s="11">
        <v>0</v>
      </c>
      <c r="F61" s="12">
        <v>262</v>
      </c>
      <c r="G61" s="11">
        <v>0</v>
      </c>
      <c r="H61" s="11">
        <v>4.0000000000000001E-3</v>
      </c>
      <c r="I61" s="10">
        <v>3500</v>
      </c>
      <c r="J61" s="12" t="s">
        <v>5515</v>
      </c>
      <c r="K61" s="12">
        <v>1</v>
      </c>
      <c r="L61" s="12" t="s">
        <v>310</v>
      </c>
      <c r="M61" s="10">
        <v>474464410</v>
      </c>
      <c r="N61" s="10">
        <v>57256</v>
      </c>
      <c r="O61" s="12">
        <v>89</v>
      </c>
    </row>
    <row r="62" spans="1:15" ht="15" customHeight="1" x14ac:dyDescent="0.3">
      <c r="A62" s="9">
        <v>43598</v>
      </c>
      <c r="B62" s="12">
        <v>1</v>
      </c>
      <c r="C62" s="11">
        <v>0</v>
      </c>
      <c r="D62" s="12">
        <v>1</v>
      </c>
      <c r="E62" s="11">
        <v>0</v>
      </c>
      <c r="F62" s="12">
        <v>127</v>
      </c>
      <c r="G62" s="11">
        <v>0</v>
      </c>
      <c r="H62" s="11">
        <v>0</v>
      </c>
      <c r="I62" s="12">
        <v>0</v>
      </c>
      <c r="J62" s="12" t="s">
        <v>5516</v>
      </c>
      <c r="K62" s="12">
        <v>0</v>
      </c>
      <c r="L62" s="12" t="s">
        <v>5517</v>
      </c>
      <c r="M62" s="10">
        <v>474464410</v>
      </c>
      <c r="N62" s="10">
        <v>57256</v>
      </c>
      <c r="O62" s="12">
        <v>95</v>
      </c>
    </row>
    <row r="63" spans="1:15" ht="15" customHeight="1" x14ac:dyDescent="0.3">
      <c r="A63" s="9">
        <v>43599</v>
      </c>
      <c r="B63" s="12">
        <v>1</v>
      </c>
      <c r="C63" s="11">
        <v>0</v>
      </c>
      <c r="D63" s="12">
        <v>2</v>
      </c>
      <c r="E63" s="11">
        <v>0</v>
      </c>
      <c r="F63" s="12">
        <v>254</v>
      </c>
      <c r="G63" s="11">
        <v>0</v>
      </c>
      <c r="H63" s="11">
        <v>8.0000000000000002E-3</v>
      </c>
      <c r="I63" s="10">
        <v>8000</v>
      </c>
      <c r="J63" s="12" t="s">
        <v>1406</v>
      </c>
      <c r="K63" s="12">
        <v>2</v>
      </c>
      <c r="L63" s="12" t="s">
        <v>1408</v>
      </c>
      <c r="M63" s="10">
        <v>474472410</v>
      </c>
      <c r="N63" s="10">
        <v>57258</v>
      </c>
      <c r="O63" s="12">
        <v>90</v>
      </c>
    </row>
    <row r="64" spans="1:15" ht="15" customHeight="1" x14ac:dyDescent="0.3">
      <c r="A64" s="9">
        <v>43601</v>
      </c>
      <c r="B64" s="12">
        <v>1</v>
      </c>
      <c r="C64" s="11">
        <v>0</v>
      </c>
      <c r="D64" s="12">
        <v>1</v>
      </c>
      <c r="E64" s="11">
        <v>0</v>
      </c>
      <c r="F64" s="12">
        <v>106</v>
      </c>
      <c r="G64" s="11">
        <v>0</v>
      </c>
      <c r="H64" s="11">
        <v>0.94299999999999995</v>
      </c>
      <c r="I64" s="10">
        <v>700000</v>
      </c>
      <c r="J64" s="12" t="s">
        <v>1873</v>
      </c>
      <c r="K64" s="12">
        <v>100</v>
      </c>
      <c r="L64" s="12" t="s">
        <v>471</v>
      </c>
      <c r="M64" s="10">
        <v>475172410</v>
      </c>
      <c r="N64" s="10">
        <v>57358</v>
      </c>
      <c r="O64" s="12">
        <v>49</v>
      </c>
    </row>
    <row r="65" spans="1:15" ht="15" customHeight="1" x14ac:dyDescent="0.3">
      <c r="A65" s="9">
        <v>43603</v>
      </c>
      <c r="B65" s="12">
        <v>1</v>
      </c>
      <c r="C65" s="11">
        <v>0</v>
      </c>
      <c r="D65" s="12">
        <v>1</v>
      </c>
      <c r="E65" s="11">
        <v>0</v>
      </c>
      <c r="F65" s="12">
        <v>127</v>
      </c>
      <c r="G65" s="11">
        <v>0</v>
      </c>
      <c r="H65" s="11">
        <v>5.5E-2</v>
      </c>
      <c r="I65" s="10">
        <v>45000</v>
      </c>
      <c r="J65" s="12" t="s">
        <v>2340</v>
      </c>
      <c r="K65" s="12">
        <v>7</v>
      </c>
      <c r="L65" s="12" t="s">
        <v>314</v>
      </c>
      <c r="M65" s="10">
        <v>475217410</v>
      </c>
      <c r="N65" s="10">
        <v>57365</v>
      </c>
      <c r="O65" s="12">
        <v>84</v>
      </c>
    </row>
    <row r="66" spans="1:15" ht="15" customHeight="1" x14ac:dyDescent="0.3">
      <c r="A66" s="9">
        <v>43604</v>
      </c>
      <c r="B66" s="12">
        <v>1</v>
      </c>
      <c r="C66" s="11">
        <v>0</v>
      </c>
      <c r="D66" s="12">
        <v>1</v>
      </c>
      <c r="E66" s="11">
        <v>0</v>
      </c>
      <c r="F66" s="12">
        <v>127</v>
      </c>
      <c r="G66" s="11">
        <v>0</v>
      </c>
      <c r="H66" s="11">
        <v>8.0000000000000002E-3</v>
      </c>
      <c r="I66" s="10">
        <v>7000</v>
      </c>
      <c r="J66" s="12" t="s">
        <v>5518</v>
      </c>
      <c r="K66" s="12">
        <v>1</v>
      </c>
      <c r="L66" s="12" t="s">
        <v>4802</v>
      </c>
      <c r="M66" s="10">
        <v>475224410</v>
      </c>
      <c r="N66" s="10">
        <v>57366</v>
      </c>
      <c r="O66" s="12">
        <v>95</v>
      </c>
    </row>
    <row r="67" spans="1:15" ht="15" customHeight="1" x14ac:dyDescent="0.3">
      <c r="A67" s="9">
        <v>43610</v>
      </c>
      <c r="B67" s="12">
        <v>1</v>
      </c>
      <c r="C67" s="11">
        <v>0</v>
      </c>
      <c r="D67" s="12">
        <v>1</v>
      </c>
      <c r="E67" s="11">
        <v>0</v>
      </c>
      <c r="F67" s="12">
        <v>127</v>
      </c>
      <c r="G67" s="11">
        <v>0</v>
      </c>
      <c r="H67" s="11">
        <v>8.0000000000000002E-3</v>
      </c>
      <c r="I67" s="10">
        <v>7000</v>
      </c>
      <c r="J67" s="12" t="s">
        <v>1411</v>
      </c>
      <c r="K67" s="12">
        <v>1</v>
      </c>
      <c r="L67" s="12" t="s">
        <v>312</v>
      </c>
      <c r="M67" s="10">
        <v>475231410</v>
      </c>
      <c r="N67" s="10">
        <v>57367</v>
      </c>
      <c r="O67" s="12">
        <v>117</v>
      </c>
    </row>
    <row r="68" spans="1:15" ht="15" customHeight="1" x14ac:dyDescent="0.3">
      <c r="A68" s="9">
        <v>43611</v>
      </c>
      <c r="B68" s="12">
        <v>1</v>
      </c>
      <c r="C68" s="11">
        <v>0</v>
      </c>
      <c r="D68" s="12">
        <v>1</v>
      </c>
      <c r="E68" s="11">
        <v>0</v>
      </c>
      <c r="F68" s="12">
        <v>127</v>
      </c>
      <c r="G68" s="11">
        <v>0</v>
      </c>
      <c r="H68" s="11">
        <v>2.4E-2</v>
      </c>
      <c r="I68" s="10">
        <v>21000</v>
      </c>
      <c r="J68" s="12" t="s">
        <v>5519</v>
      </c>
      <c r="K68" s="12">
        <v>3</v>
      </c>
      <c r="L68" s="12" t="s">
        <v>5520</v>
      </c>
      <c r="M68" s="10">
        <v>475252410</v>
      </c>
      <c r="N68" s="10">
        <v>57370</v>
      </c>
      <c r="O68" s="12">
        <v>99</v>
      </c>
    </row>
    <row r="69" spans="1:15" ht="15" customHeight="1" x14ac:dyDescent="0.3">
      <c r="A69" s="9">
        <v>43635</v>
      </c>
      <c r="B69" s="12">
        <v>1</v>
      </c>
      <c r="C69" s="11">
        <v>0</v>
      </c>
      <c r="D69" s="12">
        <v>1</v>
      </c>
      <c r="E69" s="11">
        <v>0</v>
      </c>
      <c r="F69" s="12">
        <v>89</v>
      </c>
      <c r="G69" s="11">
        <v>0</v>
      </c>
      <c r="H69" s="11">
        <v>1</v>
      </c>
      <c r="I69" s="10">
        <v>801000</v>
      </c>
      <c r="J69" s="12" t="s">
        <v>5521</v>
      </c>
      <c r="K69" s="12">
        <v>89</v>
      </c>
      <c r="L69" s="12" t="s">
        <v>5522</v>
      </c>
      <c r="M69" s="10">
        <v>476053410</v>
      </c>
      <c r="N69" s="10">
        <v>57459</v>
      </c>
      <c r="O69" s="12">
        <v>46</v>
      </c>
    </row>
    <row r="70" spans="1:15" ht="15" customHeight="1" x14ac:dyDescent="0.3">
      <c r="A70" s="9">
        <v>43646</v>
      </c>
      <c r="B70" s="12">
        <v>1</v>
      </c>
      <c r="C70" s="11">
        <v>0</v>
      </c>
      <c r="D70" s="12">
        <v>1</v>
      </c>
      <c r="E70" s="11">
        <v>0</v>
      </c>
      <c r="F70" s="12">
        <v>52</v>
      </c>
      <c r="G70" s="11">
        <v>0</v>
      </c>
      <c r="H70" s="11">
        <v>0.96199999999999997</v>
      </c>
      <c r="I70" s="10">
        <v>350000</v>
      </c>
      <c r="J70" s="12" t="s">
        <v>5523</v>
      </c>
      <c r="K70" s="12">
        <v>50</v>
      </c>
      <c r="L70" s="12" t="s">
        <v>5524</v>
      </c>
      <c r="M70" s="10">
        <v>476403410</v>
      </c>
      <c r="N70" s="10">
        <v>57509</v>
      </c>
      <c r="O70" s="12">
        <v>52</v>
      </c>
    </row>
    <row r="71" spans="1:15" ht="15" customHeight="1" x14ac:dyDescent="0.3">
      <c r="A71" s="9">
        <v>43656</v>
      </c>
      <c r="B71" s="12">
        <v>4</v>
      </c>
      <c r="C71" s="11">
        <v>1E-3</v>
      </c>
      <c r="D71" s="12">
        <v>4</v>
      </c>
      <c r="E71" s="11">
        <v>0</v>
      </c>
      <c r="F71" s="12">
        <v>503</v>
      </c>
      <c r="G71" s="11">
        <v>0</v>
      </c>
      <c r="H71" s="11">
        <v>1</v>
      </c>
      <c r="I71" s="10">
        <v>4024000</v>
      </c>
      <c r="J71" s="12" t="s">
        <v>5525</v>
      </c>
      <c r="K71" s="12">
        <v>503</v>
      </c>
      <c r="L71" s="12" t="s">
        <v>483</v>
      </c>
      <c r="M71" s="10">
        <v>480427410</v>
      </c>
      <c r="N71" s="10">
        <v>58012</v>
      </c>
      <c r="O71" s="12">
        <v>17</v>
      </c>
    </row>
    <row r="72" spans="1:15" ht="15" customHeight="1" x14ac:dyDescent="0.3">
      <c r="A72" s="9">
        <v>43657</v>
      </c>
      <c r="B72" s="12">
        <v>8</v>
      </c>
      <c r="C72" s="11">
        <v>1E-3</v>
      </c>
      <c r="D72" s="12">
        <v>8</v>
      </c>
      <c r="E72" s="11">
        <v>0</v>
      </c>
      <c r="F72" s="10">
        <v>1017</v>
      </c>
      <c r="G72" s="11">
        <v>0</v>
      </c>
      <c r="H72" s="11">
        <v>0.98599999999999999</v>
      </c>
      <c r="I72" s="10">
        <v>8024000</v>
      </c>
      <c r="J72" s="12" t="s">
        <v>5526</v>
      </c>
      <c r="K72" s="10">
        <v>1003</v>
      </c>
      <c r="L72" s="12" t="s">
        <v>5527</v>
      </c>
      <c r="M72" s="10">
        <v>488451410</v>
      </c>
      <c r="N72" s="10">
        <v>59015</v>
      </c>
      <c r="O72" s="12">
        <v>17</v>
      </c>
    </row>
    <row r="73" spans="1:15" ht="15" customHeight="1" x14ac:dyDescent="0.3">
      <c r="A73" s="9">
        <v>43658</v>
      </c>
      <c r="B73" s="12">
        <v>8</v>
      </c>
      <c r="C73" s="11">
        <v>1E-3</v>
      </c>
      <c r="D73" s="12">
        <v>8</v>
      </c>
      <c r="E73" s="11">
        <v>0</v>
      </c>
      <c r="F73" s="10">
        <v>1041</v>
      </c>
      <c r="G73" s="11">
        <v>0</v>
      </c>
      <c r="H73" s="11">
        <v>0.88500000000000001</v>
      </c>
      <c r="I73" s="10">
        <v>7368000</v>
      </c>
      <c r="J73" s="12" t="s">
        <v>5528</v>
      </c>
      <c r="K73" s="12">
        <v>921</v>
      </c>
      <c r="L73" s="12" t="s">
        <v>5529</v>
      </c>
      <c r="M73" s="10">
        <v>495819410</v>
      </c>
      <c r="N73" s="10">
        <v>59936</v>
      </c>
      <c r="O73" s="12">
        <v>14</v>
      </c>
    </row>
    <row r="74" spans="1:15" ht="15" customHeight="1" x14ac:dyDescent="0.3">
      <c r="A74" s="9">
        <v>43659</v>
      </c>
      <c r="B74" s="12">
        <v>4</v>
      </c>
      <c r="C74" s="11">
        <v>1E-3</v>
      </c>
      <c r="D74" s="12">
        <v>4</v>
      </c>
      <c r="E74" s="11">
        <v>0</v>
      </c>
      <c r="F74" s="12">
        <v>503</v>
      </c>
      <c r="G74" s="11">
        <v>0</v>
      </c>
      <c r="H74" s="11">
        <v>1</v>
      </c>
      <c r="I74" s="10">
        <v>4024000</v>
      </c>
      <c r="J74" s="12" t="s">
        <v>5530</v>
      </c>
      <c r="K74" s="12">
        <v>503</v>
      </c>
      <c r="L74" s="12" t="s">
        <v>5531</v>
      </c>
      <c r="M74" s="10">
        <v>499843410</v>
      </c>
      <c r="N74" s="10">
        <v>60439</v>
      </c>
      <c r="O74" s="12">
        <v>20</v>
      </c>
    </row>
    <row r="75" spans="1:15" ht="15" customHeight="1" x14ac:dyDescent="0.3">
      <c r="A75" s="9">
        <v>43660</v>
      </c>
      <c r="B75" s="12">
        <v>1</v>
      </c>
      <c r="C75" s="11">
        <v>0</v>
      </c>
      <c r="D75" s="12">
        <v>1</v>
      </c>
      <c r="E75" s="11">
        <v>0</v>
      </c>
      <c r="F75" s="12">
        <v>120</v>
      </c>
      <c r="G75" s="11">
        <v>0</v>
      </c>
      <c r="H75" s="11">
        <v>0.42499999999999999</v>
      </c>
      <c r="I75" s="10">
        <v>408000</v>
      </c>
      <c r="J75" s="12" t="s">
        <v>5532</v>
      </c>
      <c r="K75" s="12">
        <v>51</v>
      </c>
      <c r="L75" s="12" t="s">
        <v>5533</v>
      </c>
      <c r="M75" s="10">
        <v>500251410</v>
      </c>
      <c r="N75" s="10">
        <v>60490</v>
      </c>
      <c r="O75" s="12">
        <v>55</v>
      </c>
    </row>
    <row r="76" spans="1:15" ht="15" customHeight="1" x14ac:dyDescent="0.3"/>
    <row r="77" spans="1:15" ht="15" customHeight="1" x14ac:dyDescent="0.3"/>
    <row r="78" spans="1:15" ht="15" customHeight="1" x14ac:dyDescent="0.3"/>
    <row r="79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31814-8421-4DE3-A86E-3F452D697D1A}">
  <dimension ref="A1:O27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3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5534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43523</v>
      </c>
      <c r="B5" s="12">
        <v>529</v>
      </c>
      <c r="C5" s="11">
        <v>0.08</v>
      </c>
      <c r="D5" s="10">
        <v>1408</v>
      </c>
      <c r="E5" s="11">
        <v>7.3999999999999996E-2</v>
      </c>
      <c r="F5" s="10">
        <v>178223</v>
      </c>
      <c r="G5" s="11">
        <v>0.06</v>
      </c>
      <c r="H5" s="11">
        <v>0.125</v>
      </c>
      <c r="I5" s="10">
        <v>132134770</v>
      </c>
      <c r="J5" s="12" t="s">
        <v>5535</v>
      </c>
      <c r="K5" s="10">
        <v>22216</v>
      </c>
      <c r="L5" s="12" t="s">
        <v>5536</v>
      </c>
      <c r="M5" s="10">
        <v>141349770</v>
      </c>
      <c r="N5" s="10">
        <v>23239</v>
      </c>
      <c r="O5" s="12">
        <v>6</v>
      </c>
    </row>
    <row r="6" spans="1:15" ht="15" customHeight="1" x14ac:dyDescent="0.3">
      <c r="A6" s="9">
        <v>43524</v>
      </c>
      <c r="B6" s="12">
        <v>499</v>
      </c>
      <c r="C6" s="11">
        <v>7.4999999999999997E-2</v>
      </c>
      <c r="D6" s="10">
        <v>1347</v>
      </c>
      <c r="E6" s="11">
        <v>6.9000000000000006E-2</v>
      </c>
      <c r="F6" s="10">
        <v>166350</v>
      </c>
      <c r="G6" s="11">
        <v>5.5E-2</v>
      </c>
      <c r="H6" s="11">
        <v>8.2000000000000003E-2</v>
      </c>
      <c r="I6" s="10">
        <v>105453660</v>
      </c>
      <c r="J6" s="12" t="s">
        <v>5537</v>
      </c>
      <c r="K6" s="10">
        <v>13602</v>
      </c>
      <c r="L6" s="12" t="s">
        <v>5538</v>
      </c>
      <c r="M6" s="10">
        <v>246803430</v>
      </c>
      <c r="N6" s="10">
        <v>36841</v>
      </c>
      <c r="O6" s="12">
        <v>7</v>
      </c>
    </row>
    <row r="7" spans="1:15" ht="15" customHeight="1" x14ac:dyDescent="0.3">
      <c r="A7" s="9">
        <v>43525</v>
      </c>
      <c r="B7" s="12">
        <v>482</v>
      </c>
      <c r="C7" s="11">
        <v>6.6000000000000003E-2</v>
      </c>
      <c r="D7" s="12">
        <v>972</v>
      </c>
      <c r="E7" s="11">
        <v>4.8000000000000001E-2</v>
      </c>
      <c r="F7" s="10">
        <v>121113</v>
      </c>
      <c r="G7" s="11">
        <v>3.7999999999999999E-2</v>
      </c>
      <c r="H7" s="11">
        <v>0.124</v>
      </c>
      <c r="I7" s="10">
        <v>129530419</v>
      </c>
      <c r="J7" s="12" t="s">
        <v>5539</v>
      </c>
      <c r="K7" s="10">
        <v>14964</v>
      </c>
      <c r="L7" s="12" t="s">
        <v>5540</v>
      </c>
      <c r="M7" s="10">
        <v>376333849</v>
      </c>
      <c r="N7" s="10">
        <v>51805</v>
      </c>
      <c r="O7" s="12">
        <v>7</v>
      </c>
    </row>
    <row r="8" spans="1:15" ht="15" customHeight="1" x14ac:dyDescent="0.3">
      <c r="A8" s="9">
        <v>43526</v>
      </c>
      <c r="B8" s="12">
        <v>463</v>
      </c>
      <c r="C8" s="11">
        <v>6.2E-2</v>
      </c>
      <c r="D8" s="12">
        <v>836</v>
      </c>
      <c r="E8" s="11">
        <v>4.1000000000000002E-2</v>
      </c>
      <c r="F8" s="10">
        <v>101859</v>
      </c>
      <c r="G8" s="11">
        <v>3.2000000000000001E-2</v>
      </c>
      <c r="H8" s="11">
        <v>0.115</v>
      </c>
      <c r="I8" s="10">
        <v>102411560</v>
      </c>
      <c r="J8" s="12" t="s">
        <v>5541</v>
      </c>
      <c r="K8" s="10">
        <v>11680</v>
      </c>
      <c r="L8" s="12" t="s">
        <v>5542</v>
      </c>
      <c r="M8" s="10">
        <v>478745409</v>
      </c>
      <c r="N8" s="10">
        <v>63485</v>
      </c>
      <c r="O8" s="12">
        <v>8</v>
      </c>
    </row>
    <row r="9" spans="1:15" ht="15" customHeight="1" x14ac:dyDescent="0.3">
      <c r="A9" s="9">
        <v>43527</v>
      </c>
      <c r="B9" s="12">
        <v>421</v>
      </c>
      <c r="C9" s="11">
        <v>5.8000000000000003E-2</v>
      </c>
      <c r="D9" s="12">
        <v>768</v>
      </c>
      <c r="E9" s="11">
        <v>3.9E-2</v>
      </c>
      <c r="F9" s="10">
        <v>92254</v>
      </c>
      <c r="G9" s="11">
        <v>0.03</v>
      </c>
      <c r="H9" s="11">
        <v>0.08</v>
      </c>
      <c r="I9" s="10">
        <v>62432070</v>
      </c>
      <c r="J9" s="12" t="s">
        <v>5543</v>
      </c>
      <c r="K9" s="10">
        <v>7342</v>
      </c>
      <c r="L9" s="12" t="s">
        <v>5544</v>
      </c>
      <c r="M9" s="10">
        <v>541177479</v>
      </c>
      <c r="N9" s="10">
        <v>70827</v>
      </c>
      <c r="O9" s="12">
        <v>10</v>
      </c>
    </row>
    <row r="10" spans="1:15" ht="15" customHeight="1" x14ac:dyDescent="0.3">
      <c r="A10" s="9">
        <v>43528</v>
      </c>
      <c r="B10" s="12">
        <v>352</v>
      </c>
      <c r="C10" s="11">
        <v>5.8999999999999997E-2</v>
      </c>
      <c r="D10" s="12">
        <v>611</v>
      </c>
      <c r="E10" s="11">
        <v>3.5000000000000003E-2</v>
      </c>
      <c r="F10" s="10">
        <v>73927</v>
      </c>
      <c r="G10" s="11">
        <v>2.7E-2</v>
      </c>
      <c r="H10" s="11">
        <v>3.2000000000000001E-2</v>
      </c>
      <c r="I10" s="10">
        <v>18819280</v>
      </c>
      <c r="J10" s="12" t="s">
        <v>5545</v>
      </c>
      <c r="K10" s="10">
        <v>2396</v>
      </c>
      <c r="L10" s="12" t="s">
        <v>5546</v>
      </c>
      <c r="M10" s="10">
        <v>559996759</v>
      </c>
      <c r="N10" s="10">
        <v>73223</v>
      </c>
      <c r="O10" s="12">
        <v>9</v>
      </c>
    </row>
    <row r="11" spans="1:15" ht="15" customHeight="1" x14ac:dyDescent="0.3">
      <c r="A11" s="9">
        <v>43529</v>
      </c>
      <c r="B11" s="12">
        <v>366</v>
      </c>
      <c r="C11" s="11">
        <v>6.2E-2</v>
      </c>
      <c r="D11" s="12">
        <v>626</v>
      </c>
      <c r="E11" s="11">
        <v>3.6999999999999998E-2</v>
      </c>
      <c r="F11" s="10">
        <v>76256</v>
      </c>
      <c r="G11" s="11">
        <v>2.8000000000000001E-2</v>
      </c>
      <c r="H11" s="11">
        <v>3.1E-2</v>
      </c>
      <c r="I11" s="10">
        <v>18569890</v>
      </c>
      <c r="J11" s="12" t="s">
        <v>5547</v>
      </c>
      <c r="K11" s="10">
        <v>2380</v>
      </c>
      <c r="L11" s="12" t="s">
        <v>5548</v>
      </c>
      <c r="M11" s="10">
        <v>578566649</v>
      </c>
      <c r="N11" s="10">
        <v>75603</v>
      </c>
      <c r="O11" s="12">
        <v>8</v>
      </c>
    </row>
    <row r="12" spans="1:15" ht="15" customHeight="1" x14ac:dyDescent="0.3">
      <c r="A12" s="9">
        <v>43530</v>
      </c>
      <c r="B12" s="12">
        <v>39</v>
      </c>
      <c r="C12" s="11">
        <v>8.0000000000000002E-3</v>
      </c>
      <c r="D12" s="12">
        <v>51</v>
      </c>
      <c r="E12" s="11">
        <v>3.0000000000000001E-3</v>
      </c>
      <c r="F12" s="10">
        <v>5436</v>
      </c>
      <c r="G12" s="11">
        <v>2E-3</v>
      </c>
      <c r="H12" s="11">
        <v>2.9000000000000001E-2</v>
      </c>
      <c r="I12" s="10">
        <v>1072300</v>
      </c>
      <c r="J12" s="12" t="s">
        <v>5549</v>
      </c>
      <c r="K12" s="12">
        <v>155</v>
      </c>
      <c r="L12" s="12" t="s">
        <v>5550</v>
      </c>
      <c r="M12" s="10">
        <v>579638949</v>
      </c>
      <c r="N12" s="10">
        <v>75758</v>
      </c>
      <c r="O12" s="12">
        <v>24</v>
      </c>
    </row>
    <row r="13" spans="1:15" ht="15" customHeight="1" x14ac:dyDescent="0.3">
      <c r="A13" s="9">
        <v>43531</v>
      </c>
      <c r="B13" s="12">
        <v>29</v>
      </c>
      <c r="C13" s="11">
        <v>6.0000000000000001E-3</v>
      </c>
      <c r="D13" s="12">
        <v>33</v>
      </c>
      <c r="E13" s="11">
        <v>2E-3</v>
      </c>
      <c r="F13" s="10">
        <v>3212</v>
      </c>
      <c r="G13" s="11">
        <v>1E-3</v>
      </c>
      <c r="H13" s="11">
        <v>3.9E-2</v>
      </c>
      <c r="I13" s="10">
        <v>874800</v>
      </c>
      <c r="J13" s="12" t="s">
        <v>5551</v>
      </c>
      <c r="K13" s="12">
        <v>125</v>
      </c>
      <c r="L13" s="12" t="s">
        <v>5552</v>
      </c>
      <c r="M13" s="10">
        <v>580513749</v>
      </c>
      <c r="N13" s="10">
        <v>75883</v>
      </c>
      <c r="O13" s="12">
        <v>35</v>
      </c>
    </row>
    <row r="14" spans="1:15" ht="15" customHeight="1" x14ac:dyDescent="0.3">
      <c r="A14" s="9">
        <v>43532</v>
      </c>
      <c r="B14" s="12">
        <v>27</v>
      </c>
      <c r="C14" s="11">
        <v>5.0000000000000001E-3</v>
      </c>
      <c r="D14" s="12">
        <v>31</v>
      </c>
      <c r="E14" s="11">
        <v>2E-3</v>
      </c>
      <c r="F14" s="10">
        <v>2961</v>
      </c>
      <c r="G14" s="11">
        <v>1E-3</v>
      </c>
      <c r="H14" s="11">
        <v>4.1000000000000002E-2</v>
      </c>
      <c r="I14" s="10">
        <v>926500</v>
      </c>
      <c r="J14" s="12" t="s">
        <v>5553</v>
      </c>
      <c r="K14" s="12">
        <v>122</v>
      </c>
      <c r="L14" s="12" t="s">
        <v>5554</v>
      </c>
      <c r="M14" s="10">
        <v>581440249</v>
      </c>
      <c r="N14" s="10">
        <v>76005</v>
      </c>
      <c r="O14" s="12">
        <v>34</v>
      </c>
    </row>
    <row r="15" spans="1:15" ht="15" customHeight="1" x14ac:dyDescent="0.3">
      <c r="A15" s="9">
        <v>43533</v>
      </c>
      <c r="B15" s="12">
        <v>30</v>
      </c>
      <c r="C15" s="11">
        <v>5.0000000000000001E-3</v>
      </c>
      <c r="D15" s="12">
        <v>32</v>
      </c>
      <c r="E15" s="11">
        <v>2E-3</v>
      </c>
      <c r="F15" s="10">
        <v>3457</v>
      </c>
      <c r="G15" s="11">
        <v>1E-3</v>
      </c>
      <c r="H15" s="11">
        <v>0.06</v>
      </c>
      <c r="I15" s="10">
        <v>1428000</v>
      </c>
      <c r="J15" s="12" t="s">
        <v>5555</v>
      </c>
      <c r="K15" s="12">
        <v>208</v>
      </c>
      <c r="L15" s="12" t="s">
        <v>5556</v>
      </c>
      <c r="M15" s="10">
        <v>582868249</v>
      </c>
      <c r="N15" s="10">
        <v>76213</v>
      </c>
      <c r="O15" s="12">
        <v>29</v>
      </c>
    </row>
    <row r="16" spans="1:15" ht="15" customHeight="1" x14ac:dyDescent="0.3">
      <c r="A16" s="9">
        <v>43534</v>
      </c>
      <c r="B16" s="12">
        <v>32</v>
      </c>
      <c r="C16" s="11">
        <v>6.0000000000000001E-3</v>
      </c>
      <c r="D16" s="12">
        <v>37</v>
      </c>
      <c r="E16" s="11">
        <v>2E-3</v>
      </c>
      <c r="F16" s="10">
        <v>3318</v>
      </c>
      <c r="G16" s="11">
        <v>1E-3</v>
      </c>
      <c r="H16" s="11">
        <v>5.1999999999999998E-2</v>
      </c>
      <c r="I16" s="10">
        <v>1257500</v>
      </c>
      <c r="J16" s="12" t="s">
        <v>5557</v>
      </c>
      <c r="K16" s="12">
        <v>173</v>
      </c>
      <c r="L16" s="12" t="s">
        <v>5558</v>
      </c>
      <c r="M16" s="10">
        <v>584125749</v>
      </c>
      <c r="N16" s="10">
        <v>76386</v>
      </c>
      <c r="O16" s="12">
        <v>32</v>
      </c>
    </row>
    <row r="17" spans="1:15" ht="15" customHeight="1" x14ac:dyDescent="0.3">
      <c r="A17" s="9">
        <v>43535</v>
      </c>
      <c r="B17" s="12">
        <v>26</v>
      </c>
      <c r="C17" s="11">
        <v>5.0000000000000001E-3</v>
      </c>
      <c r="D17" s="12">
        <v>29</v>
      </c>
      <c r="E17" s="11">
        <v>2E-3</v>
      </c>
      <c r="F17" s="10">
        <v>3238</v>
      </c>
      <c r="G17" s="11">
        <v>1E-3</v>
      </c>
      <c r="H17" s="11">
        <v>3.9E-2</v>
      </c>
      <c r="I17" s="10">
        <v>938800</v>
      </c>
      <c r="J17" s="12" t="s">
        <v>5559</v>
      </c>
      <c r="K17" s="12">
        <v>125</v>
      </c>
      <c r="L17" s="12" t="s">
        <v>5560</v>
      </c>
      <c r="M17" s="10">
        <v>585064549</v>
      </c>
      <c r="N17" s="10">
        <v>76511</v>
      </c>
      <c r="O17" s="12">
        <v>27</v>
      </c>
    </row>
    <row r="18" spans="1:15" ht="15" customHeight="1" x14ac:dyDescent="0.3">
      <c r="A18" s="9">
        <v>43536</v>
      </c>
      <c r="B18" s="12">
        <v>24</v>
      </c>
      <c r="C18" s="11">
        <v>5.0000000000000001E-3</v>
      </c>
      <c r="D18" s="12">
        <v>25</v>
      </c>
      <c r="E18" s="11">
        <v>1E-3</v>
      </c>
      <c r="F18" s="10">
        <v>2813</v>
      </c>
      <c r="G18" s="11">
        <v>1E-3</v>
      </c>
      <c r="H18" s="11">
        <v>2.7E-2</v>
      </c>
      <c r="I18" s="10">
        <v>564700</v>
      </c>
      <c r="J18" s="12" t="s">
        <v>5561</v>
      </c>
      <c r="K18" s="12">
        <v>76</v>
      </c>
      <c r="L18" s="12" t="s">
        <v>5562</v>
      </c>
      <c r="M18" s="10">
        <v>585629249</v>
      </c>
      <c r="N18" s="10">
        <v>76587</v>
      </c>
      <c r="O18" s="12">
        <v>37</v>
      </c>
    </row>
    <row r="19" spans="1:15" ht="15" customHeight="1" x14ac:dyDescent="0.3">
      <c r="A19" s="9">
        <v>43537</v>
      </c>
      <c r="B19" s="12">
        <v>21</v>
      </c>
      <c r="C19" s="11">
        <v>4.0000000000000001E-3</v>
      </c>
      <c r="D19" s="12">
        <v>21</v>
      </c>
      <c r="E19" s="11">
        <v>1E-3</v>
      </c>
      <c r="F19" s="10">
        <v>2567</v>
      </c>
      <c r="G19" s="11">
        <v>1E-3</v>
      </c>
      <c r="H19" s="11">
        <v>2.1999999999999999E-2</v>
      </c>
      <c r="I19" s="10">
        <v>393000</v>
      </c>
      <c r="J19" s="12" t="s">
        <v>5563</v>
      </c>
      <c r="K19" s="12">
        <v>56</v>
      </c>
      <c r="L19" s="12" t="s">
        <v>5564</v>
      </c>
      <c r="M19" s="10">
        <v>586022249</v>
      </c>
      <c r="N19" s="10">
        <v>76643</v>
      </c>
      <c r="O19" s="12">
        <v>46</v>
      </c>
    </row>
    <row r="20" spans="1:15" ht="15" customHeight="1" x14ac:dyDescent="0.3">
      <c r="A20" s="9">
        <v>43538</v>
      </c>
      <c r="B20" s="12">
        <v>2</v>
      </c>
      <c r="C20" s="11">
        <v>0</v>
      </c>
      <c r="D20" s="12">
        <v>3</v>
      </c>
      <c r="E20" s="11">
        <v>0</v>
      </c>
      <c r="F20" s="12">
        <v>153</v>
      </c>
      <c r="G20" s="11">
        <v>0</v>
      </c>
      <c r="H20" s="11">
        <v>2.5999999999999999E-2</v>
      </c>
      <c r="I20" s="10">
        <v>24000</v>
      </c>
      <c r="J20" s="12" t="s">
        <v>5565</v>
      </c>
      <c r="K20" s="12">
        <v>4</v>
      </c>
      <c r="L20" s="12" t="s">
        <v>5566</v>
      </c>
      <c r="M20" s="10">
        <v>586046249</v>
      </c>
      <c r="N20" s="10">
        <v>76647</v>
      </c>
      <c r="O20" s="12">
        <v>80</v>
      </c>
    </row>
    <row r="21" spans="1:15" ht="15" customHeight="1" x14ac:dyDescent="0.3">
      <c r="A21" s="9">
        <v>43539</v>
      </c>
      <c r="B21" s="12">
        <v>4</v>
      </c>
      <c r="C21" s="11">
        <v>1E-3</v>
      </c>
      <c r="D21" s="12">
        <v>5</v>
      </c>
      <c r="E21" s="11">
        <v>0</v>
      </c>
      <c r="F21" s="12">
        <v>251</v>
      </c>
      <c r="G21" s="11">
        <v>0</v>
      </c>
      <c r="H21" s="11">
        <v>0.159</v>
      </c>
      <c r="I21" s="10">
        <v>220000</v>
      </c>
      <c r="J21" s="12" t="s">
        <v>5567</v>
      </c>
      <c r="K21" s="12">
        <v>40</v>
      </c>
      <c r="L21" s="12" t="s">
        <v>5568</v>
      </c>
      <c r="M21" s="10">
        <v>586266249</v>
      </c>
      <c r="N21" s="10">
        <v>76687</v>
      </c>
      <c r="O21" s="12">
        <v>53</v>
      </c>
    </row>
    <row r="22" spans="1:15" ht="15" customHeight="1" x14ac:dyDescent="0.3">
      <c r="A22" s="9">
        <v>43540</v>
      </c>
      <c r="B22" s="12">
        <v>4</v>
      </c>
      <c r="C22" s="11">
        <v>1E-3</v>
      </c>
      <c r="D22" s="12">
        <v>4</v>
      </c>
      <c r="E22" s="11">
        <v>0</v>
      </c>
      <c r="F22" s="12">
        <v>435</v>
      </c>
      <c r="G22" s="11">
        <v>0</v>
      </c>
      <c r="H22" s="11">
        <v>4.8000000000000001E-2</v>
      </c>
      <c r="I22" s="10">
        <v>117000</v>
      </c>
      <c r="J22" s="12" t="s">
        <v>5569</v>
      </c>
      <c r="K22" s="12">
        <v>21</v>
      </c>
      <c r="L22" s="12" t="s">
        <v>5570</v>
      </c>
      <c r="M22" s="10">
        <v>586383249</v>
      </c>
      <c r="N22" s="10">
        <v>76708</v>
      </c>
      <c r="O22" s="12">
        <v>80</v>
      </c>
    </row>
    <row r="23" spans="1:15" ht="15" customHeight="1" x14ac:dyDescent="0.3">
      <c r="A23" s="9">
        <v>43541</v>
      </c>
      <c r="B23" s="12">
        <v>4</v>
      </c>
      <c r="C23" s="11">
        <v>1E-3</v>
      </c>
      <c r="D23" s="12">
        <v>4</v>
      </c>
      <c r="E23" s="11">
        <v>0</v>
      </c>
      <c r="F23" s="12">
        <v>435</v>
      </c>
      <c r="G23" s="11">
        <v>0</v>
      </c>
      <c r="H23" s="11">
        <v>3.9E-2</v>
      </c>
      <c r="I23" s="10">
        <v>95000</v>
      </c>
      <c r="J23" s="12" t="s">
        <v>5571</v>
      </c>
      <c r="K23" s="12">
        <v>17</v>
      </c>
      <c r="L23" s="12" t="s">
        <v>5572</v>
      </c>
      <c r="M23" s="10">
        <v>586478249</v>
      </c>
      <c r="N23" s="10">
        <v>76725</v>
      </c>
      <c r="O23" s="12">
        <v>75</v>
      </c>
    </row>
    <row r="24" spans="1:15" ht="15" customHeight="1" x14ac:dyDescent="0.3">
      <c r="A24" s="9">
        <v>43542</v>
      </c>
      <c r="B24" s="12">
        <v>1</v>
      </c>
      <c r="C24" s="11">
        <v>0</v>
      </c>
      <c r="D24" s="12">
        <v>1</v>
      </c>
      <c r="E24" s="11">
        <v>0</v>
      </c>
      <c r="F24" s="12">
        <v>47</v>
      </c>
      <c r="G24" s="11">
        <v>0</v>
      </c>
      <c r="H24" s="11">
        <v>2.1000000000000001E-2</v>
      </c>
      <c r="I24" s="10">
        <v>6000</v>
      </c>
      <c r="J24" s="12" t="s">
        <v>5573</v>
      </c>
      <c r="K24" s="12">
        <v>1</v>
      </c>
      <c r="L24" s="12" t="s">
        <v>5574</v>
      </c>
      <c r="M24" s="10">
        <v>586484249</v>
      </c>
      <c r="N24" s="10">
        <v>76726</v>
      </c>
      <c r="O24" s="12">
        <v>79</v>
      </c>
    </row>
    <row r="25" spans="1:15" ht="15" customHeight="1" x14ac:dyDescent="0.3">
      <c r="A25" s="9">
        <v>43544</v>
      </c>
      <c r="B25" s="12">
        <v>1</v>
      </c>
      <c r="C25" s="11">
        <v>0</v>
      </c>
      <c r="D25" s="12">
        <v>1</v>
      </c>
      <c r="E25" s="11">
        <v>0</v>
      </c>
      <c r="F25" s="12">
        <v>169</v>
      </c>
      <c r="G25" s="11">
        <v>0</v>
      </c>
      <c r="H25" s="11">
        <v>5.8999999999999997E-2</v>
      </c>
      <c r="I25" s="10">
        <v>50000</v>
      </c>
      <c r="J25" s="12" t="s">
        <v>3761</v>
      </c>
      <c r="K25" s="12">
        <v>10</v>
      </c>
      <c r="L25" s="12" t="s">
        <v>1397</v>
      </c>
      <c r="M25" s="10">
        <v>586534249</v>
      </c>
      <c r="N25" s="10">
        <v>76736</v>
      </c>
      <c r="O25" s="12">
        <v>68</v>
      </c>
    </row>
    <row r="26" spans="1:15" ht="15" customHeight="1" x14ac:dyDescent="0.3">
      <c r="A26" s="9">
        <v>43545</v>
      </c>
      <c r="B26" s="12">
        <v>1</v>
      </c>
      <c r="C26" s="11">
        <v>0</v>
      </c>
      <c r="D26" s="12">
        <v>1</v>
      </c>
      <c r="E26" s="11">
        <v>0</v>
      </c>
      <c r="F26" s="12">
        <v>174</v>
      </c>
      <c r="G26" s="11">
        <v>0</v>
      </c>
      <c r="H26" s="11">
        <v>5.7000000000000002E-2</v>
      </c>
      <c r="I26" s="10">
        <v>50000</v>
      </c>
      <c r="J26" s="12" t="s">
        <v>292</v>
      </c>
      <c r="K26" s="12">
        <v>10</v>
      </c>
      <c r="L26" s="12" t="s">
        <v>292</v>
      </c>
      <c r="M26" s="10">
        <v>586584249</v>
      </c>
      <c r="N26" s="10">
        <v>76746</v>
      </c>
      <c r="O26" s="12">
        <v>76</v>
      </c>
    </row>
    <row r="27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545F6-4011-4308-ACD4-DA77F2A577DA}">
  <dimension ref="A1:O89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8.375" bestFit="1" customWidth="1"/>
    <col min="7" max="8" width="9.625" bestFit="1" customWidth="1"/>
    <col min="9" max="9" width="12.5" bestFit="1" customWidth="1"/>
    <col min="10" max="10" width="22.25" bestFit="1" customWidth="1"/>
    <col min="11" max="11" width="8.375" bestFit="1" customWidth="1"/>
    <col min="12" max="12" width="19.25" bestFit="1" customWidth="1"/>
    <col min="13" max="13" width="13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5575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43579</v>
      </c>
      <c r="B5" s="10">
        <v>2760</v>
      </c>
      <c r="C5" s="11">
        <v>0.57099999999999995</v>
      </c>
      <c r="D5" s="10">
        <v>12544</v>
      </c>
      <c r="E5" s="11">
        <v>0.80800000000000005</v>
      </c>
      <c r="F5" s="10">
        <v>2039252</v>
      </c>
      <c r="G5" s="11">
        <v>0.85</v>
      </c>
      <c r="H5" s="11">
        <v>0.65600000000000003</v>
      </c>
      <c r="I5" s="10">
        <v>9678989600</v>
      </c>
      <c r="J5" s="12" t="s">
        <v>5576</v>
      </c>
      <c r="K5" s="10">
        <v>1338729</v>
      </c>
      <c r="L5" s="12" t="s">
        <v>5577</v>
      </c>
      <c r="M5" s="10">
        <v>9688349600</v>
      </c>
      <c r="N5" s="10">
        <v>1339353</v>
      </c>
      <c r="O5" s="12">
        <v>1</v>
      </c>
    </row>
    <row r="6" spans="1:15" ht="15" customHeight="1" x14ac:dyDescent="0.3">
      <c r="A6" s="9">
        <v>43580</v>
      </c>
      <c r="B6" s="10">
        <v>2759</v>
      </c>
      <c r="C6" s="11">
        <v>0.55000000000000004</v>
      </c>
      <c r="D6" s="10">
        <v>12337</v>
      </c>
      <c r="E6" s="11">
        <v>0.78400000000000003</v>
      </c>
      <c r="F6" s="10">
        <v>2013041</v>
      </c>
      <c r="G6" s="11">
        <v>0.83299999999999996</v>
      </c>
      <c r="H6" s="11">
        <v>0.41299999999999998</v>
      </c>
      <c r="I6" s="10">
        <v>7148951550</v>
      </c>
      <c r="J6" s="12" t="s">
        <v>5578</v>
      </c>
      <c r="K6" s="10">
        <v>832180</v>
      </c>
      <c r="L6" s="12" t="s">
        <v>5579</v>
      </c>
      <c r="M6" s="10">
        <v>16837301150</v>
      </c>
      <c r="N6" s="10">
        <v>2171533</v>
      </c>
      <c r="O6" s="12">
        <v>1</v>
      </c>
    </row>
    <row r="7" spans="1:15" ht="15" customHeight="1" x14ac:dyDescent="0.3">
      <c r="A7" s="9">
        <v>43581</v>
      </c>
      <c r="B7" s="10">
        <v>2796</v>
      </c>
      <c r="C7" s="11">
        <v>0.56200000000000006</v>
      </c>
      <c r="D7" s="10">
        <v>12831</v>
      </c>
      <c r="E7" s="11">
        <v>0.79700000000000004</v>
      </c>
      <c r="F7" s="10">
        <v>2084448</v>
      </c>
      <c r="G7" s="11">
        <v>0.84399999999999997</v>
      </c>
      <c r="H7" s="11">
        <v>0.502</v>
      </c>
      <c r="I7" s="10">
        <v>9735827020</v>
      </c>
      <c r="J7" s="12" t="s">
        <v>5580</v>
      </c>
      <c r="K7" s="10">
        <v>1046691</v>
      </c>
      <c r="L7" s="12" t="s">
        <v>5581</v>
      </c>
      <c r="M7" s="10">
        <v>26573128170</v>
      </c>
      <c r="N7" s="10">
        <v>3218224</v>
      </c>
      <c r="O7" s="12">
        <v>1</v>
      </c>
    </row>
    <row r="8" spans="1:15" ht="15" customHeight="1" x14ac:dyDescent="0.3">
      <c r="A8" s="9">
        <v>43582</v>
      </c>
      <c r="B8" s="10">
        <v>2835</v>
      </c>
      <c r="C8" s="11">
        <v>0.55900000000000005</v>
      </c>
      <c r="D8" s="10">
        <v>13397</v>
      </c>
      <c r="E8" s="11">
        <v>0.79300000000000004</v>
      </c>
      <c r="F8" s="10">
        <v>2158840</v>
      </c>
      <c r="G8" s="11">
        <v>0.83699999999999997</v>
      </c>
      <c r="H8" s="11">
        <v>0.77</v>
      </c>
      <c r="I8" s="10">
        <v>14970007600</v>
      </c>
      <c r="J8" s="12" t="s">
        <v>5582</v>
      </c>
      <c r="K8" s="10">
        <v>1662469</v>
      </c>
      <c r="L8" s="12" t="s">
        <v>5583</v>
      </c>
      <c r="M8" s="10">
        <v>41543135770</v>
      </c>
      <c r="N8" s="10">
        <v>4880693</v>
      </c>
      <c r="O8" s="12">
        <v>1</v>
      </c>
    </row>
    <row r="9" spans="1:15" ht="15" customHeight="1" x14ac:dyDescent="0.3">
      <c r="A9" s="9">
        <v>43583</v>
      </c>
      <c r="B9" s="10">
        <v>2833</v>
      </c>
      <c r="C9" s="11">
        <v>0.56399999999999995</v>
      </c>
      <c r="D9" s="10">
        <v>13055</v>
      </c>
      <c r="E9" s="11">
        <v>0.79300000000000004</v>
      </c>
      <c r="F9" s="10">
        <v>2108001</v>
      </c>
      <c r="G9" s="11">
        <v>0.83499999999999996</v>
      </c>
      <c r="H9" s="11">
        <v>0.67700000000000005</v>
      </c>
      <c r="I9" s="10">
        <v>12812523680</v>
      </c>
      <c r="J9" s="12" t="s">
        <v>5584</v>
      </c>
      <c r="K9" s="10">
        <v>1427355</v>
      </c>
      <c r="L9" s="12" t="s">
        <v>5585</v>
      </c>
      <c r="M9" s="10">
        <v>54355659450</v>
      </c>
      <c r="N9" s="10">
        <v>6308048</v>
      </c>
      <c r="O9" s="12">
        <v>1</v>
      </c>
    </row>
    <row r="10" spans="1:15" ht="15" customHeight="1" x14ac:dyDescent="0.3">
      <c r="A10" s="9">
        <v>43584</v>
      </c>
      <c r="B10" s="10">
        <v>2794</v>
      </c>
      <c r="C10" s="11">
        <v>0.57999999999999996</v>
      </c>
      <c r="D10" s="10">
        <v>12415</v>
      </c>
      <c r="E10" s="11">
        <v>0.80900000000000005</v>
      </c>
      <c r="F10" s="10">
        <v>2008497</v>
      </c>
      <c r="G10" s="11">
        <v>0.85</v>
      </c>
      <c r="H10" s="11">
        <v>0.23499999999999999</v>
      </c>
      <c r="I10" s="10">
        <v>4099535220</v>
      </c>
      <c r="J10" s="12" t="s">
        <v>5586</v>
      </c>
      <c r="K10" s="10">
        <v>471789</v>
      </c>
      <c r="L10" s="12" t="s">
        <v>5587</v>
      </c>
      <c r="M10" s="10">
        <v>58455194670</v>
      </c>
      <c r="N10" s="10">
        <v>6779837</v>
      </c>
      <c r="O10" s="12">
        <v>1</v>
      </c>
    </row>
    <row r="11" spans="1:15" ht="15" customHeight="1" x14ac:dyDescent="0.3">
      <c r="A11" s="9">
        <v>43585</v>
      </c>
      <c r="B11" s="10">
        <v>2802</v>
      </c>
      <c r="C11" s="11">
        <v>0.56399999999999995</v>
      </c>
      <c r="D11" s="10">
        <v>12584</v>
      </c>
      <c r="E11" s="11">
        <v>0.80200000000000005</v>
      </c>
      <c r="F11" s="10">
        <v>2038658</v>
      </c>
      <c r="G11" s="11">
        <v>0.84499999999999997</v>
      </c>
      <c r="H11" s="11">
        <v>0.27</v>
      </c>
      <c r="I11" s="10">
        <v>4742333860</v>
      </c>
      <c r="J11" s="12" t="s">
        <v>5588</v>
      </c>
      <c r="K11" s="10">
        <v>551321</v>
      </c>
      <c r="L11" s="12" t="s">
        <v>5589</v>
      </c>
      <c r="M11" s="10">
        <v>63197528530</v>
      </c>
      <c r="N11" s="10">
        <v>7331158</v>
      </c>
      <c r="O11" s="12">
        <v>1</v>
      </c>
    </row>
    <row r="12" spans="1:15" ht="15" customHeight="1" x14ac:dyDescent="0.3">
      <c r="A12" s="9">
        <v>43586</v>
      </c>
      <c r="B12" s="10">
        <v>2508</v>
      </c>
      <c r="C12" s="11">
        <v>0.48399999999999999</v>
      </c>
      <c r="D12" s="10">
        <v>11104</v>
      </c>
      <c r="E12" s="11">
        <v>0.65500000000000003</v>
      </c>
      <c r="F12" s="10">
        <v>1855146</v>
      </c>
      <c r="G12" s="11">
        <v>0.72199999999999998</v>
      </c>
      <c r="H12" s="11">
        <v>0.49099999999999999</v>
      </c>
      <c r="I12" s="10">
        <v>7425056550</v>
      </c>
      <c r="J12" s="12" t="s">
        <v>5590</v>
      </c>
      <c r="K12" s="10">
        <v>911374</v>
      </c>
      <c r="L12" s="12" t="s">
        <v>5591</v>
      </c>
      <c r="M12" s="10">
        <v>70622585080</v>
      </c>
      <c r="N12" s="10">
        <v>8242532</v>
      </c>
      <c r="O12" s="12">
        <v>1</v>
      </c>
    </row>
    <row r="13" spans="1:15" ht="15" customHeight="1" x14ac:dyDescent="0.3">
      <c r="A13" s="9">
        <v>43587</v>
      </c>
      <c r="B13" s="10">
        <v>2458</v>
      </c>
      <c r="C13" s="11">
        <v>0.50800000000000001</v>
      </c>
      <c r="D13" s="10">
        <v>10630</v>
      </c>
      <c r="E13" s="11">
        <v>0.66600000000000004</v>
      </c>
      <c r="F13" s="10">
        <v>1780158</v>
      </c>
      <c r="G13" s="11">
        <v>0.73</v>
      </c>
      <c r="H13" s="11">
        <v>0.21199999999999999</v>
      </c>
      <c r="I13" s="10">
        <v>3212715990</v>
      </c>
      <c r="J13" s="12" t="s">
        <v>5592</v>
      </c>
      <c r="K13" s="10">
        <v>376822</v>
      </c>
      <c r="L13" s="12" t="s">
        <v>5593</v>
      </c>
      <c r="M13" s="10">
        <v>73835301070</v>
      </c>
      <c r="N13" s="10">
        <v>8619354</v>
      </c>
      <c r="O13" s="12">
        <v>1</v>
      </c>
    </row>
    <row r="14" spans="1:15" ht="15" customHeight="1" x14ac:dyDescent="0.3">
      <c r="A14" s="9">
        <v>43588</v>
      </c>
      <c r="B14" s="10">
        <v>2490</v>
      </c>
      <c r="C14" s="11">
        <v>0.50900000000000001</v>
      </c>
      <c r="D14" s="10">
        <v>11045</v>
      </c>
      <c r="E14" s="11">
        <v>0.67200000000000004</v>
      </c>
      <c r="F14" s="10">
        <v>1845496</v>
      </c>
      <c r="G14" s="11">
        <v>0.73699999999999999</v>
      </c>
      <c r="H14" s="11">
        <v>0.307</v>
      </c>
      <c r="I14" s="10">
        <v>5164106910</v>
      </c>
      <c r="J14" s="12" t="s">
        <v>5594</v>
      </c>
      <c r="K14" s="10">
        <v>567060</v>
      </c>
      <c r="L14" s="12" t="s">
        <v>5595</v>
      </c>
      <c r="M14" s="10">
        <v>78999407980</v>
      </c>
      <c r="N14" s="10">
        <v>9186414</v>
      </c>
      <c r="O14" s="12">
        <v>1</v>
      </c>
    </row>
    <row r="15" spans="1:15" ht="15" customHeight="1" x14ac:dyDescent="0.3">
      <c r="A15" s="9">
        <v>43589</v>
      </c>
      <c r="B15" s="10">
        <v>2443</v>
      </c>
      <c r="C15" s="11">
        <v>0.434</v>
      </c>
      <c r="D15" s="10">
        <v>10623</v>
      </c>
      <c r="E15" s="11">
        <v>0.59299999999999997</v>
      </c>
      <c r="F15" s="10">
        <v>1791889</v>
      </c>
      <c r="G15" s="11">
        <v>0.66100000000000003</v>
      </c>
      <c r="H15" s="11">
        <v>0.502</v>
      </c>
      <c r="I15" s="10">
        <v>8137198240</v>
      </c>
      <c r="J15" s="12" t="s">
        <v>5596</v>
      </c>
      <c r="K15" s="10">
        <v>899865</v>
      </c>
      <c r="L15" s="12" t="s">
        <v>5597</v>
      </c>
      <c r="M15" s="10">
        <v>87136606220</v>
      </c>
      <c r="N15" s="10">
        <v>10086279</v>
      </c>
      <c r="O15" s="12">
        <v>1</v>
      </c>
    </row>
    <row r="16" spans="1:15" ht="15" customHeight="1" x14ac:dyDescent="0.3">
      <c r="A16" s="9">
        <v>43590</v>
      </c>
      <c r="B16" s="10">
        <v>2430</v>
      </c>
      <c r="C16" s="11">
        <v>0.42399999999999999</v>
      </c>
      <c r="D16" s="10">
        <v>10486</v>
      </c>
      <c r="E16" s="11">
        <v>0.58099999999999996</v>
      </c>
      <c r="F16" s="10">
        <v>1770323</v>
      </c>
      <c r="G16" s="11">
        <v>0.64800000000000002</v>
      </c>
      <c r="H16" s="11">
        <v>0.48899999999999999</v>
      </c>
      <c r="I16" s="10">
        <v>7892294930</v>
      </c>
      <c r="J16" s="12" t="s">
        <v>5598</v>
      </c>
      <c r="K16" s="10">
        <v>866036</v>
      </c>
      <c r="L16" s="12" t="s">
        <v>5599</v>
      </c>
      <c r="M16" s="10">
        <v>95028901150</v>
      </c>
      <c r="N16" s="10">
        <v>10952315</v>
      </c>
      <c r="O16" s="12">
        <v>1</v>
      </c>
    </row>
    <row r="17" spans="1:15" ht="15" customHeight="1" x14ac:dyDescent="0.3">
      <c r="A17" s="9">
        <v>43591</v>
      </c>
      <c r="B17" s="10">
        <v>2384</v>
      </c>
      <c r="C17" s="11">
        <v>0.42899999999999999</v>
      </c>
      <c r="D17" s="10">
        <v>9958</v>
      </c>
      <c r="E17" s="11">
        <v>0.57499999999999996</v>
      </c>
      <c r="F17" s="10">
        <v>1691751</v>
      </c>
      <c r="G17" s="11">
        <v>0.64600000000000002</v>
      </c>
      <c r="H17" s="11">
        <v>0.378</v>
      </c>
      <c r="I17" s="10">
        <v>5723056700</v>
      </c>
      <c r="J17" s="12" t="s">
        <v>5600</v>
      </c>
      <c r="K17" s="10">
        <v>639357</v>
      </c>
      <c r="L17" s="12" t="s">
        <v>5601</v>
      </c>
      <c r="M17" s="10">
        <v>100751957850</v>
      </c>
      <c r="N17" s="10">
        <v>11591672</v>
      </c>
      <c r="O17" s="12">
        <v>1</v>
      </c>
    </row>
    <row r="18" spans="1:15" ht="15" customHeight="1" x14ac:dyDescent="0.3">
      <c r="A18" s="9">
        <v>43592</v>
      </c>
      <c r="B18" s="10">
        <v>2320</v>
      </c>
      <c r="C18" s="11">
        <v>0.47899999999999998</v>
      </c>
      <c r="D18" s="10">
        <v>9295</v>
      </c>
      <c r="E18" s="11">
        <v>0.61299999999999999</v>
      </c>
      <c r="F18" s="10">
        <v>1573192</v>
      </c>
      <c r="G18" s="11">
        <v>0.67700000000000005</v>
      </c>
      <c r="H18" s="11">
        <v>0.104</v>
      </c>
      <c r="I18" s="10">
        <v>1450057710</v>
      </c>
      <c r="J18" s="12" t="s">
        <v>5602</v>
      </c>
      <c r="K18" s="10">
        <v>164346</v>
      </c>
      <c r="L18" s="12" t="s">
        <v>5603</v>
      </c>
      <c r="M18" s="10">
        <v>102202015560</v>
      </c>
      <c r="N18" s="10">
        <v>11756018</v>
      </c>
      <c r="O18" s="12">
        <v>1</v>
      </c>
    </row>
    <row r="19" spans="1:15" ht="15" customHeight="1" x14ac:dyDescent="0.3">
      <c r="A19" s="9">
        <v>43593</v>
      </c>
      <c r="B19" s="10">
        <v>2167</v>
      </c>
      <c r="C19" s="11">
        <v>0.47599999999999998</v>
      </c>
      <c r="D19" s="10">
        <v>8662</v>
      </c>
      <c r="E19" s="11">
        <v>0.58399999999999996</v>
      </c>
      <c r="F19" s="10">
        <v>1495810</v>
      </c>
      <c r="G19" s="11">
        <v>0.65500000000000003</v>
      </c>
      <c r="H19" s="11">
        <v>0.08</v>
      </c>
      <c r="I19" s="10">
        <v>1085222000</v>
      </c>
      <c r="J19" s="12" t="s">
        <v>5604</v>
      </c>
      <c r="K19" s="10">
        <v>120161</v>
      </c>
      <c r="L19" s="12" t="s">
        <v>5605</v>
      </c>
      <c r="M19" s="10">
        <v>103287237560</v>
      </c>
      <c r="N19" s="10">
        <v>11876179</v>
      </c>
      <c r="O19" s="12">
        <v>1</v>
      </c>
    </row>
    <row r="20" spans="1:15" ht="15" customHeight="1" x14ac:dyDescent="0.3">
      <c r="A20" s="9">
        <v>43594</v>
      </c>
      <c r="B20" s="10">
        <v>1677</v>
      </c>
      <c r="C20" s="11">
        <v>0.33</v>
      </c>
      <c r="D20" s="10">
        <v>6393</v>
      </c>
      <c r="E20" s="11">
        <v>0.38500000000000001</v>
      </c>
      <c r="F20" s="10">
        <v>1149998</v>
      </c>
      <c r="G20" s="11">
        <v>0.45400000000000001</v>
      </c>
      <c r="H20" s="11">
        <v>9.6000000000000002E-2</v>
      </c>
      <c r="I20" s="10">
        <v>975749060</v>
      </c>
      <c r="J20" s="12" t="s">
        <v>5606</v>
      </c>
      <c r="K20" s="10">
        <v>110547</v>
      </c>
      <c r="L20" s="12" t="s">
        <v>5607</v>
      </c>
      <c r="M20" s="10">
        <v>104262986620</v>
      </c>
      <c r="N20" s="10">
        <v>11986726</v>
      </c>
      <c r="O20" s="12">
        <v>1</v>
      </c>
    </row>
    <row r="21" spans="1:15" ht="15" customHeight="1" x14ac:dyDescent="0.3">
      <c r="A21" s="9">
        <v>43595</v>
      </c>
      <c r="B21" s="10">
        <v>1702</v>
      </c>
      <c r="C21" s="11">
        <v>0.33</v>
      </c>
      <c r="D21" s="10">
        <v>6562</v>
      </c>
      <c r="E21" s="11">
        <v>0.38400000000000001</v>
      </c>
      <c r="F21" s="10">
        <v>1177811</v>
      </c>
      <c r="G21" s="11">
        <v>0.45300000000000001</v>
      </c>
      <c r="H21" s="11">
        <v>0.14199999999999999</v>
      </c>
      <c r="I21" s="10">
        <v>1577040950</v>
      </c>
      <c r="J21" s="12" t="s">
        <v>5608</v>
      </c>
      <c r="K21" s="10">
        <v>167809</v>
      </c>
      <c r="L21" s="12" t="s">
        <v>5609</v>
      </c>
      <c r="M21" s="10">
        <v>105840027570</v>
      </c>
      <c r="N21" s="10">
        <v>12154535</v>
      </c>
      <c r="O21" s="12">
        <v>1</v>
      </c>
    </row>
    <row r="22" spans="1:15" ht="15" customHeight="1" x14ac:dyDescent="0.3">
      <c r="A22" s="9">
        <v>43596</v>
      </c>
      <c r="B22" s="10">
        <v>1687</v>
      </c>
      <c r="C22" s="11">
        <v>0.29299999999999998</v>
      </c>
      <c r="D22" s="10">
        <v>6557</v>
      </c>
      <c r="E22" s="11">
        <v>0.36099999999999999</v>
      </c>
      <c r="F22" s="10">
        <v>1173130</v>
      </c>
      <c r="G22" s="11">
        <v>0.42799999999999999</v>
      </c>
      <c r="H22" s="11">
        <v>0.30199999999999999</v>
      </c>
      <c r="I22" s="10">
        <v>3266295450</v>
      </c>
      <c r="J22" s="12" t="s">
        <v>5610</v>
      </c>
      <c r="K22" s="10">
        <v>354219</v>
      </c>
      <c r="L22" s="12" t="s">
        <v>5611</v>
      </c>
      <c r="M22" s="10">
        <v>109106323020</v>
      </c>
      <c r="N22" s="10">
        <v>12508754</v>
      </c>
      <c r="O22" s="12">
        <v>1</v>
      </c>
    </row>
    <row r="23" spans="1:15" ht="15" customHeight="1" x14ac:dyDescent="0.3">
      <c r="A23" s="9">
        <v>43597</v>
      </c>
      <c r="B23" s="10">
        <v>1665</v>
      </c>
      <c r="C23" s="11">
        <v>0.28999999999999998</v>
      </c>
      <c r="D23" s="10">
        <v>6308</v>
      </c>
      <c r="E23" s="11">
        <v>0.35499999999999998</v>
      </c>
      <c r="F23" s="10">
        <v>1128727</v>
      </c>
      <c r="G23" s="11">
        <v>0.42</v>
      </c>
      <c r="H23" s="11">
        <v>0.25800000000000001</v>
      </c>
      <c r="I23" s="10">
        <v>2662203710</v>
      </c>
      <c r="J23" s="12" t="s">
        <v>5612</v>
      </c>
      <c r="K23" s="10">
        <v>290778</v>
      </c>
      <c r="L23" s="12" t="s">
        <v>5613</v>
      </c>
      <c r="M23" s="10">
        <v>111768526730</v>
      </c>
      <c r="N23" s="10">
        <v>12799532</v>
      </c>
      <c r="O23" s="12">
        <v>1</v>
      </c>
    </row>
    <row r="24" spans="1:15" ht="15" customHeight="1" x14ac:dyDescent="0.3">
      <c r="A24" s="9">
        <v>43598</v>
      </c>
      <c r="B24" s="10">
        <v>1537</v>
      </c>
      <c r="C24" s="11">
        <v>0.32</v>
      </c>
      <c r="D24" s="10">
        <v>5771</v>
      </c>
      <c r="E24" s="11">
        <v>0.35699999999999998</v>
      </c>
      <c r="F24" s="10">
        <v>1045010</v>
      </c>
      <c r="G24" s="11">
        <v>0.42299999999999999</v>
      </c>
      <c r="H24" s="11">
        <v>7.9000000000000001E-2</v>
      </c>
      <c r="I24" s="10">
        <v>738237210</v>
      </c>
      <c r="J24" s="12" t="s">
        <v>5614</v>
      </c>
      <c r="K24" s="10">
        <v>82378</v>
      </c>
      <c r="L24" s="12" t="s">
        <v>5615</v>
      </c>
      <c r="M24" s="10">
        <v>112506763940</v>
      </c>
      <c r="N24" s="10">
        <v>12881910</v>
      </c>
      <c r="O24" s="12">
        <v>1</v>
      </c>
    </row>
    <row r="25" spans="1:15" ht="15" customHeight="1" x14ac:dyDescent="0.3">
      <c r="A25" s="9">
        <v>43599</v>
      </c>
      <c r="B25" s="10">
        <v>1545</v>
      </c>
      <c r="C25" s="11">
        <v>0.31</v>
      </c>
      <c r="D25" s="10">
        <v>5639</v>
      </c>
      <c r="E25" s="11">
        <v>0.34899999999999998</v>
      </c>
      <c r="F25" s="10">
        <v>1026149</v>
      </c>
      <c r="G25" s="11">
        <v>0.41699999999999998</v>
      </c>
      <c r="H25" s="11">
        <v>6.8000000000000005E-2</v>
      </c>
      <c r="I25" s="10">
        <v>623285230</v>
      </c>
      <c r="J25" s="12" t="s">
        <v>5616</v>
      </c>
      <c r="K25" s="10">
        <v>69900</v>
      </c>
      <c r="L25" s="12" t="s">
        <v>5617</v>
      </c>
      <c r="M25" s="10">
        <v>113130049170</v>
      </c>
      <c r="N25" s="10">
        <v>12951810</v>
      </c>
      <c r="O25" s="12">
        <v>2</v>
      </c>
    </row>
    <row r="26" spans="1:15" ht="15" customHeight="1" x14ac:dyDescent="0.3">
      <c r="A26" s="9">
        <v>43600</v>
      </c>
      <c r="B26" s="12">
        <v>936</v>
      </c>
      <c r="C26" s="11">
        <v>0.17699999999999999</v>
      </c>
      <c r="D26" s="10">
        <v>3056</v>
      </c>
      <c r="E26" s="11">
        <v>0.17399999999999999</v>
      </c>
      <c r="F26" s="10">
        <v>514769</v>
      </c>
      <c r="G26" s="11">
        <v>0.189</v>
      </c>
      <c r="H26" s="11">
        <v>0.121</v>
      </c>
      <c r="I26" s="10">
        <v>544258900</v>
      </c>
      <c r="J26" s="12" t="s">
        <v>5618</v>
      </c>
      <c r="K26" s="10">
        <v>62153</v>
      </c>
      <c r="L26" s="12" t="s">
        <v>5619</v>
      </c>
      <c r="M26" s="10">
        <v>113674308070</v>
      </c>
      <c r="N26" s="10">
        <v>13013963</v>
      </c>
      <c r="O26" s="12">
        <v>3</v>
      </c>
    </row>
    <row r="27" spans="1:15" ht="15" customHeight="1" x14ac:dyDescent="0.3">
      <c r="A27" s="9">
        <v>43601</v>
      </c>
      <c r="B27" s="12">
        <v>887</v>
      </c>
      <c r="C27" s="11">
        <v>0.156</v>
      </c>
      <c r="D27" s="10">
        <v>2841</v>
      </c>
      <c r="E27" s="11">
        <v>0.16300000000000001</v>
      </c>
      <c r="F27" s="10">
        <v>484961</v>
      </c>
      <c r="G27" s="11">
        <v>0.17799999999999999</v>
      </c>
      <c r="H27" s="11">
        <v>0.105</v>
      </c>
      <c r="I27" s="10">
        <v>460077350</v>
      </c>
      <c r="J27" s="12" t="s">
        <v>5620</v>
      </c>
      <c r="K27" s="10">
        <v>50837</v>
      </c>
      <c r="L27" s="12" t="s">
        <v>5621</v>
      </c>
      <c r="M27" s="10">
        <v>114134385420</v>
      </c>
      <c r="N27" s="10">
        <v>13064800</v>
      </c>
      <c r="O27" s="12">
        <v>2</v>
      </c>
    </row>
    <row r="28" spans="1:15" ht="15" customHeight="1" x14ac:dyDescent="0.3">
      <c r="A28" s="9">
        <v>43602</v>
      </c>
      <c r="B28" s="12">
        <v>891</v>
      </c>
      <c r="C28" s="11">
        <v>0.154</v>
      </c>
      <c r="D28" s="10">
        <v>2894</v>
      </c>
      <c r="E28" s="11">
        <v>0.159</v>
      </c>
      <c r="F28" s="10">
        <v>487694</v>
      </c>
      <c r="G28" s="11">
        <v>0.17199999999999999</v>
      </c>
      <c r="H28" s="11">
        <v>0.15</v>
      </c>
      <c r="I28" s="10">
        <v>709870250</v>
      </c>
      <c r="J28" s="12" t="s">
        <v>5622</v>
      </c>
      <c r="K28" s="10">
        <v>73269</v>
      </c>
      <c r="L28" s="12" t="s">
        <v>5623</v>
      </c>
      <c r="M28" s="10">
        <v>114844255670</v>
      </c>
      <c r="N28" s="10">
        <v>13138069</v>
      </c>
      <c r="O28" s="12">
        <v>2</v>
      </c>
    </row>
    <row r="29" spans="1:15" ht="15" customHeight="1" x14ac:dyDescent="0.3">
      <c r="A29" s="9">
        <v>43603</v>
      </c>
      <c r="B29" s="12">
        <v>958</v>
      </c>
      <c r="C29" s="11">
        <v>0.14899999999999999</v>
      </c>
      <c r="D29" s="10">
        <v>3024</v>
      </c>
      <c r="E29" s="11">
        <v>0.156</v>
      </c>
      <c r="F29" s="10">
        <v>491873</v>
      </c>
      <c r="G29" s="11">
        <v>0.16400000000000001</v>
      </c>
      <c r="H29" s="11">
        <v>0.34499999999999997</v>
      </c>
      <c r="I29" s="10">
        <v>1600761920</v>
      </c>
      <c r="J29" s="12" t="s">
        <v>5624</v>
      </c>
      <c r="K29" s="10">
        <v>169574</v>
      </c>
      <c r="L29" s="12" t="s">
        <v>5625</v>
      </c>
      <c r="M29" s="10">
        <v>116445017590</v>
      </c>
      <c r="N29" s="10">
        <v>13307643</v>
      </c>
      <c r="O29" s="12">
        <v>2</v>
      </c>
    </row>
    <row r="30" spans="1:15" ht="15" customHeight="1" x14ac:dyDescent="0.3">
      <c r="A30" s="9">
        <v>43604</v>
      </c>
      <c r="B30" s="12">
        <v>956</v>
      </c>
      <c r="C30" s="11">
        <v>0.15</v>
      </c>
      <c r="D30" s="10">
        <v>2971</v>
      </c>
      <c r="E30" s="11">
        <v>0.157</v>
      </c>
      <c r="F30" s="10">
        <v>485140</v>
      </c>
      <c r="G30" s="11">
        <v>0.16600000000000001</v>
      </c>
      <c r="H30" s="11">
        <v>0.30099999999999999</v>
      </c>
      <c r="I30" s="10">
        <v>1360038530</v>
      </c>
      <c r="J30" s="12" t="s">
        <v>5626</v>
      </c>
      <c r="K30" s="10">
        <v>145997</v>
      </c>
      <c r="L30" s="12" t="s">
        <v>5627</v>
      </c>
      <c r="M30" s="10">
        <v>117805056120</v>
      </c>
      <c r="N30" s="10">
        <v>13453640</v>
      </c>
      <c r="O30" s="12">
        <v>2</v>
      </c>
    </row>
    <row r="31" spans="1:15" ht="15" customHeight="1" x14ac:dyDescent="0.3">
      <c r="A31" s="9">
        <v>43605</v>
      </c>
      <c r="B31" s="12">
        <v>845</v>
      </c>
      <c r="C31" s="11">
        <v>0.154</v>
      </c>
      <c r="D31" s="10">
        <v>2668</v>
      </c>
      <c r="E31" s="11">
        <v>0.153</v>
      </c>
      <c r="F31" s="10">
        <v>446387</v>
      </c>
      <c r="G31" s="11">
        <v>0.16400000000000001</v>
      </c>
      <c r="H31" s="11">
        <v>9.2999999999999999E-2</v>
      </c>
      <c r="I31" s="10">
        <v>374520120</v>
      </c>
      <c r="J31" s="12" t="s">
        <v>5628</v>
      </c>
      <c r="K31" s="10">
        <v>41642</v>
      </c>
      <c r="L31" s="12" t="s">
        <v>5629</v>
      </c>
      <c r="M31" s="10">
        <v>118179576240</v>
      </c>
      <c r="N31" s="10">
        <v>13495282</v>
      </c>
      <c r="O31" s="12">
        <v>2</v>
      </c>
    </row>
    <row r="32" spans="1:15" ht="15" customHeight="1" x14ac:dyDescent="0.3">
      <c r="A32" s="9">
        <v>43606</v>
      </c>
      <c r="B32" s="12">
        <v>854</v>
      </c>
      <c r="C32" s="11">
        <v>0.155</v>
      </c>
      <c r="D32" s="10">
        <v>2644</v>
      </c>
      <c r="E32" s="11">
        <v>0.153</v>
      </c>
      <c r="F32" s="10">
        <v>444752</v>
      </c>
      <c r="G32" s="11">
        <v>0.16400000000000001</v>
      </c>
      <c r="H32" s="11">
        <v>8.1000000000000003E-2</v>
      </c>
      <c r="I32" s="10">
        <v>328284600</v>
      </c>
      <c r="J32" s="12" t="s">
        <v>5630</v>
      </c>
      <c r="K32" s="10">
        <v>36047</v>
      </c>
      <c r="L32" s="12" t="s">
        <v>5631</v>
      </c>
      <c r="M32" s="10">
        <v>118507860840</v>
      </c>
      <c r="N32" s="10">
        <v>13531329</v>
      </c>
      <c r="O32" s="12">
        <v>3</v>
      </c>
    </row>
    <row r="33" spans="1:15" ht="15" customHeight="1" x14ac:dyDescent="0.3">
      <c r="A33" s="9">
        <v>43607</v>
      </c>
      <c r="B33" s="12">
        <v>698</v>
      </c>
      <c r="C33" s="11">
        <v>0.13600000000000001</v>
      </c>
      <c r="D33" s="10">
        <v>2205</v>
      </c>
      <c r="E33" s="11">
        <v>0.125</v>
      </c>
      <c r="F33" s="10">
        <v>372635</v>
      </c>
      <c r="G33" s="11">
        <v>0.13500000000000001</v>
      </c>
      <c r="H33" s="11">
        <v>9.5000000000000001E-2</v>
      </c>
      <c r="I33" s="10">
        <v>330876580</v>
      </c>
      <c r="J33" s="12" t="s">
        <v>5632</v>
      </c>
      <c r="K33" s="10">
        <v>35466</v>
      </c>
      <c r="L33" s="12" t="s">
        <v>5633</v>
      </c>
      <c r="M33" s="10">
        <v>118838737420</v>
      </c>
      <c r="N33" s="10">
        <v>13566795</v>
      </c>
      <c r="O33" s="12">
        <v>3</v>
      </c>
    </row>
    <row r="34" spans="1:15" ht="15" customHeight="1" x14ac:dyDescent="0.3">
      <c r="A34" s="9">
        <v>43608</v>
      </c>
      <c r="B34" s="12">
        <v>519</v>
      </c>
      <c r="C34" s="11">
        <v>8.8999999999999996E-2</v>
      </c>
      <c r="D34" s="10">
        <v>1103</v>
      </c>
      <c r="E34" s="11">
        <v>6.0999999999999999E-2</v>
      </c>
      <c r="F34" s="10">
        <v>160936</v>
      </c>
      <c r="G34" s="11">
        <v>5.7000000000000002E-2</v>
      </c>
      <c r="H34" s="11">
        <v>0.13900000000000001</v>
      </c>
      <c r="I34" s="10">
        <v>205602340</v>
      </c>
      <c r="J34" s="12" t="s">
        <v>5634</v>
      </c>
      <c r="K34" s="10">
        <v>22425</v>
      </c>
      <c r="L34" s="12" t="s">
        <v>5635</v>
      </c>
      <c r="M34" s="10">
        <v>119044339760</v>
      </c>
      <c r="N34" s="10">
        <v>13589220</v>
      </c>
      <c r="O34" s="12">
        <v>4</v>
      </c>
    </row>
    <row r="35" spans="1:15" ht="15" customHeight="1" x14ac:dyDescent="0.3">
      <c r="A35" s="9">
        <v>43609</v>
      </c>
      <c r="B35" s="12">
        <v>543</v>
      </c>
      <c r="C35" s="11">
        <v>0.09</v>
      </c>
      <c r="D35" s="10">
        <v>1185</v>
      </c>
      <c r="E35" s="11">
        <v>6.4000000000000001E-2</v>
      </c>
      <c r="F35" s="10">
        <v>168807</v>
      </c>
      <c r="G35" s="11">
        <v>5.8000000000000003E-2</v>
      </c>
      <c r="H35" s="11">
        <v>0.185</v>
      </c>
      <c r="I35" s="10">
        <v>309539180</v>
      </c>
      <c r="J35" s="12" t="s">
        <v>5636</v>
      </c>
      <c r="K35" s="10">
        <v>31296</v>
      </c>
      <c r="L35" s="12" t="s">
        <v>5637</v>
      </c>
      <c r="M35" s="10">
        <v>119353878940</v>
      </c>
      <c r="N35" s="10">
        <v>13620516</v>
      </c>
      <c r="O35" s="12">
        <v>4</v>
      </c>
    </row>
    <row r="36" spans="1:15" ht="15" customHeight="1" x14ac:dyDescent="0.3">
      <c r="A36" s="9">
        <v>43610</v>
      </c>
      <c r="B36" s="12">
        <v>615</v>
      </c>
      <c r="C36" s="11">
        <v>9.4E-2</v>
      </c>
      <c r="D36" s="10">
        <v>1328</v>
      </c>
      <c r="E36" s="11">
        <v>6.8000000000000005E-2</v>
      </c>
      <c r="F36" s="10">
        <v>184187</v>
      </c>
      <c r="G36" s="11">
        <v>6.0999999999999999E-2</v>
      </c>
      <c r="H36" s="11">
        <v>0.377</v>
      </c>
      <c r="I36" s="10">
        <v>651381840</v>
      </c>
      <c r="J36" s="12" t="s">
        <v>5638</v>
      </c>
      <c r="K36" s="10">
        <v>69510</v>
      </c>
      <c r="L36" s="12" t="s">
        <v>5639</v>
      </c>
      <c r="M36" s="10">
        <v>120005260780</v>
      </c>
      <c r="N36" s="10">
        <v>13690026</v>
      </c>
      <c r="O36" s="12">
        <v>3</v>
      </c>
    </row>
    <row r="37" spans="1:15" ht="15" customHeight="1" x14ac:dyDescent="0.3">
      <c r="A37" s="9">
        <v>43611</v>
      </c>
      <c r="B37" s="12">
        <v>604</v>
      </c>
      <c r="C37" s="11">
        <v>9.1999999999999998E-2</v>
      </c>
      <c r="D37" s="10">
        <v>1278</v>
      </c>
      <c r="E37" s="11">
        <v>6.7000000000000004E-2</v>
      </c>
      <c r="F37" s="10">
        <v>175677</v>
      </c>
      <c r="G37" s="11">
        <v>5.8999999999999997E-2</v>
      </c>
      <c r="H37" s="11">
        <v>0.33600000000000002</v>
      </c>
      <c r="I37" s="10">
        <v>542835530</v>
      </c>
      <c r="J37" s="12" t="s">
        <v>5640</v>
      </c>
      <c r="K37" s="10">
        <v>58990</v>
      </c>
      <c r="L37" s="12" t="s">
        <v>5641</v>
      </c>
      <c r="M37" s="10">
        <v>120548096310</v>
      </c>
      <c r="N37" s="10">
        <v>13749016</v>
      </c>
      <c r="O37" s="12">
        <v>4</v>
      </c>
    </row>
    <row r="38" spans="1:15" ht="15" customHeight="1" x14ac:dyDescent="0.3">
      <c r="A38" s="9">
        <v>43612</v>
      </c>
      <c r="B38" s="12">
        <v>553</v>
      </c>
      <c r="C38" s="11">
        <v>9.7000000000000003E-2</v>
      </c>
      <c r="D38" s="10">
        <v>1227</v>
      </c>
      <c r="E38" s="11">
        <v>6.9000000000000006E-2</v>
      </c>
      <c r="F38" s="10">
        <v>173784</v>
      </c>
      <c r="G38" s="11">
        <v>6.3E-2</v>
      </c>
      <c r="H38" s="11">
        <v>0.126</v>
      </c>
      <c r="I38" s="10">
        <v>201585780</v>
      </c>
      <c r="J38" s="12" t="s">
        <v>5642</v>
      </c>
      <c r="K38" s="10">
        <v>21943</v>
      </c>
      <c r="L38" s="12" t="s">
        <v>5643</v>
      </c>
      <c r="M38" s="10">
        <v>120749682090</v>
      </c>
      <c r="N38" s="10">
        <v>13770959</v>
      </c>
      <c r="O38" s="12">
        <v>3</v>
      </c>
    </row>
    <row r="39" spans="1:15" ht="15" customHeight="1" x14ac:dyDescent="0.3">
      <c r="A39" s="9">
        <v>43613</v>
      </c>
      <c r="B39" s="12">
        <v>557</v>
      </c>
      <c r="C39" s="11">
        <v>9.4E-2</v>
      </c>
      <c r="D39" s="10">
        <v>1205</v>
      </c>
      <c r="E39" s="11">
        <v>6.8000000000000005E-2</v>
      </c>
      <c r="F39" s="10">
        <v>169929</v>
      </c>
      <c r="G39" s="11">
        <v>6.2E-2</v>
      </c>
      <c r="H39" s="11">
        <v>0.111</v>
      </c>
      <c r="I39" s="10">
        <v>165592030</v>
      </c>
      <c r="J39" s="12" t="s">
        <v>5644</v>
      </c>
      <c r="K39" s="10">
        <v>18890</v>
      </c>
      <c r="L39" s="12" t="s">
        <v>5645</v>
      </c>
      <c r="M39" s="10">
        <v>120915274120</v>
      </c>
      <c r="N39" s="10">
        <v>13789849</v>
      </c>
      <c r="O39" s="12">
        <v>3</v>
      </c>
    </row>
    <row r="40" spans="1:15" ht="15" customHeight="1" x14ac:dyDescent="0.3">
      <c r="A40" s="9">
        <v>43614</v>
      </c>
      <c r="B40" s="12">
        <v>309</v>
      </c>
      <c r="C40" s="11">
        <v>5.2999999999999999E-2</v>
      </c>
      <c r="D40" s="12">
        <v>525</v>
      </c>
      <c r="E40" s="11">
        <v>2.9000000000000001E-2</v>
      </c>
      <c r="F40" s="10">
        <v>65864</v>
      </c>
      <c r="G40" s="11">
        <v>2.4E-2</v>
      </c>
      <c r="H40" s="11">
        <v>0.23300000000000001</v>
      </c>
      <c r="I40" s="10">
        <v>97807010</v>
      </c>
      <c r="J40" s="12" t="s">
        <v>5646</v>
      </c>
      <c r="K40" s="10">
        <v>15369</v>
      </c>
      <c r="L40" s="12" t="s">
        <v>5647</v>
      </c>
      <c r="M40" s="10">
        <v>121013081130</v>
      </c>
      <c r="N40" s="10">
        <v>13805218</v>
      </c>
      <c r="O40" s="12">
        <v>6</v>
      </c>
    </row>
    <row r="41" spans="1:15" ht="15" customHeight="1" x14ac:dyDescent="0.3">
      <c r="A41" s="9">
        <v>43615</v>
      </c>
      <c r="B41" s="12">
        <v>175</v>
      </c>
      <c r="C41" s="11">
        <v>3.1E-2</v>
      </c>
      <c r="D41" s="12">
        <v>231</v>
      </c>
      <c r="E41" s="11">
        <v>1.2999999999999999E-2</v>
      </c>
      <c r="F41" s="10">
        <v>28941</v>
      </c>
      <c r="G41" s="11">
        <v>0.01</v>
      </c>
      <c r="H41" s="11">
        <v>0.188</v>
      </c>
      <c r="I41" s="10">
        <v>44288450</v>
      </c>
      <c r="J41" s="12" t="s">
        <v>5648</v>
      </c>
      <c r="K41" s="10">
        <v>5452</v>
      </c>
      <c r="L41" s="12" t="s">
        <v>5649</v>
      </c>
      <c r="M41" s="10">
        <v>121057369580</v>
      </c>
      <c r="N41" s="10">
        <v>13810670</v>
      </c>
      <c r="O41" s="12">
        <v>6</v>
      </c>
    </row>
    <row r="42" spans="1:15" ht="15" customHeight="1" x14ac:dyDescent="0.3">
      <c r="A42" s="9">
        <v>43616</v>
      </c>
      <c r="B42" s="12">
        <v>173</v>
      </c>
      <c r="C42" s="11">
        <v>3.1E-2</v>
      </c>
      <c r="D42" s="12">
        <v>231</v>
      </c>
      <c r="E42" s="11">
        <v>1.2999999999999999E-2</v>
      </c>
      <c r="F42" s="10">
        <v>27828</v>
      </c>
      <c r="G42" s="11">
        <v>0.01</v>
      </c>
      <c r="H42" s="11">
        <v>0.29499999999999998</v>
      </c>
      <c r="I42" s="10">
        <v>73063280</v>
      </c>
      <c r="J42" s="12" t="s">
        <v>5650</v>
      </c>
      <c r="K42" s="10">
        <v>8196</v>
      </c>
      <c r="L42" s="12" t="s">
        <v>5651</v>
      </c>
      <c r="M42" s="10">
        <v>121130432860</v>
      </c>
      <c r="N42" s="10">
        <v>13818866</v>
      </c>
      <c r="O42" s="12">
        <v>6</v>
      </c>
    </row>
    <row r="43" spans="1:15" ht="15" customHeight="1" x14ac:dyDescent="0.3">
      <c r="A43" s="9">
        <v>43617</v>
      </c>
      <c r="B43" s="12">
        <v>158</v>
      </c>
      <c r="C43" s="11">
        <v>2.7E-2</v>
      </c>
      <c r="D43" s="12">
        <v>207</v>
      </c>
      <c r="E43" s="11">
        <v>1.0999999999999999E-2</v>
      </c>
      <c r="F43" s="10">
        <v>23921</v>
      </c>
      <c r="G43" s="11">
        <v>8.0000000000000002E-3</v>
      </c>
      <c r="H43" s="11">
        <v>0.54600000000000004</v>
      </c>
      <c r="I43" s="10">
        <v>114133860</v>
      </c>
      <c r="J43" s="12" t="s">
        <v>5652</v>
      </c>
      <c r="K43" s="10">
        <v>13071</v>
      </c>
      <c r="L43" s="12" t="s">
        <v>5653</v>
      </c>
      <c r="M43" s="10">
        <v>121244566720</v>
      </c>
      <c r="N43" s="10">
        <v>13831937</v>
      </c>
      <c r="O43" s="12">
        <v>6</v>
      </c>
    </row>
    <row r="44" spans="1:15" ht="15" customHeight="1" x14ac:dyDescent="0.3">
      <c r="A44" s="9">
        <v>43618</v>
      </c>
      <c r="B44" s="12">
        <v>155</v>
      </c>
      <c r="C44" s="11">
        <v>2.7E-2</v>
      </c>
      <c r="D44" s="12">
        <v>208</v>
      </c>
      <c r="E44" s="11">
        <v>1.0999999999999999E-2</v>
      </c>
      <c r="F44" s="10">
        <v>24096</v>
      </c>
      <c r="G44" s="11">
        <v>8.0000000000000002E-3</v>
      </c>
      <c r="H44" s="11">
        <v>0.497</v>
      </c>
      <c r="I44" s="10">
        <v>103358010</v>
      </c>
      <c r="J44" s="12" t="s">
        <v>5654</v>
      </c>
      <c r="K44" s="10">
        <v>11972</v>
      </c>
      <c r="L44" s="12" t="s">
        <v>5655</v>
      </c>
      <c r="M44" s="10">
        <v>121347924730</v>
      </c>
      <c r="N44" s="10">
        <v>13843909</v>
      </c>
      <c r="O44" s="12">
        <v>6</v>
      </c>
    </row>
    <row r="45" spans="1:15" ht="15" customHeight="1" x14ac:dyDescent="0.3">
      <c r="A45" s="9">
        <v>43619</v>
      </c>
      <c r="B45" s="12">
        <v>168</v>
      </c>
      <c r="C45" s="11">
        <v>3.2000000000000001E-2</v>
      </c>
      <c r="D45" s="12">
        <v>237</v>
      </c>
      <c r="E45" s="11">
        <v>1.4E-2</v>
      </c>
      <c r="F45" s="10">
        <v>28234</v>
      </c>
      <c r="G45" s="11">
        <v>0.01</v>
      </c>
      <c r="H45" s="11">
        <v>0.17899999999999999</v>
      </c>
      <c r="I45" s="10">
        <v>40915800</v>
      </c>
      <c r="J45" s="12" t="s">
        <v>5656</v>
      </c>
      <c r="K45" s="10">
        <v>5067</v>
      </c>
      <c r="L45" s="12" t="s">
        <v>5657</v>
      </c>
      <c r="M45" s="10">
        <v>121388840530</v>
      </c>
      <c r="N45" s="10">
        <v>13848976</v>
      </c>
      <c r="O45" s="12">
        <v>6</v>
      </c>
    </row>
    <row r="46" spans="1:15" ht="15" customHeight="1" x14ac:dyDescent="0.3">
      <c r="A46" s="9">
        <v>43620</v>
      </c>
      <c r="B46" s="12">
        <v>172</v>
      </c>
      <c r="C46" s="11">
        <v>3.2000000000000001E-2</v>
      </c>
      <c r="D46" s="12">
        <v>238</v>
      </c>
      <c r="E46" s="11">
        <v>1.4E-2</v>
      </c>
      <c r="F46" s="10">
        <v>29354</v>
      </c>
      <c r="G46" s="11">
        <v>1.0999999999999999E-2</v>
      </c>
      <c r="H46" s="11">
        <v>0.17299999999999999</v>
      </c>
      <c r="I46" s="10">
        <v>41178960</v>
      </c>
      <c r="J46" s="12" t="s">
        <v>5658</v>
      </c>
      <c r="K46" s="10">
        <v>5092</v>
      </c>
      <c r="L46" s="12" t="s">
        <v>5659</v>
      </c>
      <c r="M46" s="10">
        <v>121430019490</v>
      </c>
      <c r="N46" s="10">
        <v>13854068</v>
      </c>
      <c r="O46" s="12">
        <v>6</v>
      </c>
    </row>
    <row r="47" spans="1:15" ht="15" customHeight="1" x14ac:dyDescent="0.3">
      <c r="A47" s="9">
        <v>43621</v>
      </c>
      <c r="B47" s="12">
        <v>74</v>
      </c>
      <c r="C47" s="11">
        <v>1.2999999999999999E-2</v>
      </c>
      <c r="D47" s="12">
        <v>98</v>
      </c>
      <c r="E47" s="11">
        <v>5.0000000000000001E-3</v>
      </c>
      <c r="F47" s="10">
        <v>12002</v>
      </c>
      <c r="G47" s="11">
        <v>4.0000000000000001E-3</v>
      </c>
      <c r="H47" s="11">
        <v>0.24099999999999999</v>
      </c>
      <c r="I47" s="10">
        <v>23517850</v>
      </c>
      <c r="J47" s="12" t="s">
        <v>5660</v>
      </c>
      <c r="K47" s="10">
        <v>2888</v>
      </c>
      <c r="L47" s="12" t="s">
        <v>5661</v>
      </c>
      <c r="M47" s="10">
        <v>121453537340</v>
      </c>
      <c r="N47" s="10">
        <v>13856956</v>
      </c>
      <c r="O47" s="12">
        <v>7</v>
      </c>
    </row>
    <row r="48" spans="1:15" ht="15" customHeight="1" x14ac:dyDescent="0.3">
      <c r="A48" s="9">
        <v>43622</v>
      </c>
      <c r="B48" s="12">
        <v>53</v>
      </c>
      <c r="C48" s="11">
        <v>8.9999999999999993E-3</v>
      </c>
      <c r="D48" s="12">
        <v>70</v>
      </c>
      <c r="E48" s="11">
        <v>4.0000000000000001E-3</v>
      </c>
      <c r="F48" s="10">
        <v>7737</v>
      </c>
      <c r="G48" s="11">
        <v>3.0000000000000001E-3</v>
      </c>
      <c r="H48" s="11">
        <v>0.67800000000000005</v>
      </c>
      <c r="I48" s="10">
        <v>45311150</v>
      </c>
      <c r="J48" s="12" t="s">
        <v>5662</v>
      </c>
      <c r="K48" s="10">
        <v>5247</v>
      </c>
      <c r="L48" s="12" t="s">
        <v>5663</v>
      </c>
      <c r="M48" s="10">
        <v>121498848490</v>
      </c>
      <c r="N48" s="10">
        <v>13862203</v>
      </c>
      <c r="O48" s="12">
        <v>9</v>
      </c>
    </row>
    <row r="49" spans="1:15" ht="15" customHeight="1" x14ac:dyDescent="0.3">
      <c r="A49" s="9">
        <v>43623</v>
      </c>
      <c r="B49" s="12">
        <v>52</v>
      </c>
      <c r="C49" s="11">
        <v>8.9999999999999993E-3</v>
      </c>
      <c r="D49" s="12">
        <v>74</v>
      </c>
      <c r="E49" s="11">
        <v>4.0000000000000001E-3</v>
      </c>
      <c r="F49" s="10">
        <v>7928</v>
      </c>
      <c r="G49" s="11">
        <v>3.0000000000000001E-3</v>
      </c>
      <c r="H49" s="11">
        <v>0.52200000000000002</v>
      </c>
      <c r="I49" s="10">
        <v>35741130</v>
      </c>
      <c r="J49" s="12" t="s">
        <v>5664</v>
      </c>
      <c r="K49" s="10">
        <v>4137</v>
      </c>
      <c r="L49" s="12" t="s">
        <v>5665</v>
      </c>
      <c r="M49" s="10">
        <v>121534589620</v>
      </c>
      <c r="N49" s="10">
        <v>13866340</v>
      </c>
      <c r="O49" s="12">
        <v>9</v>
      </c>
    </row>
    <row r="50" spans="1:15" ht="15" customHeight="1" x14ac:dyDescent="0.3">
      <c r="A50" s="9">
        <v>43624</v>
      </c>
      <c r="B50" s="12">
        <v>59</v>
      </c>
      <c r="C50" s="11">
        <v>0.01</v>
      </c>
      <c r="D50" s="12">
        <v>80</v>
      </c>
      <c r="E50" s="11">
        <v>4.0000000000000001E-3</v>
      </c>
      <c r="F50" s="10">
        <v>9112</v>
      </c>
      <c r="G50" s="11">
        <v>3.0000000000000001E-3</v>
      </c>
      <c r="H50" s="11">
        <v>0.54600000000000004</v>
      </c>
      <c r="I50" s="10">
        <v>43765040</v>
      </c>
      <c r="J50" s="12" t="s">
        <v>5666</v>
      </c>
      <c r="K50" s="10">
        <v>4979</v>
      </c>
      <c r="L50" s="12" t="s">
        <v>5667</v>
      </c>
      <c r="M50" s="10">
        <v>121578354660</v>
      </c>
      <c r="N50" s="10">
        <v>13871319</v>
      </c>
      <c r="O50" s="12">
        <v>9</v>
      </c>
    </row>
    <row r="51" spans="1:15" ht="15" customHeight="1" x14ac:dyDescent="0.3">
      <c r="A51" s="9">
        <v>43625</v>
      </c>
      <c r="B51" s="12">
        <v>57</v>
      </c>
      <c r="C51" s="11">
        <v>0.01</v>
      </c>
      <c r="D51" s="12">
        <v>79</v>
      </c>
      <c r="E51" s="11">
        <v>4.0000000000000001E-3</v>
      </c>
      <c r="F51" s="10">
        <v>8938</v>
      </c>
      <c r="G51" s="11">
        <v>3.0000000000000001E-3</v>
      </c>
      <c r="H51" s="11">
        <v>0.44900000000000001</v>
      </c>
      <c r="I51" s="10">
        <v>35305710</v>
      </c>
      <c r="J51" s="12" t="s">
        <v>5668</v>
      </c>
      <c r="K51" s="10">
        <v>4011</v>
      </c>
      <c r="L51" s="12" t="s">
        <v>5669</v>
      </c>
      <c r="M51" s="10">
        <v>121613660370</v>
      </c>
      <c r="N51" s="10">
        <v>13875330</v>
      </c>
      <c r="O51" s="12">
        <v>8</v>
      </c>
    </row>
    <row r="52" spans="1:15" ht="15" customHeight="1" x14ac:dyDescent="0.3">
      <c r="A52" s="9">
        <v>43626</v>
      </c>
      <c r="B52" s="12">
        <v>69</v>
      </c>
      <c r="C52" s="11">
        <v>1.4E-2</v>
      </c>
      <c r="D52" s="12">
        <v>93</v>
      </c>
      <c r="E52" s="11">
        <v>5.0000000000000001E-3</v>
      </c>
      <c r="F52" s="10">
        <v>11008</v>
      </c>
      <c r="G52" s="11">
        <v>4.0000000000000001E-3</v>
      </c>
      <c r="H52" s="11">
        <v>0.17599999999999999</v>
      </c>
      <c r="I52" s="10">
        <v>15707520</v>
      </c>
      <c r="J52" s="12" t="s">
        <v>5670</v>
      </c>
      <c r="K52" s="10">
        <v>1932</v>
      </c>
      <c r="L52" s="12" t="s">
        <v>5671</v>
      </c>
      <c r="M52" s="10">
        <v>121629367890</v>
      </c>
      <c r="N52" s="10">
        <v>13877262</v>
      </c>
      <c r="O52" s="12">
        <v>7</v>
      </c>
    </row>
    <row r="53" spans="1:15" ht="15" customHeight="1" x14ac:dyDescent="0.3">
      <c r="A53" s="9">
        <v>43627</v>
      </c>
      <c r="B53" s="12">
        <v>66</v>
      </c>
      <c r="C53" s="11">
        <v>1.2999999999999999E-2</v>
      </c>
      <c r="D53" s="12">
        <v>90</v>
      </c>
      <c r="E53" s="11">
        <v>5.0000000000000001E-3</v>
      </c>
      <c r="F53" s="10">
        <v>10402</v>
      </c>
      <c r="G53" s="11">
        <v>4.0000000000000001E-3</v>
      </c>
      <c r="H53" s="11">
        <v>0.154</v>
      </c>
      <c r="I53" s="10">
        <v>13224830</v>
      </c>
      <c r="J53" s="12" t="s">
        <v>5672</v>
      </c>
      <c r="K53" s="10">
        <v>1607</v>
      </c>
      <c r="L53" s="12" t="s">
        <v>5673</v>
      </c>
      <c r="M53" s="10">
        <v>121642592720</v>
      </c>
      <c r="N53" s="10">
        <v>13878869</v>
      </c>
      <c r="O53" s="12">
        <v>8</v>
      </c>
    </row>
    <row r="54" spans="1:15" ht="15" customHeight="1" x14ac:dyDescent="0.3">
      <c r="A54" s="9">
        <v>43628</v>
      </c>
      <c r="B54" s="12">
        <v>53</v>
      </c>
      <c r="C54" s="11">
        <v>1.0999999999999999E-2</v>
      </c>
      <c r="D54" s="12">
        <v>80</v>
      </c>
      <c r="E54" s="11">
        <v>4.0000000000000001E-3</v>
      </c>
      <c r="F54" s="10">
        <v>8791</v>
      </c>
      <c r="G54" s="11">
        <v>3.0000000000000001E-3</v>
      </c>
      <c r="H54" s="11">
        <v>0.13300000000000001</v>
      </c>
      <c r="I54" s="10">
        <v>9575010</v>
      </c>
      <c r="J54" s="12" t="s">
        <v>5674</v>
      </c>
      <c r="K54" s="10">
        <v>1168</v>
      </c>
      <c r="L54" s="12" t="s">
        <v>5675</v>
      </c>
      <c r="M54" s="10">
        <v>121652167730</v>
      </c>
      <c r="N54" s="10">
        <v>13880037</v>
      </c>
      <c r="O54" s="12">
        <v>8</v>
      </c>
    </row>
    <row r="55" spans="1:15" ht="15" customHeight="1" x14ac:dyDescent="0.3">
      <c r="A55" s="9">
        <v>43629</v>
      </c>
      <c r="B55" s="12">
        <v>57</v>
      </c>
      <c r="C55" s="11">
        <v>1.0999999999999999E-2</v>
      </c>
      <c r="D55" s="12">
        <v>80</v>
      </c>
      <c r="E55" s="11">
        <v>4.0000000000000001E-3</v>
      </c>
      <c r="F55" s="10">
        <v>9242</v>
      </c>
      <c r="G55" s="11">
        <v>3.0000000000000001E-3</v>
      </c>
      <c r="H55" s="11">
        <v>0.129</v>
      </c>
      <c r="I55" s="10">
        <v>9875280</v>
      </c>
      <c r="J55" s="12" t="s">
        <v>5676</v>
      </c>
      <c r="K55" s="10">
        <v>1189</v>
      </c>
      <c r="L55" s="12" t="s">
        <v>5677</v>
      </c>
      <c r="M55" s="10">
        <v>121662043010</v>
      </c>
      <c r="N55" s="10">
        <v>13881226</v>
      </c>
      <c r="O55" s="12">
        <v>12</v>
      </c>
    </row>
    <row r="56" spans="1:15" ht="15" customHeight="1" x14ac:dyDescent="0.3">
      <c r="A56" s="9">
        <v>43630</v>
      </c>
      <c r="B56" s="12">
        <v>55</v>
      </c>
      <c r="C56" s="11">
        <v>0.01</v>
      </c>
      <c r="D56" s="12">
        <v>81</v>
      </c>
      <c r="E56" s="11">
        <v>4.0000000000000001E-3</v>
      </c>
      <c r="F56" s="10">
        <v>9570</v>
      </c>
      <c r="G56" s="11">
        <v>3.0000000000000001E-3</v>
      </c>
      <c r="H56" s="11">
        <v>0.16900000000000001</v>
      </c>
      <c r="I56" s="10">
        <v>14648350</v>
      </c>
      <c r="J56" s="12" t="s">
        <v>5678</v>
      </c>
      <c r="K56" s="10">
        <v>1617</v>
      </c>
      <c r="L56" s="12" t="s">
        <v>5679</v>
      </c>
      <c r="M56" s="10">
        <v>121676691360</v>
      </c>
      <c r="N56" s="10">
        <v>13882843</v>
      </c>
      <c r="O56" s="12">
        <v>10</v>
      </c>
    </row>
    <row r="57" spans="1:15" ht="15" customHeight="1" x14ac:dyDescent="0.3">
      <c r="A57" s="9">
        <v>43631</v>
      </c>
      <c r="B57" s="12">
        <v>54</v>
      </c>
      <c r="C57" s="11">
        <v>8.9999999999999993E-3</v>
      </c>
      <c r="D57" s="12">
        <v>78</v>
      </c>
      <c r="E57" s="11">
        <v>4.0000000000000001E-3</v>
      </c>
      <c r="F57" s="10">
        <v>9186</v>
      </c>
      <c r="G57" s="11">
        <v>3.0000000000000001E-3</v>
      </c>
      <c r="H57" s="11">
        <v>0.29099999999999998</v>
      </c>
      <c r="I57" s="10">
        <v>23968430</v>
      </c>
      <c r="J57" s="12" t="s">
        <v>5680</v>
      </c>
      <c r="K57" s="10">
        <v>2670</v>
      </c>
      <c r="L57" s="12" t="s">
        <v>5681</v>
      </c>
      <c r="M57" s="10">
        <v>121700659790</v>
      </c>
      <c r="N57" s="10">
        <v>13885513</v>
      </c>
      <c r="O57" s="12">
        <v>10</v>
      </c>
    </row>
    <row r="58" spans="1:15" ht="15" customHeight="1" x14ac:dyDescent="0.3">
      <c r="A58" s="9">
        <v>43632</v>
      </c>
      <c r="B58" s="12">
        <v>55</v>
      </c>
      <c r="C58" s="11">
        <v>8.9999999999999993E-3</v>
      </c>
      <c r="D58" s="12">
        <v>76</v>
      </c>
      <c r="E58" s="11">
        <v>4.0000000000000001E-3</v>
      </c>
      <c r="F58" s="10">
        <v>8905</v>
      </c>
      <c r="G58" s="11">
        <v>3.0000000000000001E-3</v>
      </c>
      <c r="H58" s="11">
        <v>0.25800000000000001</v>
      </c>
      <c r="I58" s="10">
        <v>20768300</v>
      </c>
      <c r="J58" s="12" t="s">
        <v>5682</v>
      </c>
      <c r="K58" s="10">
        <v>2300</v>
      </c>
      <c r="L58" s="12" t="s">
        <v>5683</v>
      </c>
      <c r="M58" s="10">
        <v>121721428090</v>
      </c>
      <c r="N58" s="10">
        <v>13887813</v>
      </c>
      <c r="O58" s="12">
        <v>10</v>
      </c>
    </row>
    <row r="59" spans="1:15" ht="15" customHeight="1" x14ac:dyDescent="0.3">
      <c r="A59" s="9">
        <v>43633</v>
      </c>
      <c r="B59" s="12">
        <v>53</v>
      </c>
      <c r="C59" s="11">
        <v>0.01</v>
      </c>
      <c r="D59" s="12">
        <v>76</v>
      </c>
      <c r="E59" s="11">
        <v>4.0000000000000001E-3</v>
      </c>
      <c r="F59" s="10">
        <v>9242</v>
      </c>
      <c r="G59" s="11">
        <v>3.0000000000000001E-3</v>
      </c>
      <c r="H59" s="11">
        <v>0.13800000000000001</v>
      </c>
      <c r="I59" s="10">
        <v>10643110</v>
      </c>
      <c r="J59" s="12" t="s">
        <v>5684</v>
      </c>
      <c r="K59" s="10">
        <v>1275</v>
      </c>
      <c r="L59" s="12" t="s">
        <v>5685</v>
      </c>
      <c r="M59" s="10">
        <v>121732071200</v>
      </c>
      <c r="N59" s="10">
        <v>13889088</v>
      </c>
      <c r="O59" s="12">
        <v>9</v>
      </c>
    </row>
    <row r="60" spans="1:15" ht="15" customHeight="1" x14ac:dyDescent="0.3">
      <c r="A60" s="9">
        <v>43634</v>
      </c>
      <c r="B60" s="12">
        <v>54</v>
      </c>
      <c r="C60" s="11">
        <v>0.01</v>
      </c>
      <c r="D60" s="12">
        <v>79</v>
      </c>
      <c r="E60" s="11">
        <v>5.0000000000000001E-3</v>
      </c>
      <c r="F60" s="10">
        <v>9640</v>
      </c>
      <c r="G60" s="11">
        <v>4.0000000000000001E-3</v>
      </c>
      <c r="H60" s="11">
        <v>0.13700000000000001</v>
      </c>
      <c r="I60" s="10">
        <v>11008110</v>
      </c>
      <c r="J60" s="12" t="s">
        <v>5686</v>
      </c>
      <c r="K60" s="10">
        <v>1322</v>
      </c>
      <c r="L60" s="12" t="s">
        <v>5687</v>
      </c>
      <c r="M60" s="10">
        <v>121743079310</v>
      </c>
      <c r="N60" s="10">
        <v>13890410</v>
      </c>
      <c r="O60" s="12">
        <v>10</v>
      </c>
    </row>
    <row r="61" spans="1:15" ht="15" customHeight="1" x14ac:dyDescent="0.3">
      <c r="A61" s="9">
        <v>43635</v>
      </c>
      <c r="B61" s="12">
        <v>39</v>
      </c>
      <c r="C61" s="11">
        <v>8.0000000000000002E-3</v>
      </c>
      <c r="D61" s="12">
        <v>56</v>
      </c>
      <c r="E61" s="11">
        <v>3.0000000000000001E-3</v>
      </c>
      <c r="F61" s="10">
        <v>6608</v>
      </c>
      <c r="G61" s="11">
        <v>2E-3</v>
      </c>
      <c r="H61" s="11">
        <v>0.13500000000000001</v>
      </c>
      <c r="I61" s="10">
        <v>7475910</v>
      </c>
      <c r="J61" s="12" t="s">
        <v>5688</v>
      </c>
      <c r="K61" s="12">
        <v>893</v>
      </c>
      <c r="L61" s="12" t="s">
        <v>5689</v>
      </c>
      <c r="M61" s="10">
        <v>121750555220</v>
      </c>
      <c r="N61" s="10">
        <v>13891303</v>
      </c>
      <c r="O61" s="12">
        <v>11</v>
      </c>
    </row>
    <row r="62" spans="1:15" ht="15" customHeight="1" x14ac:dyDescent="0.3">
      <c r="A62" s="9">
        <v>43636</v>
      </c>
      <c r="B62" s="12">
        <v>30</v>
      </c>
      <c r="C62" s="11">
        <v>5.0000000000000001E-3</v>
      </c>
      <c r="D62" s="12">
        <v>39</v>
      </c>
      <c r="E62" s="11">
        <v>2E-3</v>
      </c>
      <c r="F62" s="10">
        <v>4112</v>
      </c>
      <c r="G62" s="11">
        <v>1E-3</v>
      </c>
      <c r="H62" s="11">
        <v>0.17499999999999999</v>
      </c>
      <c r="I62" s="10">
        <v>5805300</v>
      </c>
      <c r="J62" s="12" t="s">
        <v>5690</v>
      </c>
      <c r="K62" s="12">
        <v>720</v>
      </c>
      <c r="L62" s="12" t="s">
        <v>5691</v>
      </c>
      <c r="M62" s="10">
        <v>121756360520</v>
      </c>
      <c r="N62" s="10">
        <v>13892023</v>
      </c>
      <c r="O62" s="12">
        <v>18</v>
      </c>
    </row>
    <row r="63" spans="1:15" ht="15" customHeight="1" x14ac:dyDescent="0.3">
      <c r="A63" s="9">
        <v>43637</v>
      </c>
      <c r="B63" s="12">
        <v>32</v>
      </c>
      <c r="C63" s="11">
        <v>6.0000000000000001E-3</v>
      </c>
      <c r="D63" s="12">
        <v>43</v>
      </c>
      <c r="E63" s="11">
        <v>2E-3</v>
      </c>
      <c r="F63" s="10">
        <v>5235</v>
      </c>
      <c r="G63" s="11">
        <v>2E-3</v>
      </c>
      <c r="H63" s="11">
        <v>0.17799999999999999</v>
      </c>
      <c r="I63" s="10">
        <v>8683590</v>
      </c>
      <c r="J63" s="12" t="s">
        <v>5692</v>
      </c>
      <c r="K63" s="12">
        <v>933</v>
      </c>
      <c r="L63" s="12" t="s">
        <v>5693</v>
      </c>
      <c r="M63" s="10">
        <v>121765044110</v>
      </c>
      <c r="N63" s="10">
        <v>13892956</v>
      </c>
      <c r="O63" s="12">
        <v>12</v>
      </c>
    </row>
    <row r="64" spans="1:15" ht="15" customHeight="1" x14ac:dyDescent="0.3">
      <c r="A64" s="9">
        <v>43638</v>
      </c>
      <c r="B64" s="12">
        <v>31</v>
      </c>
      <c r="C64" s="11">
        <v>5.0000000000000001E-3</v>
      </c>
      <c r="D64" s="12">
        <v>41</v>
      </c>
      <c r="E64" s="11">
        <v>2E-3</v>
      </c>
      <c r="F64" s="10">
        <v>4744</v>
      </c>
      <c r="G64" s="11">
        <v>2E-3</v>
      </c>
      <c r="H64" s="11">
        <v>0.34</v>
      </c>
      <c r="I64" s="10">
        <v>14762730</v>
      </c>
      <c r="J64" s="12" t="s">
        <v>5694</v>
      </c>
      <c r="K64" s="10">
        <v>1611</v>
      </c>
      <c r="L64" s="12" t="s">
        <v>5695</v>
      </c>
      <c r="M64" s="10">
        <v>121779806840</v>
      </c>
      <c r="N64" s="10">
        <v>13894567</v>
      </c>
      <c r="O64" s="12">
        <v>13</v>
      </c>
    </row>
    <row r="65" spans="1:15" ht="15" customHeight="1" x14ac:dyDescent="0.3">
      <c r="A65" s="9">
        <v>43639</v>
      </c>
      <c r="B65" s="12">
        <v>26</v>
      </c>
      <c r="C65" s="11">
        <v>4.0000000000000001E-3</v>
      </c>
      <c r="D65" s="12">
        <v>37</v>
      </c>
      <c r="E65" s="11">
        <v>2E-3</v>
      </c>
      <c r="F65" s="10">
        <v>4395</v>
      </c>
      <c r="G65" s="11">
        <v>1E-3</v>
      </c>
      <c r="H65" s="11">
        <v>0.28899999999999998</v>
      </c>
      <c r="I65" s="10">
        <v>11414960</v>
      </c>
      <c r="J65" s="12" t="s">
        <v>5696</v>
      </c>
      <c r="K65" s="10">
        <v>1272</v>
      </c>
      <c r="L65" s="12" t="s">
        <v>5697</v>
      </c>
      <c r="M65" s="10">
        <v>121791221800</v>
      </c>
      <c r="N65" s="10">
        <v>13895839</v>
      </c>
      <c r="O65" s="12">
        <v>14</v>
      </c>
    </row>
    <row r="66" spans="1:15" ht="15" customHeight="1" x14ac:dyDescent="0.3">
      <c r="A66" s="9">
        <v>43640</v>
      </c>
      <c r="B66" s="12">
        <v>47</v>
      </c>
      <c r="C66" s="11">
        <v>8.9999999999999993E-3</v>
      </c>
      <c r="D66" s="12">
        <v>81</v>
      </c>
      <c r="E66" s="11">
        <v>4.0000000000000001E-3</v>
      </c>
      <c r="F66" s="10">
        <v>18387</v>
      </c>
      <c r="G66" s="11">
        <v>6.0000000000000001E-3</v>
      </c>
      <c r="H66" s="11">
        <v>0.161</v>
      </c>
      <c r="I66" s="10">
        <v>32111500</v>
      </c>
      <c r="J66" s="12" t="s">
        <v>5698</v>
      </c>
      <c r="K66" s="10">
        <v>2966</v>
      </c>
      <c r="L66" s="12" t="s">
        <v>5699</v>
      </c>
      <c r="M66" s="10">
        <v>121823333300</v>
      </c>
      <c r="N66" s="10">
        <v>13898805</v>
      </c>
      <c r="O66" s="12">
        <v>8</v>
      </c>
    </row>
    <row r="67" spans="1:15" ht="15" customHeight="1" x14ac:dyDescent="0.3">
      <c r="A67" s="9">
        <v>43641</v>
      </c>
      <c r="B67" s="12">
        <v>46</v>
      </c>
      <c r="C67" s="11">
        <v>8.0000000000000002E-3</v>
      </c>
      <c r="D67" s="12">
        <v>78</v>
      </c>
      <c r="E67" s="11">
        <v>4.0000000000000001E-3</v>
      </c>
      <c r="F67" s="10">
        <v>18563</v>
      </c>
      <c r="G67" s="11">
        <v>6.0000000000000001E-3</v>
      </c>
      <c r="H67" s="11">
        <v>0.14000000000000001</v>
      </c>
      <c r="I67" s="10">
        <v>29293980</v>
      </c>
      <c r="J67" s="12" t="s">
        <v>5700</v>
      </c>
      <c r="K67" s="10">
        <v>2608</v>
      </c>
      <c r="L67" s="12" t="s">
        <v>5701</v>
      </c>
      <c r="M67" s="10">
        <v>121852627280</v>
      </c>
      <c r="N67" s="10">
        <v>13901413</v>
      </c>
      <c r="O67" s="12">
        <v>8</v>
      </c>
    </row>
    <row r="68" spans="1:15" ht="15" customHeight="1" x14ac:dyDescent="0.3">
      <c r="A68" s="9">
        <v>43642</v>
      </c>
      <c r="B68" s="12">
        <v>35</v>
      </c>
      <c r="C68" s="11">
        <v>5.0000000000000001E-3</v>
      </c>
      <c r="D68" s="12">
        <v>56</v>
      </c>
      <c r="E68" s="11">
        <v>3.0000000000000001E-3</v>
      </c>
      <c r="F68" s="10">
        <v>15975</v>
      </c>
      <c r="G68" s="11">
        <v>6.0000000000000001E-3</v>
      </c>
      <c r="H68" s="11">
        <v>0.14000000000000001</v>
      </c>
      <c r="I68" s="10">
        <v>25150780</v>
      </c>
      <c r="J68" s="12" t="s">
        <v>5702</v>
      </c>
      <c r="K68" s="10">
        <v>2244</v>
      </c>
      <c r="L68" s="12" t="s">
        <v>5703</v>
      </c>
      <c r="M68" s="10">
        <v>121877778060</v>
      </c>
      <c r="N68" s="10">
        <v>13903657</v>
      </c>
      <c r="O68" s="12">
        <v>12</v>
      </c>
    </row>
    <row r="69" spans="1:15" ht="15" customHeight="1" x14ac:dyDescent="0.3">
      <c r="A69" s="9">
        <v>43643</v>
      </c>
      <c r="B69" s="12">
        <v>35</v>
      </c>
      <c r="C69" s="11">
        <v>6.0000000000000001E-3</v>
      </c>
      <c r="D69" s="12">
        <v>57</v>
      </c>
      <c r="E69" s="11">
        <v>3.0000000000000001E-3</v>
      </c>
      <c r="F69" s="10">
        <v>16059</v>
      </c>
      <c r="G69" s="11">
        <v>6.0000000000000001E-3</v>
      </c>
      <c r="H69" s="11">
        <v>0.14099999999999999</v>
      </c>
      <c r="I69" s="10">
        <v>26270540</v>
      </c>
      <c r="J69" s="12" t="s">
        <v>5704</v>
      </c>
      <c r="K69" s="10">
        <v>2265</v>
      </c>
      <c r="L69" s="12" t="s">
        <v>5705</v>
      </c>
      <c r="M69" s="10">
        <v>121904048600</v>
      </c>
      <c r="N69" s="10">
        <v>13905922</v>
      </c>
      <c r="O69" s="12">
        <v>12</v>
      </c>
    </row>
    <row r="70" spans="1:15" ht="15" customHeight="1" x14ac:dyDescent="0.3">
      <c r="A70" s="9">
        <v>43644</v>
      </c>
      <c r="B70" s="12">
        <v>32</v>
      </c>
      <c r="C70" s="11">
        <v>5.0000000000000001E-3</v>
      </c>
      <c r="D70" s="12">
        <v>56</v>
      </c>
      <c r="E70" s="11">
        <v>3.0000000000000001E-3</v>
      </c>
      <c r="F70" s="10">
        <v>16426</v>
      </c>
      <c r="G70" s="11">
        <v>6.0000000000000001E-3</v>
      </c>
      <c r="H70" s="11">
        <v>0.18099999999999999</v>
      </c>
      <c r="I70" s="10">
        <v>34284280</v>
      </c>
      <c r="J70" s="12" t="s">
        <v>5706</v>
      </c>
      <c r="K70" s="10">
        <v>2976</v>
      </c>
      <c r="L70" s="12" t="s">
        <v>5707</v>
      </c>
      <c r="M70" s="10">
        <v>121938332880</v>
      </c>
      <c r="N70" s="10">
        <v>13908898</v>
      </c>
      <c r="O70" s="12">
        <v>10</v>
      </c>
    </row>
    <row r="71" spans="1:15" ht="15" customHeight="1" x14ac:dyDescent="0.3">
      <c r="A71" s="9">
        <v>43645</v>
      </c>
      <c r="B71" s="12">
        <v>35</v>
      </c>
      <c r="C71" s="11">
        <v>5.0000000000000001E-3</v>
      </c>
      <c r="D71" s="12">
        <v>60</v>
      </c>
      <c r="E71" s="11">
        <v>3.0000000000000001E-3</v>
      </c>
      <c r="F71" s="10">
        <v>16694</v>
      </c>
      <c r="G71" s="11">
        <v>5.0000000000000001E-3</v>
      </c>
      <c r="H71" s="11">
        <v>0.316</v>
      </c>
      <c r="I71" s="10">
        <v>58532280</v>
      </c>
      <c r="J71" s="12" t="s">
        <v>5708</v>
      </c>
      <c r="K71" s="10">
        <v>5271</v>
      </c>
      <c r="L71" s="12" t="s">
        <v>5709</v>
      </c>
      <c r="M71" s="10">
        <v>121996865160</v>
      </c>
      <c r="N71" s="10">
        <v>13914169</v>
      </c>
      <c r="O71" s="12">
        <v>11</v>
      </c>
    </row>
    <row r="72" spans="1:15" ht="15" customHeight="1" x14ac:dyDescent="0.3">
      <c r="A72" s="9">
        <v>43646</v>
      </c>
      <c r="B72" s="12">
        <v>34</v>
      </c>
      <c r="C72" s="11">
        <v>5.0000000000000001E-3</v>
      </c>
      <c r="D72" s="12">
        <v>58</v>
      </c>
      <c r="E72" s="11">
        <v>3.0000000000000001E-3</v>
      </c>
      <c r="F72" s="10">
        <v>16484</v>
      </c>
      <c r="G72" s="11">
        <v>5.0000000000000001E-3</v>
      </c>
      <c r="H72" s="11">
        <v>0.27800000000000002</v>
      </c>
      <c r="I72" s="10">
        <v>51649040</v>
      </c>
      <c r="J72" s="12" t="s">
        <v>5710</v>
      </c>
      <c r="K72" s="10">
        <v>4590</v>
      </c>
      <c r="L72" s="12" t="s">
        <v>5711</v>
      </c>
      <c r="M72" s="10">
        <v>122048514200</v>
      </c>
      <c r="N72" s="10">
        <v>13918759</v>
      </c>
      <c r="O72" s="12">
        <v>11</v>
      </c>
    </row>
    <row r="73" spans="1:15" ht="15" customHeight="1" x14ac:dyDescent="0.3">
      <c r="A73" s="9">
        <v>43647</v>
      </c>
      <c r="B73" s="12">
        <v>18</v>
      </c>
      <c r="C73" s="11">
        <v>3.0000000000000001E-3</v>
      </c>
      <c r="D73" s="12">
        <v>21</v>
      </c>
      <c r="E73" s="11">
        <v>1E-3</v>
      </c>
      <c r="F73" s="10">
        <v>2369</v>
      </c>
      <c r="G73" s="11">
        <v>1E-3</v>
      </c>
      <c r="H73" s="11">
        <v>0.251</v>
      </c>
      <c r="I73" s="10">
        <v>5054870</v>
      </c>
      <c r="J73" s="12" t="s">
        <v>5712</v>
      </c>
      <c r="K73" s="12">
        <v>594</v>
      </c>
      <c r="L73" s="12" t="s">
        <v>5713</v>
      </c>
      <c r="M73" s="10">
        <v>122053569070</v>
      </c>
      <c r="N73" s="10">
        <v>13919353</v>
      </c>
      <c r="O73" s="12">
        <v>16</v>
      </c>
    </row>
    <row r="74" spans="1:15" ht="15" customHeight="1" x14ac:dyDescent="0.3">
      <c r="A74" s="9">
        <v>43648</v>
      </c>
      <c r="B74" s="12">
        <v>8</v>
      </c>
      <c r="C74" s="11">
        <v>1E-3</v>
      </c>
      <c r="D74" s="12">
        <v>10</v>
      </c>
      <c r="E74" s="11">
        <v>1E-3</v>
      </c>
      <c r="F74" s="12">
        <v>743</v>
      </c>
      <c r="G74" s="11">
        <v>0</v>
      </c>
      <c r="H74" s="11">
        <v>0.223</v>
      </c>
      <c r="I74" s="10">
        <v>1329630</v>
      </c>
      <c r="J74" s="12" t="s">
        <v>5714</v>
      </c>
      <c r="K74" s="12">
        <v>166</v>
      </c>
      <c r="L74" s="12" t="s">
        <v>5715</v>
      </c>
      <c r="M74" s="10">
        <v>122054898700</v>
      </c>
      <c r="N74" s="10">
        <v>13919519</v>
      </c>
      <c r="O74" s="12">
        <v>35</v>
      </c>
    </row>
    <row r="75" spans="1:15" ht="15" customHeight="1" x14ac:dyDescent="0.3">
      <c r="A75" s="9">
        <v>43649</v>
      </c>
      <c r="B75" s="12">
        <v>9</v>
      </c>
      <c r="C75" s="11">
        <v>2E-3</v>
      </c>
      <c r="D75" s="12">
        <v>11</v>
      </c>
      <c r="E75" s="11">
        <v>1E-3</v>
      </c>
      <c r="F75" s="12">
        <v>867</v>
      </c>
      <c r="G75" s="11">
        <v>0</v>
      </c>
      <c r="H75" s="11">
        <v>0.40899999999999997</v>
      </c>
      <c r="I75" s="10">
        <v>2917690</v>
      </c>
      <c r="J75" s="12" t="s">
        <v>5716</v>
      </c>
      <c r="K75" s="12">
        <v>355</v>
      </c>
      <c r="L75" s="12" t="s">
        <v>5717</v>
      </c>
      <c r="M75" s="10">
        <v>122057816390</v>
      </c>
      <c r="N75" s="10">
        <v>13919874</v>
      </c>
      <c r="O75" s="12">
        <v>20</v>
      </c>
    </row>
    <row r="76" spans="1:15" ht="15" customHeight="1" x14ac:dyDescent="0.3">
      <c r="A76" s="9">
        <v>43650</v>
      </c>
      <c r="B76" s="12">
        <v>9</v>
      </c>
      <c r="C76" s="11">
        <v>2E-3</v>
      </c>
      <c r="D76" s="12">
        <v>11</v>
      </c>
      <c r="E76" s="11">
        <v>1E-3</v>
      </c>
      <c r="F76" s="12">
        <v>867</v>
      </c>
      <c r="G76" s="11">
        <v>0</v>
      </c>
      <c r="H76" s="11">
        <v>0.48599999999999999</v>
      </c>
      <c r="I76" s="10">
        <v>3420480</v>
      </c>
      <c r="J76" s="12" t="s">
        <v>5718</v>
      </c>
      <c r="K76" s="12">
        <v>421</v>
      </c>
      <c r="L76" s="12" t="s">
        <v>5719</v>
      </c>
      <c r="M76" s="10">
        <v>122061236870</v>
      </c>
      <c r="N76" s="10">
        <v>13920295</v>
      </c>
      <c r="O76" s="12">
        <v>21</v>
      </c>
    </row>
    <row r="77" spans="1:15" ht="15" customHeight="1" x14ac:dyDescent="0.3">
      <c r="A77" s="9">
        <v>43651</v>
      </c>
      <c r="B77" s="12">
        <v>8</v>
      </c>
      <c r="C77" s="11">
        <v>1E-3</v>
      </c>
      <c r="D77" s="12">
        <v>10</v>
      </c>
      <c r="E77" s="11">
        <v>1E-3</v>
      </c>
      <c r="F77" s="12">
        <v>763</v>
      </c>
      <c r="G77" s="11">
        <v>0</v>
      </c>
      <c r="H77" s="11">
        <v>0.495</v>
      </c>
      <c r="I77" s="10">
        <v>3540900</v>
      </c>
      <c r="J77" s="12" t="s">
        <v>5720</v>
      </c>
      <c r="K77" s="12">
        <v>378</v>
      </c>
      <c r="L77" s="12" t="s">
        <v>5721</v>
      </c>
      <c r="M77" s="10">
        <v>122064777770</v>
      </c>
      <c r="N77" s="10">
        <v>13920673</v>
      </c>
      <c r="O77" s="12">
        <v>19</v>
      </c>
    </row>
    <row r="78" spans="1:15" ht="15" customHeight="1" x14ac:dyDescent="0.3">
      <c r="A78" s="9">
        <v>43652</v>
      </c>
      <c r="B78" s="12">
        <v>10</v>
      </c>
      <c r="C78" s="11">
        <v>2E-3</v>
      </c>
      <c r="D78" s="12">
        <v>13</v>
      </c>
      <c r="E78" s="11">
        <v>1E-3</v>
      </c>
      <c r="F78" s="10">
        <v>1214</v>
      </c>
      <c r="G78" s="11">
        <v>0</v>
      </c>
      <c r="H78" s="11">
        <v>0.58199999999999996</v>
      </c>
      <c r="I78" s="10">
        <v>6154460</v>
      </c>
      <c r="J78" s="12" t="s">
        <v>5722</v>
      </c>
      <c r="K78" s="12">
        <v>707</v>
      </c>
      <c r="L78" s="12" t="s">
        <v>5723</v>
      </c>
      <c r="M78" s="10">
        <v>122070932230</v>
      </c>
      <c r="N78" s="10">
        <v>13921380</v>
      </c>
      <c r="O78" s="12">
        <v>18</v>
      </c>
    </row>
    <row r="79" spans="1:15" ht="15" customHeight="1" x14ac:dyDescent="0.3">
      <c r="A79" s="9">
        <v>43653</v>
      </c>
      <c r="B79" s="12">
        <v>9</v>
      </c>
      <c r="C79" s="11">
        <v>2E-3</v>
      </c>
      <c r="D79" s="12">
        <v>13</v>
      </c>
      <c r="E79" s="11">
        <v>1E-3</v>
      </c>
      <c r="F79" s="10">
        <v>1207</v>
      </c>
      <c r="G79" s="11">
        <v>0</v>
      </c>
      <c r="H79" s="11">
        <v>0.58799999999999997</v>
      </c>
      <c r="I79" s="10">
        <v>6115360</v>
      </c>
      <c r="J79" s="12" t="s">
        <v>5724</v>
      </c>
      <c r="K79" s="12">
        <v>710</v>
      </c>
      <c r="L79" s="12" t="s">
        <v>5725</v>
      </c>
      <c r="M79" s="10">
        <v>122077047590</v>
      </c>
      <c r="N79" s="10">
        <v>13922090</v>
      </c>
      <c r="O79" s="12">
        <v>19</v>
      </c>
    </row>
    <row r="80" spans="1:15" ht="15" customHeight="1" x14ac:dyDescent="0.3">
      <c r="A80" s="9">
        <v>43654</v>
      </c>
      <c r="B80" s="12">
        <v>12</v>
      </c>
      <c r="C80" s="11">
        <v>2E-3</v>
      </c>
      <c r="D80" s="12">
        <v>15</v>
      </c>
      <c r="E80" s="11">
        <v>1E-3</v>
      </c>
      <c r="F80" s="10">
        <v>1294</v>
      </c>
      <c r="G80" s="11">
        <v>0</v>
      </c>
      <c r="H80" s="11">
        <v>0.36899999999999999</v>
      </c>
      <c r="I80" s="10">
        <v>3868740</v>
      </c>
      <c r="J80" s="12" t="s">
        <v>5726</v>
      </c>
      <c r="K80" s="12">
        <v>477</v>
      </c>
      <c r="L80" s="12" t="s">
        <v>5727</v>
      </c>
      <c r="M80" s="10">
        <v>122080916330</v>
      </c>
      <c r="N80" s="10">
        <v>13922567</v>
      </c>
      <c r="O80" s="12">
        <v>20</v>
      </c>
    </row>
    <row r="81" spans="1:15" ht="15" customHeight="1" x14ac:dyDescent="0.3">
      <c r="A81" s="9">
        <v>43655</v>
      </c>
      <c r="B81" s="12">
        <v>11</v>
      </c>
      <c r="C81" s="11">
        <v>2E-3</v>
      </c>
      <c r="D81" s="12">
        <v>14</v>
      </c>
      <c r="E81" s="11">
        <v>1E-3</v>
      </c>
      <c r="F81" s="10">
        <v>1278</v>
      </c>
      <c r="G81" s="11">
        <v>0</v>
      </c>
      <c r="H81" s="11">
        <v>0.375</v>
      </c>
      <c r="I81" s="10">
        <v>3861910</v>
      </c>
      <c r="J81" s="12" t="s">
        <v>5728</v>
      </c>
      <c r="K81" s="12">
        <v>479</v>
      </c>
      <c r="L81" s="12" t="s">
        <v>4039</v>
      </c>
      <c r="M81" s="10">
        <v>122084778240</v>
      </c>
      <c r="N81" s="10">
        <v>13923046</v>
      </c>
      <c r="O81" s="12">
        <v>17</v>
      </c>
    </row>
    <row r="82" spans="1:15" ht="15" customHeight="1" x14ac:dyDescent="0.3">
      <c r="A82" s="9">
        <v>43656</v>
      </c>
      <c r="B82" s="12">
        <v>11</v>
      </c>
      <c r="C82" s="11">
        <v>2E-3</v>
      </c>
      <c r="D82" s="12">
        <v>15</v>
      </c>
      <c r="E82" s="11">
        <v>1E-3</v>
      </c>
      <c r="F82" s="10">
        <v>1329</v>
      </c>
      <c r="G82" s="11">
        <v>0</v>
      </c>
      <c r="H82" s="11">
        <v>0.34799999999999998</v>
      </c>
      <c r="I82" s="10">
        <v>3725240</v>
      </c>
      <c r="J82" s="12" t="s">
        <v>5729</v>
      </c>
      <c r="K82" s="12">
        <v>462</v>
      </c>
      <c r="L82" s="12" t="s">
        <v>5730</v>
      </c>
      <c r="M82" s="10">
        <v>122088503480</v>
      </c>
      <c r="N82" s="10">
        <v>13923508</v>
      </c>
      <c r="O82" s="12">
        <v>19</v>
      </c>
    </row>
    <row r="83" spans="1:15" ht="15" customHeight="1" x14ac:dyDescent="0.3">
      <c r="A83" s="9">
        <v>43657</v>
      </c>
      <c r="B83" s="12">
        <v>10</v>
      </c>
      <c r="C83" s="11">
        <v>2E-3</v>
      </c>
      <c r="D83" s="12">
        <v>13</v>
      </c>
      <c r="E83" s="11">
        <v>1E-3</v>
      </c>
      <c r="F83" s="10">
        <v>1475</v>
      </c>
      <c r="G83" s="11">
        <v>1E-3</v>
      </c>
      <c r="H83" s="11">
        <v>0.33400000000000002</v>
      </c>
      <c r="I83" s="10">
        <v>4000190</v>
      </c>
      <c r="J83" s="12" t="s">
        <v>5731</v>
      </c>
      <c r="K83" s="12">
        <v>493</v>
      </c>
      <c r="L83" s="12" t="s">
        <v>5732</v>
      </c>
      <c r="M83" s="10">
        <v>122092503670</v>
      </c>
      <c r="N83" s="10">
        <v>13924001</v>
      </c>
      <c r="O83" s="12">
        <v>23</v>
      </c>
    </row>
    <row r="84" spans="1:15" ht="15" customHeight="1" x14ac:dyDescent="0.3">
      <c r="A84" s="9">
        <v>43658</v>
      </c>
      <c r="B84" s="12">
        <v>11</v>
      </c>
      <c r="C84" s="11">
        <v>2E-3</v>
      </c>
      <c r="D84" s="12">
        <v>14</v>
      </c>
      <c r="E84" s="11">
        <v>1E-3</v>
      </c>
      <c r="F84" s="10">
        <v>1517</v>
      </c>
      <c r="G84" s="11">
        <v>1E-3</v>
      </c>
      <c r="H84" s="11">
        <v>0.38400000000000001</v>
      </c>
      <c r="I84" s="10">
        <v>5377940</v>
      </c>
      <c r="J84" s="12" t="s">
        <v>5733</v>
      </c>
      <c r="K84" s="12">
        <v>583</v>
      </c>
      <c r="L84" s="12" t="s">
        <v>5734</v>
      </c>
      <c r="M84" s="10">
        <v>122097881610</v>
      </c>
      <c r="N84" s="10">
        <v>13924584</v>
      </c>
      <c r="O84" s="12">
        <v>20</v>
      </c>
    </row>
    <row r="85" spans="1:15" ht="15" customHeight="1" x14ac:dyDescent="0.3">
      <c r="A85" s="9">
        <v>43659</v>
      </c>
      <c r="B85" s="12">
        <v>10</v>
      </c>
      <c r="C85" s="11">
        <v>2E-3</v>
      </c>
      <c r="D85" s="12">
        <v>15</v>
      </c>
      <c r="E85" s="11">
        <v>1E-3</v>
      </c>
      <c r="F85" s="10">
        <v>1689</v>
      </c>
      <c r="G85" s="11">
        <v>1E-3</v>
      </c>
      <c r="H85" s="11">
        <v>0.55500000000000005</v>
      </c>
      <c r="I85" s="10">
        <v>8261320</v>
      </c>
      <c r="J85" s="12" t="s">
        <v>5735</v>
      </c>
      <c r="K85" s="12">
        <v>937</v>
      </c>
      <c r="L85" s="12" t="s">
        <v>5736</v>
      </c>
      <c r="M85" s="10">
        <v>122106142930</v>
      </c>
      <c r="N85" s="10">
        <v>13925521</v>
      </c>
      <c r="O85" s="12">
        <v>16</v>
      </c>
    </row>
    <row r="86" spans="1:15" ht="15" customHeight="1" x14ac:dyDescent="0.3">
      <c r="A86" s="9">
        <v>43660</v>
      </c>
      <c r="B86" s="12">
        <v>10</v>
      </c>
      <c r="C86" s="11">
        <v>2E-3</v>
      </c>
      <c r="D86" s="12">
        <v>15</v>
      </c>
      <c r="E86" s="11">
        <v>1E-3</v>
      </c>
      <c r="F86" s="10">
        <v>1689</v>
      </c>
      <c r="G86" s="11">
        <v>1E-3</v>
      </c>
      <c r="H86" s="11">
        <v>0.58399999999999996</v>
      </c>
      <c r="I86" s="10">
        <v>8748540</v>
      </c>
      <c r="J86" s="12" t="s">
        <v>5737</v>
      </c>
      <c r="K86" s="12">
        <v>986</v>
      </c>
      <c r="L86" s="12" t="s">
        <v>5738</v>
      </c>
      <c r="M86" s="10">
        <v>122114891470</v>
      </c>
      <c r="N86" s="10">
        <v>13926507</v>
      </c>
      <c r="O86" s="12">
        <v>15</v>
      </c>
    </row>
    <row r="87" spans="1:15" ht="15" customHeight="1" x14ac:dyDescent="0.3">
      <c r="A87" s="9">
        <v>43661</v>
      </c>
      <c r="B87" s="12">
        <v>11</v>
      </c>
      <c r="C87" s="11">
        <v>2E-3</v>
      </c>
      <c r="D87" s="12">
        <v>15</v>
      </c>
      <c r="E87" s="11">
        <v>1E-3</v>
      </c>
      <c r="F87" s="10">
        <v>1970</v>
      </c>
      <c r="G87" s="11">
        <v>1E-3</v>
      </c>
      <c r="H87" s="11">
        <v>0.245</v>
      </c>
      <c r="I87" s="10">
        <v>3973680</v>
      </c>
      <c r="J87" s="12" t="s">
        <v>5739</v>
      </c>
      <c r="K87" s="12">
        <v>483</v>
      </c>
      <c r="L87" s="12" t="s">
        <v>5740</v>
      </c>
      <c r="M87" s="10">
        <v>122118865150</v>
      </c>
      <c r="N87" s="10">
        <v>13926990</v>
      </c>
      <c r="O87" s="12">
        <v>20</v>
      </c>
    </row>
    <row r="88" spans="1:15" ht="15" customHeight="1" x14ac:dyDescent="0.3">
      <c r="A88" s="9">
        <v>43662</v>
      </c>
      <c r="B88" s="12">
        <v>10</v>
      </c>
      <c r="C88" s="11">
        <v>2E-3</v>
      </c>
      <c r="D88" s="12">
        <v>15</v>
      </c>
      <c r="E88" s="11">
        <v>1E-3</v>
      </c>
      <c r="F88" s="10">
        <v>1911</v>
      </c>
      <c r="G88" s="11">
        <v>1E-3</v>
      </c>
      <c r="H88" s="11">
        <v>0.26300000000000001</v>
      </c>
      <c r="I88" s="10">
        <v>4213930</v>
      </c>
      <c r="J88" s="12" t="s">
        <v>5741</v>
      </c>
      <c r="K88" s="12">
        <v>502</v>
      </c>
      <c r="L88" s="12" t="s">
        <v>5742</v>
      </c>
      <c r="M88" s="10">
        <v>122123079080</v>
      </c>
      <c r="N88" s="10">
        <v>13927492</v>
      </c>
      <c r="O88" s="12">
        <v>21</v>
      </c>
    </row>
    <row r="89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581F7-3F49-4257-A8D2-FE495AF5CE23}">
  <dimension ref="A1:O78"/>
  <sheetViews>
    <sheetView showGridLines="0" workbookViewId="0">
      <selection activeCell="A5" sqref="A5:O18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7.12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5743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43558</v>
      </c>
      <c r="B5" s="12">
        <v>852</v>
      </c>
      <c r="C5" s="11">
        <v>0.161</v>
      </c>
      <c r="D5" s="10">
        <v>3735</v>
      </c>
      <c r="E5" s="11">
        <v>0.217</v>
      </c>
      <c r="F5" s="10">
        <v>586086</v>
      </c>
      <c r="G5" s="11">
        <v>0.217</v>
      </c>
      <c r="H5" s="11">
        <v>7.8E-2</v>
      </c>
      <c r="I5" s="10">
        <v>357545220</v>
      </c>
      <c r="J5" s="12" t="s">
        <v>5744</v>
      </c>
      <c r="K5" s="10">
        <v>45516</v>
      </c>
      <c r="L5" s="12" t="s">
        <v>5745</v>
      </c>
      <c r="M5" s="10">
        <v>450732220</v>
      </c>
      <c r="N5" s="10">
        <v>55927</v>
      </c>
      <c r="O5" s="12">
        <v>2</v>
      </c>
    </row>
    <row r="6" spans="1:15" ht="15" customHeight="1" x14ac:dyDescent="0.3">
      <c r="A6" s="9">
        <v>43559</v>
      </c>
      <c r="B6" s="12">
        <v>847</v>
      </c>
      <c r="C6" s="11">
        <v>0.151</v>
      </c>
      <c r="D6" s="10">
        <v>3537</v>
      </c>
      <c r="E6" s="11">
        <v>0.20699999999999999</v>
      </c>
      <c r="F6" s="10">
        <v>551252</v>
      </c>
      <c r="G6" s="11">
        <v>0.20599999999999999</v>
      </c>
      <c r="H6" s="11">
        <v>7.9000000000000001E-2</v>
      </c>
      <c r="I6" s="10">
        <v>341995800</v>
      </c>
      <c r="J6" s="12" t="s">
        <v>5746</v>
      </c>
      <c r="K6" s="10">
        <v>43517</v>
      </c>
      <c r="L6" s="12" t="s">
        <v>5747</v>
      </c>
      <c r="M6" s="10">
        <v>792728020</v>
      </c>
      <c r="N6" s="10">
        <v>99444</v>
      </c>
      <c r="O6" s="12">
        <v>2</v>
      </c>
    </row>
    <row r="7" spans="1:15" ht="15" customHeight="1" x14ac:dyDescent="0.3">
      <c r="A7" s="9">
        <v>43560</v>
      </c>
      <c r="B7" s="12">
        <v>862</v>
      </c>
      <c r="C7" s="11">
        <v>0.14899999999999999</v>
      </c>
      <c r="D7" s="10">
        <v>3575</v>
      </c>
      <c r="E7" s="11">
        <v>0.20399999999999999</v>
      </c>
      <c r="F7" s="10">
        <v>557643</v>
      </c>
      <c r="G7" s="11">
        <v>0.20300000000000001</v>
      </c>
      <c r="H7" s="11">
        <v>0.10299999999999999</v>
      </c>
      <c r="I7" s="10">
        <v>495459368</v>
      </c>
      <c r="J7" s="12" t="s">
        <v>5748</v>
      </c>
      <c r="K7" s="10">
        <v>57313</v>
      </c>
      <c r="L7" s="12" t="s">
        <v>5749</v>
      </c>
      <c r="M7" s="10">
        <v>1288187388</v>
      </c>
      <c r="N7" s="10">
        <v>156757</v>
      </c>
      <c r="O7" s="12">
        <v>2</v>
      </c>
    </row>
    <row r="8" spans="1:15" ht="15" customHeight="1" x14ac:dyDescent="0.3">
      <c r="A8" s="9">
        <v>43561</v>
      </c>
      <c r="B8" s="12">
        <v>856</v>
      </c>
      <c r="C8" s="11">
        <v>0.13600000000000001</v>
      </c>
      <c r="D8" s="10">
        <v>3652</v>
      </c>
      <c r="E8" s="11">
        <v>0.19400000000000001</v>
      </c>
      <c r="F8" s="10">
        <v>566367</v>
      </c>
      <c r="G8" s="11">
        <v>0.19400000000000001</v>
      </c>
      <c r="H8" s="11">
        <v>0.2</v>
      </c>
      <c r="I8" s="10">
        <v>983277413</v>
      </c>
      <c r="J8" s="12" t="s">
        <v>5750</v>
      </c>
      <c r="K8" s="10">
        <v>113329</v>
      </c>
      <c r="L8" s="12" t="s">
        <v>5751</v>
      </c>
      <c r="M8" s="10">
        <v>2271464801</v>
      </c>
      <c r="N8" s="10">
        <v>270086</v>
      </c>
      <c r="O8" s="12">
        <v>2</v>
      </c>
    </row>
    <row r="9" spans="1:15" ht="15" customHeight="1" x14ac:dyDescent="0.3">
      <c r="A9" s="9">
        <v>43562</v>
      </c>
      <c r="B9" s="12">
        <v>856</v>
      </c>
      <c r="C9" s="11">
        <v>0.13800000000000001</v>
      </c>
      <c r="D9" s="10">
        <v>3580</v>
      </c>
      <c r="E9" s="11">
        <v>0.19500000000000001</v>
      </c>
      <c r="F9" s="10">
        <v>555895</v>
      </c>
      <c r="G9" s="11">
        <v>0.19500000000000001</v>
      </c>
      <c r="H9" s="11">
        <v>0.19</v>
      </c>
      <c r="I9" s="10">
        <v>915734090</v>
      </c>
      <c r="J9" s="12" t="s">
        <v>5752</v>
      </c>
      <c r="K9" s="10">
        <v>105359</v>
      </c>
      <c r="L9" s="12" t="s">
        <v>5753</v>
      </c>
      <c r="M9" s="10">
        <v>3187198891</v>
      </c>
      <c r="N9" s="10">
        <v>375445</v>
      </c>
      <c r="O9" s="12">
        <v>2</v>
      </c>
    </row>
    <row r="10" spans="1:15" ht="15" customHeight="1" x14ac:dyDescent="0.3">
      <c r="A10" s="9">
        <v>43563</v>
      </c>
      <c r="B10" s="12">
        <v>824</v>
      </c>
      <c r="C10" s="11">
        <v>0.153</v>
      </c>
      <c r="D10" s="10">
        <v>3488</v>
      </c>
      <c r="E10" s="11">
        <v>0.214</v>
      </c>
      <c r="F10" s="10">
        <v>537992</v>
      </c>
      <c r="G10" s="11">
        <v>0.21</v>
      </c>
      <c r="H10" s="11">
        <v>7.2999999999999995E-2</v>
      </c>
      <c r="I10" s="10">
        <v>313569830</v>
      </c>
      <c r="J10" s="12" t="s">
        <v>5754</v>
      </c>
      <c r="K10" s="10">
        <v>39139</v>
      </c>
      <c r="L10" s="12" t="s">
        <v>5755</v>
      </c>
      <c r="M10" s="10">
        <v>3500768721</v>
      </c>
      <c r="N10" s="10">
        <v>414584</v>
      </c>
      <c r="O10" s="12">
        <v>1</v>
      </c>
    </row>
    <row r="11" spans="1:15" ht="15" customHeight="1" x14ac:dyDescent="0.3">
      <c r="A11" s="9">
        <v>43564</v>
      </c>
      <c r="B11" s="12">
        <v>856</v>
      </c>
      <c r="C11" s="11">
        <v>0.157</v>
      </c>
      <c r="D11" s="10">
        <v>3546</v>
      </c>
      <c r="E11" s="11">
        <v>0.223</v>
      </c>
      <c r="F11" s="10">
        <v>551747</v>
      </c>
      <c r="G11" s="11">
        <v>0.221</v>
      </c>
      <c r="H11" s="11">
        <v>7.2999999999999995E-2</v>
      </c>
      <c r="I11" s="10">
        <v>320784100</v>
      </c>
      <c r="J11" s="12" t="s">
        <v>5756</v>
      </c>
      <c r="K11" s="10">
        <v>40232</v>
      </c>
      <c r="L11" s="12" t="s">
        <v>5757</v>
      </c>
      <c r="M11" s="10">
        <v>3821552821</v>
      </c>
      <c r="N11" s="10">
        <v>454816</v>
      </c>
      <c r="O11" s="12">
        <v>1</v>
      </c>
    </row>
    <row r="12" spans="1:15" ht="15" customHeight="1" x14ac:dyDescent="0.3">
      <c r="A12" s="9">
        <v>43565</v>
      </c>
      <c r="B12" s="12">
        <v>791</v>
      </c>
      <c r="C12" s="11">
        <v>0.14000000000000001</v>
      </c>
      <c r="D12" s="10">
        <v>3063</v>
      </c>
      <c r="E12" s="11">
        <v>0.182</v>
      </c>
      <c r="F12" s="10">
        <v>480188</v>
      </c>
      <c r="G12" s="11">
        <v>0.18099999999999999</v>
      </c>
      <c r="H12" s="11">
        <v>0.09</v>
      </c>
      <c r="I12" s="10">
        <v>340577410</v>
      </c>
      <c r="J12" s="12" t="s">
        <v>5758</v>
      </c>
      <c r="K12" s="10">
        <v>43351</v>
      </c>
      <c r="L12" s="12" t="s">
        <v>5759</v>
      </c>
      <c r="M12" s="10">
        <v>4162130231</v>
      </c>
      <c r="N12" s="10">
        <v>498167</v>
      </c>
      <c r="O12" s="12">
        <v>1</v>
      </c>
    </row>
    <row r="13" spans="1:15" ht="15" customHeight="1" x14ac:dyDescent="0.3">
      <c r="A13" s="9">
        <v>43566</v>
      </c>
      <c r="B13" s="12">
        <v>717</v>
      </c>
      <c r="C13" s="11">
        <v>0.11799999999999999</v>
      </c>
      <c r="D13" s="10">
        <v>2526</v>
      </c>
      <c r="E13" s="11">
        <v>0.14599999999999999</v>
      </c>
      <c r="F13" s="10">
        <v>408718</v>
      </c>
      <c r="G13" s="11">
        <v>0.151</v>
      </c>
      <c r="H13" s="11">
        <v>0.08</v>
      </c>
      <c r="I13" s="10">
        <v>254624830</v>
      </c>
      <c r="J13" s="12" t="s">
        <v>5760</v>
      </c>
      <c r="K13" s="10">
        <v>32524</v>
      </c>
      <c r="L13" s="12" t="s">
        <v>5761</v>
      </c>
      <c r="M13" s="10">
        <v>4416755061</v>
      </c>
      <c r="N13" s="10">
        <v>530691</v>
      </c>
      <c r="O13" s="12">
        <v>1</v>
      </c>
    </row>
    <row r="14" spans="1:15" ht="15" customHeight="1" x14ac:dyDescent="0.3">
      <c r="A14" s="9">
        <v>43567</v>
      </c>
      <c r="B14" s="12">
        <v>773</v>
      </c>
      <c r="C14" s="11">
        <v>0.123</v>
      </c>
      <c r="D14" s="10">
        <v>2751</v>
      </c>
      <c r="E14" s="11">
        <v>0.154</v>
      </c>
      <c r="F14" s="10">
        <v>453740</v>
      </c>
      <c r="G14" s="11">
        <v>0.16200000000000001</v>
      </c>
      <c r="H14" s="11">
        <v>0.10299999999999999</v>
      </c>
      <c r="I14" s="10">
        <v>392160230</v>
      </c>
      <c r="J14" s="12" t="s">
        <v>5762</v>
      </c>
      <c r="K14" s="10">
        <v>46922</v>
      </c>
      <c r="L14" s="12" t="s">
        <v>5763</v>
      </c>
      <c r="M14" s="10">
        <v>4808915291</v>
      </c>
      <c r="N14" s="10">
        <v>577613</v>
      </c>
      <c r="O14" s="12">
        <v>1</v>
      </c>
    </row>
    <row r="15" spans="1:15" ht="15" customHeight="1" x14ac:dyDescent="0.3">
      <c r="A15" s="9">
        <v>43568</v>
      </c>
      <c r="B15" s="12">
        <v>862</v>
      </c>
      <c r="C15" s="11">
        <v>0.124</v>
      </c>
      <c r="D15" s="10">
        <v>3271</v>
      </c>
      <c r="E15" s="11">
        <v>0.16900000000000001</v>
      </c>
      <c r="F15" s="10">
        <v>558940</v>
      </c>
      <c r="G15" s="11">
        <v>0.186</v>
      </c>
      <c r="H15" s="11">
        <v>0.154</v>
      </c>
      <c r="I15" s="10">
        <v>740847790</v>
      </c>
      <c r="J15" s="12" t="s">
        <v>5764</v>
      </c>
      <c r="K15" s="10">
        <v>86029</v>
      </c>
      <c r="L15" s="12" t="s">
        <v>5765</v>
      </c>
      <c r="M15" s="10">
        <v>5549763081</v>
      </c>
      <c r="N15" s="10">
        <v>663642</v>
      </c>
      <c r="O15" s="12">
        <v>1</v>
      </c>
    </row>
    <row r="16" spans="1:15" ht="15" customHeight="1" x14ac:dyDescent="0.3">
      <c r="A16" s="9">
        <v>43569</v>
      </c>
      <c r="B16" s="12">
        <v>865</v>
      </c>
      <c r="C16" s="11">
        <v>0.125</v>
      </c>
      <c r="D16" s="10">
        <v>3228</v>
      </c>
      <c r="E16" s="11">
        <v>0.17100000000000001</v>
      </c>
      <c r="F16" s="10">
        <v>552223</v>
      </c>
      <c r="G16" s="11">
        <v>0.188</v>
      </c>
      <c r="H16" s="11">
        <v>0.17799999999999999</v>
      </c>
      <c r="I16" s="10">
        <v>851549350</v>
      </c>
      <c r="J16" s="12" t="s">
        <v>5766</v>
      </c>
      <c r="K16" s="10">
        <v>98132</v>
      </c>
      <c r="L16" s="12" t="s">
        <v>5767</v>
      </c>
      <c r="M16" s="10">
        <v>6401312431</v>
      </c>
      <c r="N16" s="10">
        <v>761774</v>
      </c>
      <c r="O16" s="12">
        <v>1</v>
      </c>
    </row>
    <row r="17" spans="1:15" ht="15" customHeight="1" x14ac:dyDescent="0.3">
      <c r="A17" s="9">
        <v>43570</v>
      </c>
      <c r="B17" s="12">
        <v>800</v>
      </c>
      <c r="C17" s="11">
        <v>0.13600000000000001</v>
      </c>
      <c r="D17" s="10">
        <v>2951</v>
      </c>
      <c r="E17" s="11">
        <v>0.182</v>
      </c>
      <c r="F17" s="10">
        <v>498400</v>
      </c>
      <c r="G17" s="11">
        <v>0.19400000000000001</v>
      </c>
      <c r="H17" s="11">
        <v>0.06</v>
      </c>
      <c r="I17" s="10">
        <v>237271000</v>
      </c>
      <c r="J17" s="12" t="s">
        <v>5768</v>
      </c>
      <c r="K17" s="10">
        <v>30109</v>
      </c>
      <c r="L17" s="12" t="s">
        <v>5769</v>
      </c>
      <c r="M17" s="10">
        <v>6638583431</v>
      </c>
      <c r="N17" s="10">
        <v>791883</v>
      </c>
      <c r="O17" s="12">
        <v>1</v>
      </c>
    </row>
    <row r="18" spans="1:15" ht="15" customHeight="1" x14ac:dyDescent="0.3">
      <c r="A18" s="9">
        <v>43571</v>
      </c>
      <c r="B18" s="12">
        <v>827</v>
      </c>
      <c r="C18" s="11">
        <v>0.13900000000000001</v>
      </c>
      <c r="D18" s="10">
        <v>3085</v>
      </c>
      <c r="E18" s="11">
        <v>0.19400000000000001</v>
      </c>
      <c r="F18" s="10">
        <v>515140</v>
      </c>
      <c r="G18" s="11">
        <v>0.20499999999999999</v>
      </c>
      <c r="H18" s="11">
        <v>8.2000000000000003E-2</v>
      </c>
      <c r="I18" s="10">
        <v>327654830</v>
      </c>
      <c r="J18" s="12" t="s">
        <v>5770</v>
      </c>
      <c r="K18" s="10">
        <v>42389</v>
      </c>
      <c r="L18" s="12" t="s">
        <v>5771</v>
      </c>
      <c r="M18" s="10">
        <v>6966238261</v>
      </c>
      <c r="N18" s="10">
        <v>834272</v>
      </c>
      <c r="O18" s="12">
        <v>1</v>
      </c>
    </row>
    <row r="19" spans="1:15" ht="15" customHeight="1" x14ac:dyDescent="0.3">
      <c r="A19" s="9">
        <v>43572</v>
      </c>
      <c r="B19" s="12">
        <v>709</v>
      </c>
      <c r="C19" s="11">
        <v>0.12</v>
      </c>
      <c r="D19" s="10">
        <v>2719</v>
      </c>
      <c r="E19" s="11">
        <v>0.16400000000000001</v>
      </c>
      <c r="F19" s="10">
        <v>466422</v>
      </c>
      <c r="G19" s="11">
        <v>0.17699999999999999</v>
      </c>
      <c r="H19" s="11">
        <v>7.0000000000000007E-2</v>
      </c>
      <c r="I19" s="10">
        <v>254784140</v>
      </c>
      <c r="J19" s="12" t="s">
        <v>5772</v>
      </c>
      <c r="K19" s="10">
        <v>32539</v>
      </c>
      <c r="L19" s="12" t="s">
        <v>5773</v>
      </c>
      <c r="M19" s="10">
        <v>7221022401</v>
      </c>
      <c r="N19" s="10">
        <v>866811</v>
      </c>
      <c r="O19" s="12">
        <v>1</v>
      </c>
    </row>
    <row r="20" spans="1:15" ht="15" customHeight="1" x14ac:dyDescent="0.3">
      <c r="A20" s="9">
        <v>43573</v>
      </c>
      <c r="B20" s="12">
        <v>671</v>
      </c>
      <c r="C20" s="11">
        <v>0.10199999999999999</v>
      </c>
      <c r="D20" s="10">
        <v>2496</v>
      </c>
      <c r="E20" s="11">
        <v>0.152</v>
      </c>
      <c r="F20" s="10">
        <v>445336</v>
      </c>
      <c r="G20" s="11">
        <v>0.17</v>
      </c>
      <c r="H20" s="11">
        <v>6.5000000000000002E-2</v>
      </c>
      <c r="I20" s="10">
        <v>226770890</v>
      </c>
      <c r="J20" s="12" t="s">
        <v>5774</v>
      </c>
      <c r="K20" s="10">
        <v>29015</v>
      </c>
      <c r="L20" s="12" t="s">
        <v>5775</v>
      </c>
      <c r="M20" s="10">
        <v>7447793291</v>
      </c>
      <c r="N20" s="10">
        <v>895826</v>
      </c>
      <c r="O20" s="12">
        <v>1</v>
      </c>
    </row>
    <row r="21" spans="1:15" ht="15" customHeight="1" x14ac:dyDescent="0.3">
      <c r="A21" s="9">
        <v>43574</v>
      </c>
      <c r="B21" s="12">
        <v>727</v>
      </c>
      <c r="C21" s="11">
        <v>0.106</v>
      </c>
      <c r="D21" s="10">
        <v>2744</v>
      </c>
      <c r="E21" s="11">
        <v>0.158</v>
      </c>
      <c r="F21" s="10">
        <v>482166</v>
      </c>
      <c r="G21" s="11">
        <v>0.17599999999999999</v>
      </c>
      <c r="H21" s="11">
        <v>7.5999999999999998E-2</v>
      </c>
      <c r="I21" s="10">
        <v>307912135</v>
      </c>
      <c r="J21" s="12" t="s">
        <v>5776</v>
      </c>
      <c r="K21" s="10">
        <v>36846</v>
      </c>
      <c r="L21" s="12" t="s">
        <v>5777</v>
      </c>
      <c r="M21" s="10">
        <v>7755705426</v>
      </c>
      <c r="N21" s="10">
        <v>932672</v>
      </c>
      <c r="O21" s="12">
        <v>1</v>
      </c>
    </row>
    <row r="22" spans="1:15" ht="15" customHeight="1" x14ac:dyDescent="0.3">
      <c r="A22" s="9">
        <v>43575</v>
      </c>
      <c r="B22" s="12">
        <v>878</v>
      </c>
      <c r="C22" s="11">
        <v>0.11600000000000001</v>
      </c>
      <c r="D22" s="10">
        <v>3317</v>
      </c>
      <c r="E22" s="11">
        <v>0.17299999999999999</v>
      </c>
      <c r="F22" s="10">
        <v>598313</v>
      </c>
      <c r="G22" s="11">
        <v>0.19900000000000001</v>
      </c>
      <c r="H22" s="11">
        <v>0.11799999999999999</v>
      </c>
      <c r="I22" s="10">
        <v>599578994</v>
      </c>
      <c r="J22" s="12" t="s">
        <v>5778</v>
      </c>
      <c r="K22" s="10">
        <v>70426</v>
      </c>
      <c r="L22" s="12" t="s">
        <v>5779</v>
      </c>
      <c r="M22" s="10">
        <v>8355284420</v>
      </c>
      <c r="N22" s="10">
        <v>1003098</v>
      </c>
      <c r="O22" s="12">
        <v>1</v>
      </c>
    </row>
    <row r="23" spans="1:15" ht="15" customHeight="1" x14ac:dyDescent="0.3">
      <c r="A23" s="9">
        <v>43576</v>
      </c>
      <c r="B23" s="12">
        <v>855</v>
      </c>
      <c r="C23" s="11">
        <v>0.115</v>
      </c>
      <c r="D23" s="10">
        <v>3232</v>
      </c>
      <c r="E23" s="11">
        <v>0.17399999999999999</v>
      </c>
      <c r="F23" s="10">
        <v>589966</v>
      </c>
      <c r="G23" s="11">
        <v>0.20200000000000001</v>
      </c>
      <c r="H23" s="11">
        <v>0.107</v>
      </c>
      <c r="I23" s="10">
        <v>539663210</v>
      </c>
      <c r="J23" s="12" t="s">
        <v>5780</v>
      </c>
      <c r="K23" s="10">
        <v>63042</v>
      </c>
      <c r="L23" s="12" t="s">
        <v>5781</v>
      </c>
      <c r="M23" s="10">
        <v>8894947630</v>
      </c>
      <c r="N23" s="10">
        <v>1066140</v>
      </c>
      <c r="O23" s="12">
        <v>1</v>
      </c>
    </row>
    <row r="24" spans="1:15" ht="15" customHeight="1" x14ac:dyDescent="0.3">
      <c r="A24" s="9">
        <v>43577</v>
      </c>
      <c r="B24" s="12">
        <v>783</v>
      </c>
      <c r="C24" s="11">
        <v>0.123</v>
      </c>
      <c r="D24" s="10">
        <v>2836</v>
      </c>
      <c r="E24" s="11">
        <v>0.182</v>
      </c>
      <c r="F24" s="10">
        <v>503109</v>
      </c>
      <c r="G24" s="11">
        <v>0.20200000000000001</v>
      </c>
      <c r="H24" s="11">
        <v>4.3999999999999997E-2</v>
      </c>
      <c r="I24" s="10">
        <v>170648890</v>
      </c>
      <c r="J24" s="12" t="s">
        <v>5782</v>
      </c>
      <c r="K24" s="10">
        <v>21995</v>
      </c>
      <c r="L24" s="12" t="s">
        <v>5783</v>
      </c>
      <c r="M24" s="10">
        <v>9065596520</v>
      </c>
      <c r="N24" s="10">
        <v>1088135</v>
      </c>
      <c r="O24" s="12">
        <v>1</v>
      </c>
    </row>
    <row r="25" spans="1:15" ht="15" customHeight="1" x14ac:dyDescent="0.3">
      <c r="A25" s="9">
        <v>43578</v>
      </c>
      <c r="B25" s="12">
        <v>783</v>
      </c>
      <c r="C25" s="11">
        <v>0.121</v>
      </c>
      <c r="D25" s="10">
        <v>2830</v>
      </c>
      <c r="E25" s="11">
        <v>0.183</v>
      </c>
      <c r="F25" s="10">
        <v>497140</v>
      </c>
      <c r="G25" s="11">
        <v>0.20200000000000001</v>
      </c>
      <c r="H25" s="11">
        <v>4.3999999999999997E-2</v>
      </c>
      <c r="I25" s="10">
        <v>167174950</v>
      </c>
      <c r="J25" s="12" t="s">
        <v>5784</v>
      </c>
      <c r="K25" s="10">
        <v>21873</v>
      </c>
      <c r="L25" s="12" t="s">
        <v>5785</v>
      </c>
      <c r="M25" s="10">
        <v>9232771470</v>
      </c>
      <c r="N25" s="10">
        <v>1110008</v>
      </c>
      <c r="O25" s="12">
        <v>1</v>
      </c>
    </row>
    <row r="26" spans="1:15" ht="15" customHeight="1" x14ac:dyDescent="0.3">
      <c r="A26" s="9">
        <v>43579</v>
      </c>
      <c r="B26" s="12">
        <v>422</v>
      </c>
      <c r="C26" s="11">
        <v>8.6999999999999994E-2</v>
      </c>
      <c r="D26" s="12">
        <v>883</v>
      </c>
      <c r="E26" s="11">
        <v>5.7000000000000002E-2</v>
      </c>
      <c r="F26" s="10">
        <v>102516</v>
      </c>
      <c r="G26" s="11">
        <v>4.2999999999999997E-2</v>
      </c>
      <c r="H26" s="11">
        <v>0.17199999999999999</v>
      </c>
      <c r="I26" s="10">
        <v>106838670</v>
      </c>
      <c r="J26" s="12" t="s">
        <v>5786</v>
      </c>
      <c r="K26" s="10">
        <v>17660</v>
      </c>
      <c r="L26" s="12" t="s">
        <v>5787</v>
      </c>
      <c r="M26" s="10">
        <v>9339610140</v>
      </c>
      <c r="N26" s="10">
        <v>1127668</v>
      </c>
      <c r="O26" s="12">
        <v>2</v>
      </c>
    </row>
    <row r="27" spans="1:15" ht="15" customHeight="1" x14ac:dyDescent="0.3">
      <c r="A27" s="9">
        <v>43580</v>
      </c>
      <c r="B27" s="12">
        <v>423</v>
      </c>
      <c r="C27" s="11">
        <v>8.4000000000000005E-2</v>
      </c>
      <c r="D27" s="12">
        <v>777</v>
      </c>
      <c r="E27" s="11">
        <v>4.9000000000000002E-2</v>
      </c>
      <c r="F27" s="10">
        <v>88919</v>
      </c>
      <c r="G27" s="11">
        <v>3.6999999999999998E-2</v>
      </c>
      <c r="H27" s="11">
        <v>0.105</v>
      </c>
      <c r="I27" s="10">
        <v>72857060</v>
      </c>
      <c r="J27" s="12" t="s">
        <v>5788</v>
      </c>
      <c r="K27" s="10">
        <v>9375</v>
      </c>
      <c r="L27" s="12" t="s">
        <v>5789</v>
      </c>
      <c r="M27" s="10">
        <v>9412467200</v>
      </c>
      <c r="N27" s="10">
        <v>1137043</v>
      </c>
      <c r="O27" s="12">
        <v>3</v>
      </c>
    </row>
    <row r="28" spans="1:15" ht="15" customHeight="1" x14ac:dyDescent="0.3">
      <c r="A28" s="9">
        <v>43581</v>
      </c>
      <c r="B28" s="12">
        <v>410</v>
      </c>
      <c r="C28" s="11">
        <v>8.2000000000000003E-2</v>
      </c>
      <c r="D28" s="12">
        <v>714</v>
      </c>
      <c r="E28" s="11">
        <v>4.3999999999999997E-2</v>
      </c>
      <c r="F28" s="10">
        <v>80341</v>
      </c>
      <c r="G28" s="11">
        <v>3.3000000000000002E-2</v>
      </c>
      <c r="H28" s="11">
        <v>0.14299999999999999</v>
      </c>
      <c r="I28" s="10">
        <v>96018680</v>
      </c>
      <c r="J28" s="12" t="s">
        <v>5790</v>
      </c>
      <c r="K28" s="10">
        <v>11510</v>
      </c>
      <c r="L28" s="12" t="s">
        <v>5791</v>
      </c>
      <c r="M28" s="10">
        <v>9508485880</v>
      </c>
      <c r="N28" s="10">
        <v>1148553</v>
      </c>
      <c r="O28" s="12">
        <v>3</v>
      </c>
    </row>
    <row r="29" spans="1:15" ht="15" customHeight="1" x14ac:dyDescent="0.3">
      <c r="A29" s="9">
        <v>43582</v>
      </c>
      <c r="B29" s="12">
        <v>334</v>
      </c>
      <c r="C29" s="11">
        <v>6.6000000000000003E-2</v>
      </c>
      <c r="D29" s="12">
        <v>471</v>
      </c>
      <c r="E29" s="11">
        <v>2.8000000000000001E-2</v>
      </c>
      <c r="F29" s="10">
        <v>55479</v>
      </c>
      <c r="G29" s="11">
        <v>2.1000000000000001E-2</v>
      </c>
      <c r="H29" s="11">
        <v>0.19400000000000001</v>
      </c>
      <c r="I29" s="10">
        <v>89871710</v>
      </c>
      <c r="J29" s="12" t="s">
        <v>5792</v>
      </c>
      <c r="K29" s="10">
        <v>10758</v>
      </c>
      <c r="L29" s="12" t="s">
        <v>5793</v>
      </c>
      <c r="M29" s="10">
        <v>9598357590</v>
      </c>
      <c r="N29" s="10">
        <v>1159311</v>
      </c>
      <c r="O29" s="12">
        <v>3</v>
      </c>
    </row>
    <row r="30" spans="1:15" ht="15" customHeight="1" x14ac:dyDescent="0.3">
      <c r="A30" s="9">
        <v>43583</v>
      </c>
      <c r="B30" s="12">
        <v>345</v>
      </c>
      <c r="C30" s="11">
        <v>6.9000000000000006E-2</v>
      </c>
      <c r="D30" s="12">
        <v>460</v>
      </c>
      <c r="E30" s="11">
        <v>2.8000000000000001E-2</v>
      </c>
      <c r="F30" s="10">
        <v>55602</v>
      </c>
      <c r="G30" s="11">
        <v>2.1999999999999999E-2</v>
      </c>
      <c r="H30" s="11">
        <v>0.16300000000000001</v>
      </c>
      <c r="I30" s="10">
        <v>74505500</v>
      </c>
      <c r="J30" s="12" t="s">
        <v>5794</v>
      </c>
      <c r="K30" s="10">
        <v>9075</v>
      </c>
      <c r="L30" s="12" t="s">
        <v>5795</v>
      </c>
      <c r="M30" s="10">
        <v>9672863090</v>
      </c>
      <c r="N30" s="10">
        <v>1168386</v>
      </c>
      <c r="O30" s="12">
        <v>3</v>
      </c>
    </row>
    <row r="31" spans="1:15" ht="15" customHeight="1" x14ac:dyDescent="0.3">
      <c r="A31" s="9">
        <v>43584</v>
      </c>
      <c r="B31" s="12">
        <v>378</v>
      </c>
      <c r="C31" s="11">
        <v>7.8E-2</v>
      </c>
      <c r="D31" s="12">
        <v>622</v>
      </c>
      <c r="E31" s="11">
        <v>4.1000000000000002E-2</v>
      </c>
      <c r="F31" s="10">
        <v>71119</v>
      </c>
      <c r="G31" s="11">
        <v>0.03</v>
      </c>
      <c r="H31" s="11">
        <v>8.5000000000000006E-2</v>
      </c>
      <c r="I31" s="10">
        <v>45800990</v>
      </c>
      <c r="J31" s="12" t="s">
        <v>5796</v>
      </c>
      <c r="K31" s="10">
        <v>6010</v>
      </c>
      <c r="L31" s="12" t="s">
        <v>5797</v>
      </c>
      <c r="M31" s="10">
        <v>9718664080</v>
      </c>
      <c r="N31" s="10">
        <v>1174396</v>
      </c>
      <c r="O31" s="12">
        <v>3</v>
      </c>
    </row>
    <row r="32" spans="1:15" ht="15" customHeight="1" x14ac:dyDescent="0.3">
      <c r="A32" s="9">
        <v>43585</v>
      </c>
      <c r="B32" s="12">
        <v>403</v>
      </c>
      <c r="C32" s="11">
        <v>8.1000000000000003E-2</v>
      </c>
      <c r="D32" s="12">
        <v>649</v>
      </c>
      <c r="E32" s="11">
        <v>4.1000000000000002E-2</v>
      </c>
      <c r="F32" s="10">
        <v>73728</v>
      </c>
      <c r="G32" s="11">
        <v>3.1E-2</v>
      </c>
      <c r="H32" s="11">
        <v>0.122</v>
      </c>
      <c r="I32" s="10">
        <v>66250450</v>
      </c>
      <c r="J32" s="12" t="s">
        <v>5798</v>
      </c>
      <c r="K32" s="10">
        <v>8977</v>
      </c>
      <c r="L32" s="12" t="s">
        <v>5799</v>
      </c>
      <c r="M32" s="10">
        <v>9784914530</v>
      </c>
      <c r="N32" s="10">
        <v>1183373</v>
      </c>
      <c r="O32" s="12">
        <v>3</v>
      </c>
    </row>
    <row r="33" spans="1:15" ht="15" customHeight="1" x14ac:dyDescent="0.3">
      <c r="A33" s="9">
        <v>43586</v>
      </c>
      <c r="B33" s="12">
        <v>102</v>
      </c>
      <c r="C33" s="11">
        <v>0.02</v>
      </c>
      <c r="D33" s="12">
        <v>141</v>
      </c>
      <c r="E33" s="11">
        <v>8.0000000000000002E-3</v>
      </c>
      <c r="F33" s="10">
        <v>17031</v>
      </c>
      <c r="G33" s="11">
        <v>7.0000000000000001E-3</v>
      </c>
      <c r="H33" s="11">
        <v>0.19900000000000001</v>
      </c>
      <c r="I33" s="10">
        <v>23233310</v>
      </c>
      <c r="J33" s="12" t="s">
        <v>5800</v>
      </c>
      <c r="K33" s="10">
        <v>3389</v>
      </c>
      <c r="L33" s="12" t="s">
        <v>5801</v>
      </c>
      <c r="M33" s="10">
        <v>9808147840</v>
      </c>
      <c r="N33" s="10">
        <v>1186762</v>
      </c>
      <c r="O33" s="12">
        <v>5</v>
      </c>
    </row>
    <row r="34" spans="1:15" ht="15" customHeight="1" x14ac:dyDescent="0.3">
      <c r="A34" s="9">
        <v>43587</v>
      </c>
      <c r="B34" s="12">
        <v>106</v>
      </c>
      <c r="C34" s="11">
        <v>2.1999999999999999E-2</v>
      </c>
      <c r="D34" s="12">
        <v>144</v>
      </c>
      <c r="E34" s="11">
        <v>8.9999999999999993E-3</v>
      </c>
      <c r="F34" s="10">
        <v>17906</v>
      </c>
      <c r="G34" s="11">
        <v>7.0000000000000001E-3</v>
      </c>
      <c r="H34" s="11">
        <v>6.7000000000000004E-2</v>
      </c>
      <c r="I34" s="10">
        <v>8650280</v>
      </c>
      <c r="J34" s="12" t="s">
        <v>5802</v>
      </c>
      <c r="K34" s="10">
        <v>1193</v>
      </c>
      <c r="L34" s="12" t="s">
        <v>5803</v>
      </c>
      <c r="M34" s="10">
        <v>9816798120</v>
      </c>
      <c r="N34" s="10">
        <v>1187955</v>
      </c>
      <c r="O34" s="12">
        <v>12</v>
      </c>
    </row>
    <row r="35" spans="1:15" ht="15" customHeight="1" x14ac:dyDescent="0.3">
      <c r="A35" s="9">
        <v>43588</v>
      </c>
      <c r="B35" s="12">
        <v>98</v>
      </c>
      <c r="C35" s="11">
        <v>0.02</v>
      </c>
      <c r="D35" s="12">
        <v>135</v>
      </c>
      <c r="E35" s="11">
        <v>8.0000000000000002E-3</v>
      </c>
      <c r="F35" s="10">
        <v>16131</v>
      </c>
      <c r="G35" s="11">
        <v>6.0000000000000001E-3</v>
      </c>
      <c r="H35" s="11">
        <v>0.10199999999999999</v>
      </c>
      <c r="I35" s="10">
        <v>12455710</v>
      </c>
      <c r="J35" s="12" t="s">
        <v>5804</v>
      </c>
      <c r="K35" s="10">
        <v>1651</v>
      </c>
      <c r="L35" s="12" t="s">
        <v>5805</v>
      </c>
      <c r="M35" s="10">
        <v>9829253830</v>
      </c>
      <c r="N35" s="10">
        <v>1189606</v>
      </c>
      <c r="O35" s="12">
        <v>7</v>
      </c>
    </row>
    <row r="36" spans="1:15" ht="15" customHeight="1" x14ac:dyDescent="0.3">
      <c r="A36" s="9">
        <v>43589</v>
      </c>
      <c r="B36" s="12">
        <v>46</v>
      </c>
      <c r="C36" s="11">
        <v>8.0000000000000002E-3</v>
      </c>
      <c r="D36" s="12">
        <v>61</v>
      </c>
      <c r="E36" s="11">
        <v>3.0000000000000001E-3</v>
      </c>
      <c r="F36" s="10">
        <v>6985</v>
      </c>
      <c r="G36" s="11">
        <v>3.0000000000000001E-3</v>
      </c>
      <c r="H36" s="11">
        <v>0.123</v>
      </c>
      <c r="I36" s="10">
        <v>6604610</v>
      </c>
      <c r="J36" s="12" t="s">
        <v>5806</v>
      </c>
      <c r="K36" s="12">
        <v>857</v>
      </c>
      <c r="L36" s="12" t="s">
        <v>5807</v>
      </c>
      <c r="M36" s="10">
        <v>9835858440</v>
      </c>
      <c r="N36" s="10">
        <v>1190463</v>
      </c>
      <c r="O36" s="12">
        <v>13</v>
      </c>
    </row>
    <row r="37" spans="1:15" ht="15" customHeight="1" x14ac:dyDescent="0.3">
      <c r="A37" s="9">
        <v>43590</v>
      </c>
      <c r="B37" s="12">
        <v>36</v>
      </c>
      <c r="C37" s="11">
        <v>6.0000000000000001E-3</v>
      </c>
      <c r="D37" s="12">
        <v>44</v>
      </c>
      <c r="E37" s="11">
        <v>2E-3</v>
      </c>
      <c r="F37" s="10">
        <v>5335</v>
      </c>
      <c r="G37" s="11">
        <v>2E-3</v>
      </c>
      <c r="H37" s="11">
        <v>0.122</v>
      </c>
      <c r="I37" s="10">
        <v>5085130</v>
      </c>
      <c r="J37" s="12" t="s">
        <v>5808</v>
      </c>
      <c r="K37" s="12">
        <v>650</v>
      </c>
      <c r="L37" s="12" t="s">
        <v>5809</v>
      </c>
      <c r="M37" s="10">
        <v>9840943570</v>
      </c>
      <c r="N37" s="10">
        <v>1191113</v>
      </c>
      <c r="O37" s="12">
        <v>13</v>
      </c>
    </row>
    <row r="38" spans="1:15" ht="15" customHeight="1" x14ac:dyDescent="0.3">
      <c r="A38" s="9">
        <v>43591</v>
      </c>
      <c r="B38" s="12">
        <v>44</v>
      </c>
      <c r="C38" s="11">
        <v>8.0000000000000002E-3</v>
      </c>
      <c r="D38" s="12">
        <v>57</v>
      </c>
      <c r="E38" s="11">
        <v>3.0000000000000001E-3</v>
      </c>
      <c r="F38" s="10">
        <v>6782</v>
      </c>
      <c r="G38" s="11">
        <v>3.0000000000000001E-3</v>
      </c>
      <c r="H38" s="11">
        <v>0.11600000000000001</v>
      </c>
      <c r="I38" s="10">
        <v>6189600</v>
      </c>
      <c r="J38" s="12" t="s">
        <v>5810</v>
      </c>
      <c r="K38" s="12">
        <v>788</v>
      </c>
      <c r="L38" s="12" t="s">
        <v>5811</v>
      </c>
      <c r="M38" s="10">
        <v>9847133170</v>
      </c>
      <c r="N38" s="10">
        <v>1191901</v>
      </c>
      <c r="O38" s="12">
        <v>13</v>
      </c>
    </row>
    <row r="39" spans="1:15" ht="15" customHeight="1" x14ac:dyDescent="0.3">
      <c r="A39" s="9">
        <v>43592</v>
      </c>
      <c r="B39" s="12">
        <v>114</v>
      </c>
      <c r="C39" s="11">
        <v>2.4E-2</v>
      </c>
      <c r="D39" s="12">
        <v>157</v>
      </c>
      <c r="E39" s="11">
        <v>0.01</v>
      </c>
      <c r="F39" s="10">
        <v>19202</v>
      </c>
      <c r="G39" s="11">
        <v>8.0000000000000002E-3</v>
      </c>
      <c r="H39" s="11">
        <v>6.9000000000000006E-2</v>
      </c>
      <c r="I39" s="10">
        <v>8673540</v>
      </c>
      <c r="J39" s="12" t="s">
        <v>5812</v>
      </c>
      <c r="K39" s="10">
        <v>1326</v>
      </c>
      <c r="L39" s="12" t="s">
        <v>5813</v>
      </c>
      <c r="M39" s="10">
        <v>9855806710</v>
      </c>
      <c r="N39" s="10">
        <v>1193227</v>
      </c>
      <c r="O39" s="12">
        <v>9</v>
      </c>
    </row>
    <row r="40" spans="1:15" ht="15" customHeight="1" x14ac:dyDescent="0.3">
      <c r="A40" s="9">
        <v>43593</v>
      </c>
      <c r="B40" s="12">
        <v>104</v>
      </c>
      <c r="C40" s="11">
        <v>2.3E-2</v>
      </c>
      <c r="D40" s="12">
        <v>144</v>
      </c>
      <c r="E40" s="11">
        <v>0.01</v>
      </c>
      <c r="F40" s="10">
        <v>17610</v>
      </c>
      <c r="G40" s="11">
        <v>8.0000000000000002E-3</v>
      </c>
      <c r="H40" s="11">
        <v>3.3000000000000002E-2</v>
      </c>
      <c r="I40" s="10">
        <v>4496980</v>
      </c>
      <c r="J40" s="12" t="s">
        <v>5814</v>
      </c>
      <c r="K40" s="12">
        <v>578</v>
      </c>
      <c r="L40" s="12" t="s">
        <v>5815</v>
      </c>
      <c r="M40" s="10">
        <v>9860303690</v>
      </c>
      <c r="N40" s="10">
        <v>1193805</v>
      </c>
      <c r="O40" s="12">
        <v>15</v>
      </c>
    </row>
    <row r="41" spans="1:15" ht="15" customHeight="1" x14ac:dyDescent="0.3">
      <c r="A41" s="9">
        <v>43594</v>
      </c>
      <c r="B41" s="12">
        <v>15</v>
      </c>
      <c r="C41" s="11">
        <v>3.0000000000000001E-3</v>
      </c>
      <c r="D41" s="12">
        <v>16</v>
      </c>
      <c r="E41" s="11">
        <v>1E-3</v>
      </c>
      <c r="F41" s="10">
        <v>2267</v>
      </c>
      <c r="G41" s="11">
        <v>1E-3</v>
      </c>
      <c r="H41" s="11">
        <v>0.13100000000000001</v>
      </c>
      <c r="I41" s="10">
        <v>2061000</v>
      </c>
      <c r="J41" s="12" t="s">
        <v>5816</v>
      </c>
      <c r="K41" s="12">
        <v>296</v>
      </c>
      <c r="L41" s="12" t="s">
        <v>5817</v>
      </c>
      <c r="M41" s="10">
        <v>9862364690</v>
      </c>
      <c r="N41" s="10">
        <v>1194101</v>
      </c>
      <c r="O41" s="12">
        <v>22</v>
      </c>
    </row>
    <row r="42" spans="1:15" ht="15" customHeight="1" x14ac:dyDescent="0.3">
      <c r="A42" s="9">
        <v>43595</v>
      </c>
      <c r="B42" s="12">
        <v>14</v>
      </c>
      <c r="C42" s="11">
        <v>3.0000000000000001E-3</v>
      </c>
      <c r="D42" s="12">
        <v>16</v>
      </c>
      <c r="E42" s="11">
        <v>1E-3</v>
      </c>
      <c r="F42" s="10">
        <v>2044</v>
      </c>
      <c r="G42" s="11">
        <v>1E-3</v>
      </c>
      <c r="H42" s="11">
        <v>9.6000000000000002E-2</v>
      </c>
      <c r="I42" s="10">
        <v>1011000</v>
      </c>
      <c r="J42" s="12" t="s">
        <v>5818</v>
      </c>
      <c r="K42" s="12">
        <v>196</v>
      </c>
      <c r="L42" s="12" t="s">
        <v>5819</v>
      </c>
      <c r="M42" s="10">
        <v>9863375690</v>
      </c>
      <c r="N42" s="10">
        <v>1194297</v>
      </c>
      <c r="O42" s="12">
        <v>30</v>
      </c>
    </row>
    <row r="43" spans="1:15" ht="15" customHeight="1" x14ac:dyDescent="0.3">
      <c r="A43" s="9">
        <v>43596</v>
      </c>
      <c r="B43" s="12">
        <v>9</v>
      </c>
      <c r="C43" s="11">
        <v>2E-3</v>
      </c>
      <c r="D43" s="12">
        <v>12</v>
      </c>
      <c r="E43" s="11">
        <v>1E-3</v>
      </c>
      <c r="F43" s="10">
        <v>1495</v>
      </c>
      <c r="G43" s="11">
        <v>1E-3</v>
      </c>
      <c r="H43" s="11">
        <v>6.2E-2</v>
      </c>
      <c r="I43" s="10">
        <v>605650</v>
      </c>
      <c r="J43" s="12" t="s">
        <v>5820</v>
      </c>
      <c r="K43" s="12">
        <v>93</v>
      </c>
      <c r="L43" s="12" t="s">
        <v>5821</v>
      </c>
      <c r="M43" s="10">
        <v>9863981340</v>
      </c>
      <c r="N43" s="10">
        <v>1194390</v>
      </c>
      <c r="O43" s="12">
        <v>40</v>
      </c>
    </row>
    <row r="44" spans="1:15" ht="15" customHeight="1" x14ac:dyDescent="0.3">
      <c r="A44" s="9">
        <v>43597</v>
      </c>
      <c r="B44" s="12">
        <v>8</v>
      </c>
      <c r="C44" s="11">
        <v>1E-3</v>
      </c>
      <c r="D44" s="12">
        <v>10</v>
      </c>
      <c r="E44" s="11">
        <v>1E-3</v>
      </c>
      <c r="F44" s="10">
        <v>1402</v>
      </c>
      <c r="G44" s="11">
        <v>1E-3</v>
      </c>
      <c r="H44" s="11">
        <v>3.9E-2</v>
      </c>
      <c r="I44" s="10">
        <v>446500</v>
      </c>
      <c r="J44" s="12" t="s">
        <v>5822</v>
      </c>
      <c r="K44" s="12">
        <v>54</v>
      </c>
      <c r="L44" s="12" t="s">
        <v>5823</v>
      </c>
      <c r="M44" s="10">
        <v>9864427840</v>
      </c>
      <c r="N44" s="10">
        <v>1194444</v>
      </c>
      <c r="O44" s="12">
        <v>47</v>
      </c>
    </row>
    <row r="45" spans="1:15" ht="15" customHeight="1" x14ac:dyDescent="0.3">
      <c r="A45" s="9">
        <v>43598</v>
      </c>
      <c r="B45" s="12">
        <v>9</v>
      </c>
      <c r="C45" s="11">
        <v>2E-3</v>
      </c>
      <c r="D45" s="12">
        <v>10</v>
      </c>
      <c r="E45" s="11">
        <v>1E-3</v>
      </c>
      <c r="F45" s="10">
        <v>1261</v>
      </c>
      <c r="G45" s="11">
        <v>1E-3</v>
      </c>
      <c r="H45" s="11">
        <v>1.6E-2</v>
      </c>
      <c r="I45" s="10">
        <v>146000</v>
      </c>
      <c r="J45" s="12" t="s">
        <v>5824</v>
      </c>
      <c r="K45" s="12">
        <v>20</v>
      </c>
      <c r="L45" s="12" t="s">
        <v>5825</v>
      </c>
      <c r="M45" s="10">
        <v>9864573840</v>
      </c>
      <c r="N45" s="10">
        <v>1194464</v>
      </c>
      <c r="O45" s="12">
        <v>60</v>
      </c>
    </row>
    <row r="46" spans="1:15" ht="15" customHeight="1" x14ac:dyDescent="0.3">
      <c r="A46" s="9">
        <v>43599</v>
      </c>
      <c r="B46" s="12">
        <v>7</v>
      </c>
      <c r="C46" s="11">
        <v>1E-3</v>
      </c>
      <c r="D46" s="12">
        <v>7</v>
      </c>
      <c r="E46" s="11">
        <v>0</v>
      </c>
      <c r="F46" s="12">
        <v>979</v>
      </c>
      <c r="G46" s="11">
        <v>0</v>
      </c>
      <c r="H46" s="11">
        <v>7.3999999999999996E-2</v>
      </c>
      <c r="I46" s="10">
        <v>379000</v>
      </c>
      <c r="J46" s="12" t="s">
        <v>5826</v>
      </c>
      <c r="K46" s="12">
        <v>72</v>
      </c>
      <c r="L46" s="12" t="s">
        <v>5827</v>
      </c>
      <c r="M46" s="10">
        <v>9864952840</v>
      </c>
      <c r="N46" s="10">
        <v>1194536</v>
      </c>
      <c r="O46" s="12">
        <v>45</v>
      </c>
    </row>
    <row r="47" spans="1:15" ht="15" customHeight="1" x14ac:dyDescent="0.3">
      <c r="A47" s="9">
        <v>43600</v>
      </c>
      <c r="B47" s="12">
        <v>13</v>
      </c>
      <c r="C47" s="11">
        <v>2E-3</v>
      </c>
      <c r="D47" s="12">
        <v>14</v>
      </c>
      <c r="E47" s="11">
        <v>1E-3</v>
      </c>
      <c r="F47" s="10">
        <v>1736</v>
      </c>
      <c r="G47" s="11">
        <v>1E-3</v>
      </c>
      <c r="H47" s="11">
        <v>0.48899999999999999</v>
      </c>
      <c r="I47" s="10">
        <v>6449000</v>
      </c>
      <c r="J47" s="12" t="s">
        <v>5828</v>
      </c>
      <c r="K47" s="12">
        <v>849</v>
      </c>
      <c r="L47" s="12" t="s">
        <v>5829</v>
      </c>
      <c r="M47" s="10">
        <v>9871401840</v>
      </c>
      <c r="N47" s="10">
        <v>1195385</v>
      </c>
      <c r="O47" s="12">
        <v>9</v>
      </c>
    </row>
    <row r="48" spans="1:15" ht="15" customHeight="1" x14ac:dyDescent="0.3">
      <c r="A48" s="9">
        <v>43601</v>
      </c>
      <c r="B48" s="12">
        <v>6</v>
      </c>
      <c r="C48" s="11">
        <v>1E-3</v>
      </c>
      <c r="D48" s="12">
        <v>6</v>
      </c>
      <c r="E48" s="11">
        <v>0</v>
      </c>
      <c r="F48" s="12">
        <v>734</v>
      </c>
      <c r="G48" s="11">
        <v>0</v>
      </c>
      <c r="H48" s="11">
        <v>0.24399999999999999</v>
      </c>
      <c r="I48" s="10">
        <v>1257000</v>
      </c>
      <c r="J48" s="12" t="s">
        <v>5830</v>
      </c>
      <c r="K48" s="12">
        <v>179</v>
      </c>
      <c r="L48" s="12" t="s">
        <v>5831</v>
      </c>
      <c r="M48" s="10">
        <v>9872658840</v>
      </c>
      <c r="N48" s="10">
        <v>1195564</v>
      </c>
      <c r="O48" s="12">
        <v>39</v>
      </c>
    </row>
    <row r="49" spans="1:15" ht="15" customHeight="1" x14ac:dyDescent="0.3">
      <c r="A49" s="9">
        <v>43602</v>
      </c>
      <c r="B49" s="12">
        <v>3</v>
      </c>
      <c r="C49" s="11">
        <v>1E-3</v>
      </c>
      <c r="D49" s="12">
        <v>4</v>
      </c>
      <c r="E49" s="11">
        <v>0</v>
      </c>
      <c r="F49" s="12">
        <v>588</v>
      </c>
      <c r="G49" s="11">
        <v>0</v>
      </c>
      <c r="H49" s="11">
        <v>0.255</v>
      </c>
      <c r="I49" s="10">
        <v>757000</v>
      </c>
      <c r="J49" s="12" t="s">
        <v>5832</v>
      </c>
      <c r="K49" s="12">
        <v>150</v>
      </c>
      <c r="L49" s="12" t="s">
        <v>5833</v>
      </c>
      <c r="M49" s="10">
        <v>9873415840</v>
      </c>
      <c r="N49" s="10">
        <v>1195714</v>
      </c>
      <c r="O49" s="12">
        <v>40</v>
      </c>
    </row>
    <row r="50" spans="1:15" ht="15" customHeight="1" x14ac:dyDescent="0.3">
      <c r="A50" s="9">
        <v>43603</v>
      </c>
      <c r="B50" s="12">
        <v>3</v>
      </c>
      <c r="C50" s="11">
        <v>0</v>
      </c>
      <c r="D50" s="12">
        <v>3</v>
      </c>
      <c r="E50" s="11">
        <v>0</v>
      </c>
      <c r="F50" s="12">
        <v>475</v>
      </c>
      <c r="G50" s="11">
        <v>0</v>
      </c>
      <c r="H50" s="11">
        <v>6.0000000000000001E-3</v>
      </c>
      <c r="I50" s="10">
        <v>22000</v>
      </c>
      <c r="J50" s="12" t="s">
        <v>5834</v>
      </c>
      <c r="K50" s="12">
        <v>3</v>
      </c>
      <c r="L50" s="12" t="s">
        <v>5835</v>
      </c>
      <c r="M50" s="10">
        <v>9873437840</v>
      </c>
      <c r="N50" s="10">
        <v>1195717</v>
      </c>
      <c r="O50" s="12">
        <v>95</v>
      </c>
    </row>
    <row r="51" spans="1:15" ht="15" customHeight="1" x14ac:dyDescent="0.3">
      <c r="A51" s="9">
        <v>43604</v>
      </c>
      <c r="B51" s="12">
        <v>3</v>
      </c>
      <c r="C51" s="11">
        <v>0</v>
      </c>
      <c r="D51" s="12">
        <v>3</v>
      </c>
      <c r="E51" s="11">
        <v>0</v>
      </c>
      <c r="F51" s="12">
        <v>448</v>
      </c>
      <c r="G51" s="11">
        <v>0</v>
      </c>
      <c r="H51" s="11">
        <v>2.1999999999999999E-2</v>
      </c>
      <c r="I51" s="10">
        <v>81000</v>
      </c>
      <c r="J51" s="12" t="s">
        <v>5836</v>
      </c>
      <c r="K51" s="12">
        <v>10</v>
      </c>
      <c r="L51" s="12" t="s">
        <v>5837</v>
      </c>
      <c r="M51" s="10">
        <v>9873518840</v>
      </c>
      <c r="N51" s="10">
        <v>1195727</v>
      </c>
      <c r="O51" s="12">
        <v>70</v>
      </c>
    </row>
    <row r="52" spans="1:15" ht="15" customHeight="1" x14ac:dyDescent="0.3">
      <c r="A52" s="9">
        <v>43605</v>
      </c>
      <c r="B52" s="12">
        <v>2</v>
      </c>
      <c r="C52" s="11">
        <v>0</v>
      </c>
      <c r="D52" s="12">
        <v>2</v>
      </c>
      <c r="E52" s="11">
        <v>0</v>
      </c>
      <c r="F52" s="12">
        <v>309</v>
      </c>
      <c r="G52" s="11">
        <v>0</v>
      </c>
      <c r="H52" s="11">
        <v>6.0000000000000001E-3</v>
      </c>
      <c r="I52" s="10">
        <v>14000</v>
      </c>
      <c r="J52" s="12" t="s">
        <v>5838</v>
      </c>
      <c r="K52" s="12">
        <v>2</v>
      </c>
      <c r="L52" s="12" t="s">
        <v>1417</v>
      </c>
      <c r="M52" s="10">
        <v>9873532840</v>
      </c>
      <c r="N52" s="10">
        <v>1195729</v>
      </c>
      <c r="O52" s="12">
        <v>79</v>
      </c>
    </row>
    <row r="53" spans="1:15" ht="15" customHeight="1" x14ac:dyDescent="0.3">
      <c r="A53" s="9">
        <v>43606</v>
      </c>
      <c r="B53" s="12">
        <v>3</v>
      </c>
      <c r="C53" s="11">
        <v>1E-3</v>
      </c>
      <c r="D53" s="12">
        <v>3</v>
      </c>
      <c r="E53" s="11">
        <v>0</v>
      </c>
      <c r="F53" s="12">
        <v>399</v>
      </c>
      <c r="G53" s="11">
        <v>0</v>
      </c>
      <c r="H53" s="11">
        <v>1.4999999999999999E-2</v>
      </c>
      <c r="I53" s="10">
        <v>48000</v>
      </c>
      <c r="J53" s="12" t="s">
        <v>5839</v>
      </c>
      <c r="K53" s="12">
        <v>6</v>
      </c>
      <c r="L53" s="12" t="s">
        <v>4415</v>
      </c>
      <c r="M53" s="10">
        <v>9873580840</v>
      </c>
      <c r="N53" s="10">
        <v>1195735</v>
      </c>
      <c r="O53" s="12">
        <v>83</v>
      </c>
    </row>
    <row r="54" spans="1:15" ht="15" customHeight="1" x14ac:dyDescent="0.3">
      <c r="A54" s="9">
        <v>43607</v>
      </c>
      <c r="B54" s="12">
        <v>3</v>
      </c>
      <c r="C54" s="11">
        <v>1E-3</v>
      </c>
      <c r="D54" s="12">
        <v>3</v>
      </c>
      <c r="E54" s="11">
        <v>0</v>
      </c>
      <c r="F54" s="12">
        <v>391</v>
      </c>
      <c r="G54" s="11">
        <v>0</v>
      </c>
      <c r="H54" s="11">
        <v>0.56799999999999995</v>
      </c>
      <c r="I54" s="10">
        <v>1415000</v>
      </c>
      <c r="J54" s="12" t="s">
        <v>5840</v>
      </c>
      <c r="K54" s="12">
        <v>222</v>
      </c>
      <c r="L54" s="12" t="s">
        <v>5841</v>
      </c>
      <c r="M54" s="10">
        <v>9874995840</v>
      </c>
      <c r="N54" s="10">
        <v>1195957</v>
      </c>
      <c r="O54" s="12">
        <v>23</v>
      </c>
    </row>
    <row r="55" spans="1:15" ht="15" customHeight="1" x14ac:dyDescent="0.3">
      <c r="A55" s="9">
        <v>43608</v>
      </c>
      <c r="B55" s="12">
        <v>1</v>
      </c>
      <c r="C55" s="11">
        <v>0</v>
      </c>
      <c r="D55" s="12">
        <v>1</v>
      </c>
      <c r="E55" s="11">
        <v>0</v>
      </c>
      <c r="F55" s="12">
        <v>141</v>
      </c>
      <c r="G55" s="11">
        <v>0</v>
      </c>
      <c r="H55" s="11">
        <v>1</v>
      </c>
      <c r="I55" s="10">
        <v>846000</v>
      </c>
      <c r="J55" s="12" t="s">
        <v>5842</v>
      </c>
      <c r="K55" s="12">
        <v>141</v>
      </c>
      <c r="L55" s="12" t="s">
        <v>5843</v>
      </c>
      <c r="M55" s="10">
        <v>9875841840</v>
      </c>
      <c r="N55" s="10">
        <v>1196098</v>
      </c>
      <c r="O55" s="12">
        <v>34</v>
      </c>
    </row>
    <row r="56" spans="1:15" ht="15" customHeight="1" x14ac:dyDescent="0.3">
      <c r="A56" s="9">
        <v>43609</v>
      </c>
      <c r="B56" s="12">
        <v>1</v>
      </c>
      <c r="C56" s="11">
        <v>0</v>
      </c>
      <c r="D56" s="12">
        <v>1</v>
      </c>
      <c r="E56" s="11">
        <v>0</v>
      </c>
      <c r="F56" s="12">
        <v>147</v>
      </c>
      <c r="G56" s="11">
        <v>0</v>
      </c>
      <c r="H56" s="11">
        <v>1</v>
      </c>
      <c r="I56" s="10">
        <v>1176000</v>
      </c>
      <c r="J56" s="12" t="s">
        <v>5844</v>
      </c>
      <c r="K56" s="12">
        <v>147</v>
      </c>
      <c r="L56" s="12" t="s">
        <v>5845</v>
      </c>
      <c r="M56" s="10">
        <v>9877017840</v>
      </c>
      <c r="N56" s="10">
        <v>1196245</v>
      </c>
      <c r="O56" s="12">
        <v>30</v>
      </c>
    </row>
    <row r="57" spans="1:15" ht="15" customHeight="1" x14ac:dyDescent="0.3">
      <c r="A57" s="9">
        <v>43610</v>
      </c>
      <c r="B57" s="12">
        <v>2</v>
      </c>
      <c r="C57" s="11">
        <v>0</v>
      </c>
      <c r="D57" s="12">
        <v>2</v>
      </c>
      <c r="E57" s="11">
        <v>0</v>
      </c>
      <c r="F57" s="12">
        <v>362</v>
      </c>
      <c r="G57" s="11">
        <v>0</v>
      </c>
      <c r="H57" s="11">
        <v>0.77600000000000002</v>
      </c>
      <c r="I57" s="10">
        <v>1647000</v>
      </c>
      <c r="J57" s="12" t="s">
        <v>5846</v>
      </c>
      <c r="K57" s="12">
        <v>281</v>
      </c>
      <c r="L57" s="12" t="s">
        <v>5847</v>
      </c>
      <c r="M57" s="10">
        <v>9878664840</v>
      </c>
      <c r="N57" s="10">
        <v>1196526</v>
      </c>
      <c r="O57" s="12">
        <v>27</v>
      </c>
    </row>
    <row r="58" spans="1:15" ht="15" customHeight="1" x14ac:dyDescent="0.3">
      <c r="A58" s="9">
        <v>43611</v>
      </c>
      <c r="B58" s="12">
        <v>1</v>
      </c>
      <c r="C58" s="11">
        <v>0</v>
      </c>
      <c r="D58" s="12">
        <v>1</v>
      </c>
      <c r="E58" s="11">
        <v>0</v>
      </c>
      <c r="F58" s="12">
        <v>134</v>
      </c>
      <c r="G58" s="11">
        <v>0</v>
      </c>
      <c r="H58" s="11">
        <v>0.96299999999999997</v>
      </c>
      <c r="I58" s="10">
        <v>903000</v>
      </c>
      <c r="J58" s="12" t="s">
        <v>5848</v>
      </c>
      <c r="K58" s="12">
        <v>129</v>
      </c>
      <c r="L58" s="12" t="s">
        <v>5849</v>
      </c>
      <c r="M58" s="10">
        <v>9879567840</v>
      </c>
      <c r="N58" s="10">
        <v>1196655</v>
      </c>
      <c r="O58" s="12">
        <v>33</v>
      </c>
    </row>
    <row r="59" spans="1:15" ht="15" customHeight="1" x14ac:dyDescent="0.3">
      <c r="A59" s="9">
        <v>43612</v>
      </c>
      <c r="B59" s="12">
        <v>1</v>
      </c>
      <c r="C59" s="11">
        <v>0</v>
      </c>
      <c r="D59" s="12">
        <v>1</v>
      </c>
      <c r="E59" s="11">
        <v>0</v>
      </c>
      <c r="F59" s="12">
        <v>117</v>
      </c>
      <c r="G59" s="11">
        <v>0</v>
      </c>
      <c r="H59" s="11">
        <v>8.9999999999999993E-3</v>
      </c>
      <c r="I59" s="10">
        <v>5000</v>
      </c>
      <c r="J59" s="12" t="s">
        <v>5850</v>
      </c>
      <c r="K59" s="12">
        <v>1</v>
      </c>
      <c r="L59" s="12" t="s">
        <v>5851</v>
      </c>
      <c r="M59" s="10">
        <v>9879572840</v>
      </c>
      <c r="N59" s="10">
        <v>1196656</v>
      </c>
      <c r="O59" s="12">
        <v>94</v>
      </c>
    </row>
    <row r="60" spans="1:15" ht="15" customHeight="1" x14ac:dyDescent="0.3">
      <c r="A60" s="9">
        <v>43613</v>
      </c>
      <c r="B60" s="12">
        <v>1</v>
      </c>
      <c r="C60" s="11">
        <v>0</v>
      </c>
      <c r="D60" s="12">
        <v>1</v>
      </c>
      <c r="E60" s="11">
        <v>0</v>
      </c>
      <c r="F60" s="12">
        <v>117</v>
      </c>
      <c r="G60" s="11">
        <v>0</v>
      </c>
      <c r="H60" s="11">
        <v>8.9999999999999993E-3</v>
      </c>
      <c r="I60" s="10">
        <v>5000</v>
      </c>
      <c r="J60" s="12" t="s">
        <v>292</v>
      </c>
      <c r="K60" s="12">
        <v>1</v>
      </c>
      <c r="L60" s="12" t="s">
        <v>292</v>
      </c>
      <c r="M60" s="10">
        <v>9879577840</v>
      </c>
      <c r="N60" s="10">
        <v>1196657</v>
      </c>
      <c r="O60" s="12">
        <v>112</v>
      </c>
    </row>
    <row r="61" spans="1:15" ht="15" customHeight="1" x14ac:dyDescent="0.3">
      <c r="A61" s="9">
        <v>43615</v>
      </c>
      <c r="B61" s="12">
        <v>1</v>
      </c>
      <c r="C61" s="11">
        <v>0</v>
      </c>
      <c r="D61" s="12">
        <v>1</v>
      </c>
      <c r="E61" s="11">
        <v>0</v>
      </c>
      <c r="F61" s="12">
        <v>104</v>
      </c>
      <c r="G61" s="11">
        <v>0</v>
      </c>
      <c r="H61" s="11">
        <v>0.01</v>
      </c>
      <c r="I61" s="10">
        <v>5000</v>
      </c>
      <c r="J61" s="12" t="s">
        <v>584</v>
      </c>
      <c r="K61" s="12">
        <v>1</v>
      </c>
      <c r="L61" s="12" t="s">
        <v>312</v>
      </c>
      <c r="M61" s="10">
        <v>9879582840</v>
      </c>
      <c r="N61" s="10">
        <v>1196658</v>
      </c>
      <c r="O61" s="12">
        <v>95</v>
      </c>
    </row>
    <row r="62" spans="1:15" ht="15" customHeight="1" x14ac:dyDescent="0.3">
      <c r="A62" s="9">
        <v>43616</v>
      </c>
      <c r="B62" s="12">
        <v>1</v>
      </c>
      <c r="C62" s="11">
        <v>0</v>
      </c>
      <c r="D62" s="12">
        <v>1</v>
      </c>
      <c r="E62" s="11">
        <v>0</v>
      </c>
      <c r="F62" s="12">
        <v>117</v>
      </c>
      <c r="G62" s="11">
        <v>0</v>
      </c>
      <c r="H62" s="11">
        <v>8.9999999999999993E-3</v>
      </c>
      <c r="I62" s="10">
        <v>5000</v>
      </c>
      <c r="J62" s="12" t="s">
        <v>292</v>
      </c>
      <c r="K62" s="12">
        <v>1</v>
      </c>
      <c r="L62" s="12" t="s">
        <v>292</v>
      </c>
      <c r="M62" s="10">
        <v>9879587840</v>
      </c>
      <c r="N62" s="10">
        <v>1196659</v>
      </c>
      <c r="O62" s="12">
        <v>83</v>
      </c>
    </row>
    <row r="63" spans="1:15" ht="15" customHeight="1" x14ac:dyDescent="0.3">
      <c r="A63" s="9">
        <v>43630</v>
      </c>
      <c r="B63" s="12">
        <v>1</v>
      </c>
      <c r="C63" s="11">
        <v>0</v>
      </c>
      <c r="D63" s="12">
        <v>1</v>
      </c>
      <c r="E63" s="11">
        <v>0</v>
      </c>
      <c r="F63" s="12">
        <v>57</v>
      </c>
      <c r="G63" s="11">
        <v>0</v>
      </c>
      <c r="H63" s="11">
        <v>0.61399999999999999</v>
      </c>
      <c r="I63" s="10">
        <v>175000</v>
      </c>
      <c r="J63" s="12" t="s">
        <v>5852</v>
      </c>
      <c r="K63" s="12">
        <v>35</v>
      </c>
      <c r="L63" s="12" t="s">
        <v>5853</v>
      </c>
      <c r="M63" s="10">
        <v>9879762840</v>
      </c>
      <c r="N63" s="10">
        <v>1196694</v>
      </c>
      <c r="O63" s="12">
        <v>64</v>
      </c>
    </row>
    <row r="64" spans="1:15" ht="15" customHeight="1" x14ac:dyDescent="0.3">
      <c r="A64" s="9">
        <v>43661</v>
      </c>
      <c r="B64" s="12">
        <v>2</v>
      </c>
      <c r="C64" s="11">
        <v>0</v>
      </c>
      <c r="D64" s="12">
        <v>2</v>
      </c>
      <c r="E64" s="11">
        <v>0</v>
      </c>
      <c r="F64" s="12">
        <v>299</v>
      </c>
      <c r="G64" s="11">
        <v>0</v>
      </c>
      <c r="H64" s="11">
        <v>0.75900000000000001</v>
      </c>
      <c r="I64" s="10">
        <v>1362000</v>
      </c>
      <c r="J64" s="12" t="s">
        <v>5854</v>
      </c>
      <c r="K64" s="12">
        <v>227</v>
      </c>
      <c r="L64" s="12" t="s">
        <v>5855</v>
      </c>
      <c r="M64" s="10">
        <v>9881124840</v>
      </c>
      <c r="N64" s="10">
        <v>1196921</v>
      </c>
      <c r="O64" s="12">
        <v>26</v>
      </c>
    </row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A7130-A62F-4320-A2A1-C9A071D277CD}">
  <dimension ref="A1:O34"/>
  <sheetViews>
    <sheetView showGridLines="0" workbookViewId="0">
      <selection activeCell="A5" sqref="A5:O7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19.25" bestFit="1" customWidth="1"/>
    <col min="11" max="11" width="7.12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5856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43558</v>
      </c>
      <c r="B5" s="10">
        <v>1132</v>
      </c>
      <c r="C5" s="11">
        <v>0.21299999999999999</v>
      </c>
      <c r="D5" s="10">
        <v>5199</v>
      </c>
      <c r="E5" s="11">
        <v>0.30299999999999999</v>
      </c>
      <c r="F5" s="10">
        <v>968445</v>
      </c>
      <c r="G5" s="11">
        <v>0.35899999999999999</v>
      </c>
      <c r="H5" s="11">
        <v>0.09</v>
      </c>
      <c r="I5" s="10">
        <v>721173930</v>
      </c>
      <c r="J5" s="12" t="s">
        <v>5857</v>
      </c>
      <c r="K5" s="10">
        <v>86809</v>
      </c>
      <c r="L5" s="12" t="s">
        <v>5858</v>
      </c>
      <c r="M5" s="10">
        <v>758627930</v>
      </c>
      <c r="N5" s="10">
        <v>89996</v>
      </c>
      <c r="O5" s="12">
        <v>1</v>
      </c>
    </row>
    <row r="6" spans="1:15" ht="15" customHeight="1" x14ac:dyDescent="0.3">
      <c r="A6" s="9">
        <v>43559</v>
      </c>
      <c r="B6" s="10">
        <v>1141</v>
      </c>
      <c r="C6" s="11">
        <v>0.20399999999999999</v>
      </c>
      <c r="D6" s="10">
        <v>5072</v>
      </c>
      <c r="E6" s="11">
        <v>0.29799999999999999</v>
      </c>
      <c r="F6" s="10">
        <v>954381</v>
      </c>
      <c r="G6" s="11">
        <v>0.35599999999999998</v>
      </c>
      <c r="H6" s="11">
        <v>5.8000000000000003E-2</v>
      </c>
      <c r="I6" s="10">
        <v>462145160</v>
      </c>
      <c r="J6" s="12" t="s">
        <v>5859</v>
      </c>
      <c r="K6" s="10">
        <v>55807</v>
      </c>
      <c r="L6" s="12" t="s">
        <v>5860</v>
      </c>
      <c r="M6" s="10">
        <v>1220773090</v>
      </c>
      <c r="N6" s="10">
        <v>145803</v>
      </c>
      <c r="O6" s="12">
        <v>1</v>
      </c>
    </row>
    <row r="7" spans="1:15" ht="15" customHeight="1" x14ac:dyDescent="0.3">
      <c r="A7" s="9">
        <v>43560</v>
      </c>
      <c r="B7" s="10">
        <v>1148</v>
      </c>
      <c r="C7" s="11">
        <v>0.19800000000000001</v>
      </c>
      <c r="D7" s="10">
        <v>5152</v>
      </c>
      <c r="E7" s="11">
        <v>0.29299999999999998</v>
      </c>
      <c r="F7" s="10">
        <v>973743</v>
      </c>
      <c r="G7" s="11">
        <v>0.35399999999999998</v>
      </c>
      <c r="H7" s="11">
        <v>7.2999999999999995E-2</v>
      </c>
      <c r="I7" s="10">
        <v>642406652</v>
      </c>
      <c r="J7" s="12" t="s">
        <v>5861</v>
      </c>
      <c r="K7" s="10">
        <v>70676</v>
      </c>
      <c r="L7" s="12" t="s">
        <v>5862</v>
      </c>
      <c r="M7" s="10">
        <v>1863179742</v>
      </c>
      <c r="N7" s="10">
        <v>216479</v>
      </c>
      <c r="O7" s="12">
        <v>1</v>
      </c>
    </row>
    <row r="8" spans="1:15" ht="15" customHeight="1" x14ac:dyDescent="0.3">
      <c r="A8" s="9">
        <v>43561</v>
      </c>
      <c r="B8" s="10">
        <v>1125</v>
      </c>
      <c r="C8" s="11">
        <v>0.17899999999999999</v>
      </c>
      <c r="D8" s="10">
        <v>5252</v>
      </c>
      <c r="E8" s="11">
        <v>0.27800000000000002</v>
      </c>
      <c r="F8" s="10">
        <v>991879</v>
      </c>
      <c r="G8" s="11">
        <v>0.34</v>
      </c>
      <c r="H8" s="11">
        <v>0.161</v>
      </c>
      <c r="I8" s="10">
        <v>1442450799</v>
      </c>
      <c r="J8" s="12" t="s">
        <v>5863</v>
      </c>
      <c r="K8" s="10">
        <v>159700</v>
      </c>
      <c r="L8" s="12" t="s">
        <v>5864</v>
      </c>
      <c r="M8" s="10">
        <v>3305630541</v>
      </c>
      <c r="N8" s="10">
        <v>376179</v>
      </c>
      <c r="O8" s="12">
        <v>1</v>
      </c>
    </row>
    <row r="9" spans="1:15" ht="15" customHeight="1" x14ac:dyDescent="0.3">
      <c r="A9" s="9">
        <v>43562</v>
      </c>
      <c r="B9" s="10">
        <v>1098</v>
      </c>
      <c r="C9" s="11">
        <v>0.17699999999999999</v>
      </c>
      <c r="D9" s="10">
        <v>4986</v>
      </c>
      <c r="E9" s="11">
        <v>0.27200000000000002</v>
      </c>
      <c r="F9" s="10">
        <v>948020</v>
      </c>
      <c r="G9" s="11">
        <v>0.33300000000000002</v>
      </c>
      <c r="H9" s="11">
        <v>0.13100000000000001</v>
      </c>
      <c r="I9" s="10">
        <v>1104461130</v>
      </c>
      <c r="J9" s="12" t="s">
        <v>5865</v>
      </c>
      <c r="K9" s="10">
        <v>124471</v>
      </c>
      <c r="L9" s="12" t="s">
        <v>5866</v>
      </c>
      <c r="M9" s="10">
        <v>4410091671</v>
      </c>
      <c r="N9" s="10">
        <v>500650</v>
      </c>
      <c r="O9" s="12">
        <v>1</v>
      </c>
    </row>
    <row r="10" spans="1:15" ht="15" customHeight="1" x14ac:dyDescent="0.3">
      <c r="A10" s="9">
        <v>43563</v>
      </c>
      <c r="B10" s="10">
        <v>1005</v>
      </c>
      <c r="C10" s="11">
        <v>0.187</v>
      </c>
      <c r="D10" s="10">
        <v>4202</v>
      </c>
      <c r="E10" s="11">
        <v>0.25800000000000001</v>
      </c>
      <c r="F10" s="10">
        <v>817243</v>
      </c>
      <c r="G10" s="11">
        <v>0.31900000000000001</v>
      </c>
      <c r="H10" s="11">
        <v>3.5000000000000003E-2</v>
      </c>
      <c r="I10" s="10">
        <v>237867040</v>
      </c>
      <c r="J10" s="12" t="s">
        <v>5867</v>
      </c>
      <c r="K10" s="10">
        <v>28855</v>
      </c>
      <c r="L10" s="12" t="s">
        <v>5868</v>
      </c>
      <c r="M10" s="10">
        <v>4647958711</v>
      </c>
      <c r="N10" s="10">
        <v>529505</v>
      </c>
      <c r="O10" s="12">
        <v>2</v>
      </c>
    </row>
    <row r="11" spans="1:15" ht="15" customHeight="1" x14ac:dyDescent="0.3">
      <c r="A11" s="9">
        <v>43564</v>
      </c>
      <c r="B11" s="10">
        <v>1000</v>
      </c>
      <c r="C11" s="11">
        <v>0.183</v>
      </c>
      <c r="D11" s="10">
        <v>3905</v>
      </c>
      <c r="E11" s="11">
        <v>0.246</v>
      </c>
      <c r="F11" s="10">
        <v>758238</v>
      </c>
      <c r="G11" s="11">
        <v>0.30299999999999999</v>
      </c>
      <c r="H11" s="11">
        <v>3.2000000000000001E-2</v>
      </c>
      <c r="I11" s="10">
        <v>198861480</v>
      </c>
      <c r="J11" s="12" t="s">
        <v>5869</v>
      </c>
      <c r="K11" s="10">
        <v>23894</v>
      </c>
      <c r="L11" s="12" t="s">
        <v>5870</v>
      </c>
      <c r="M11" s="10">
        <v>4846820191</v>
      </c>
      <c r="N11" s="10">
        <v>553399</v>
      </c>
      <c r="O11" s="12">
        <v>3</v>
      </c>
    </row>
    <row r="12" spans="1:15" ht="15" customHeight="1" x14ac:dyDescent="0.3">
      <c r="A12" s="9">
        <v>43565</v>
      </c>
      <c r="B12" s="12">
        <v>686</v>
      </c>
      <c r="C12" s="11">
        <v>0.121</v>
      </c>
      <c r="D12" s="10">
        <v>2275</v>
      </c>
      <c r="E12" s="11">
        <v>0.13500000000000001</v>
      </c>
      <c r="F12" s="10">
        <v>440142</v>
      </c>
      <c r="G12" s="11">
        <v>0.16600000000000001</v>
      </c>
      <c r="H12" s="11">
        <v>3.5999999999999997E-2</v>
      </c>
      <c r="I12" s="10">
        <v>129689790</v>
      </c>
      <c r="J12" s="12" t="s">
        <v>5871</v>
      </c>
      <c r="K12" s="10">
        <v>15815</v>
      </c>
      <c r="L12" s="12" t="s">
        <v>5872</v>
      </c>
      <c r="M12" s="10">
        <v>4976509981</v>
      </c>
      <c r="N12" s="10">
        <v>569214</v>
      </c>
      <c r="O12" s="12">
        <v>5</v>
      </c>
    </row>
    <row r="13" spans="1:15" ht="15" customHeight="1" x14ac:dyDescent="0.3">
      <c r="A13" s="9">
        <v>43566</v>
      </c>
      <c r="B13" s="12">
        <v>554</v>
      </c>
      <c r="C13" s="11">
        <v>9.0999999999999998E-2</v>
      </c>
      <c r="D13" s="10">
        <v>1530</v>
      </c>
      <c r="E13" s="11">
        <v>8.8999999999999996E-2</v>
      </c>
      <c r="F13" s="10">
        <v>294066</v>
      </c>
      <c r="G13" s="11">
        <v>0.108</v>
      </c>
      <c r="H13" s="11">
        <v>3.1E-2</v>
      </c>
      <c r="I13" s="10">
        <v>76314760</v>
      </c>
      <c r="J13" s="12" t="s">
        <v>5873</v>
      </c>
      <c r="K13" s="10">
        <v>8971</v>
      </c>
      <c r="L13" s="12" t="s">
        <v>5874</v>
      </c>
      <c r="M13" s="10">
        <v>5052824741</v>
      </c>
      <c r="N13" s="10">
        <v>578185</v>
      </c>
      <c r="O13" s="12">
        <v>8</v>
      </c>
    </row>
    <row r="14" spans="1:15" ht="15" customHeight="1" x14ac:dyDescent="0.3">
      <c r="A14" s="9">
        <v>43567</v>
      </c>
      <c r="B14" s="12">
        <v>555</v>
      </c>
      <c r="C14" s="11">
        <v>8.7999999999999995E-2</v>
      </c>
      <c r="D14" s="10">
        <v>1455</v>
      </c>
      <c r="E14" s="11">
        <v>8.1000000000000003E-2</v>
      </c>
      <c r="F14" s="10">
        <v>275428</v>
      </c>
      <c r="G14" s="11">
        <v>9.8000000000000004E-2</v>
      </c>
      <c r="H14" s="11">
        <v>4.8000000000000001E-2</v>
      </c>
      <c r="I14" s="10">
        <v>115505317</v>
      </c>
      <c r="J14" s="12" t="s">
        <v>5875</v>
      </c>
      <c r="K14" s="10">
        <v>13123</v>
      </c>
      <c r="L14" s="12" t="s">
        <v>5876</v>
      </c>
      <c r="M14" s="10">
        <v>5168330058</v>
      </c>
      <c r="N14" s="10">
        <v>591308</v>
      </c>
      <c r="O14" s="12">
        <v>7</v>
      </c>
    </row>
    <row r="15" spans="1:15" ht="15" customHeight="1" x14ac:dyDescent="0.3">
      <c r="A15" s="9">
        <v>43568</v>
      </c>
      <c r="B15" s="12">
        <v>581</v>
      </c>
      <c r="C15" s="11">
        <v>8.4000000000000005E-2</v>
      </c>
      <c r="D15" s="10">
        <v>1361</v>
      </c>
      <c r="E15" s="11">
        <v>7.0000000000000007E-2</v>
      </c>
      <c r="F15" s="10">
        <v>224459</v>
      </c>
      <c r="G15" s="11">
        <v>7.4999999999999997E-2</v>
      </c>
      <c r="H15" s="11">
        <v>0.106</v>
      </c>
      <c r="I15" s="10">
        <v>212333409</v>
      </c>
      <c r="J15" s="12" t="s">
        <v>5877</v>
      </c>
      <c r="K15" s="10">
        <v>23732</v>
      </c>
      <c r="L15" s="12" t="s">
        <v>5878</v>
      </c>
      <c r="M15" s="10">
        <v>5380663467</v>
      </c>
      <c r="N15" s="10">
        <v>615040</v>
      </c>
      <c r="O15" s="12">
        <v>5</v>
      </c>
    </row>
    <row r="16" spans="1:15" ht="15" customHeight="1" x14ac:dyDescent="0.3">
      <c r="A16" s="9">
        <v>43569</v>
      </c>
      <c r="B16" s="12">
        <v>563</v>
      </c>
      <c r="C16" s="11">
        <v>8.1000000000000003E-2</v>
      </c>
      <c r="D16" s="10">
        <v>1277</v>
      </c>
      <c r="E16" s="11">
        <v>6.8000000000000005E-2</v>
      </c>
      <c r="F16" s="10">
        <v>213077</v>
      </c>
      <c r="G16" s="11">
        <v>7.2999999999999995E-2</v>
      </c>
      <c r="H16" s="11">
        <v>0.10299999999999999</v>
      </c>
      <c r="I16" s="10">
        <v>196528190</v>
      </c>
      <c r="J16" s="12" t="s">
        <v>5879</v>
      </c>
      <c r="K16" s="10">
        <v>21931</v>
      </c>
      <c r="L16" s="12" t="s">
        <v>5880</v>
      </c>
      <c r="M16" s="10">
        <v>5577191657</v>
      </c>
      <c r="N16" s="10">
        <v>636971</v>
      </c>
      <c r="O16" s="12">
        <v>5</v>
      </c>
    </row>
    <row r="17" spans="1:15" ht="15" customHeight="1" x14ac:dyDescent="0.3">
      <c r="A17" s="9">
        <v>43570</v>
      </c>
      <c r="B17" s="12">
        <v>462</v>
      </c>
      <c r="C17" s="11">
        <v>7.8E-2</v>
      </c>
      <c r="D17" s="12">
        <v>954</v>
      </c>
      <c r="E17" s="11">
        <v>5.8999999999999997E-2</v>
      </c>
      <c r="F17" s="10">
        <v>166729</v>
      </c>
      <c r="G17" s="11">
        <v>6.5000000000000002E-2</v>
      </c>
      <c r="H17" s="11">
        <v>2.5000000000000001E-2</v>
      </c>
      <c r="I17" s="10">
        <v>35246180</v>
      </c>
      <c r="J17" s="12" t="s">
        <v>5881</v>
      </c>
      <c r="K17" s="10">
        <v>4207</v>
      </c>
      <c r="L17" s="12" t="s">
        <v>5882</v>
      </c>
      <c r="M17" s="10">
        <v>5612437837</v>
      </c>
      <c r="N17" s="10">
        <v>641178</v>
      </c>
      <c r="O17" s="12">
        <v>10</v>
      </c>
    </row>
    <row r="18" spans="1:15" ht="15" customHeight="1" x14ac:dyDescent="0.3">
      <c r="A18" s="9">
        <v>43571</v>
      </c>
      <c r="B18" s="12">
        <v>437</v>
      </c>
      <c r="C18" s="11">
        <v>7.2999999999999995E-2</v>
      </c>
      <c r="D18" s="12">
        <v>871</v>
      </c>
      <c r="E18" s="11">
        <v>5.5E-2</v>
      </c>
      <c r="F18" s="10">
        <v>152434</v>
      </c>
      <c r="G18" s="11">
        <v>6.0999999999999999E-2</v>
      </c>
      <c r="H18" s="11">
        <v>2.5999999999999999E-2</v>
      </c>
      <c r="I18" s="10">
        <v>33353830</v>
      </c>
      <c r="J18" s="12" t="s">
        <v>5883</v>
      </c>
      <c r="K18" s="10">
        <v>4019</v>
      </c>
      <c r="L18" s="12" t="s">
        <v>5884</v>
      </c>
      <c r="M18" s="10">
        <v>5645791667</v>
      </c>
      <c r="N18" s="10">
        <v>645197</v>
      </c>
      <c r="O18" s="12">
        <v>12</v>
      </c>
    </row>
    <row r="19" spans="1:15" ht="15" customHeight="1" x14ac:dyDescent="0.3">
      <c r="A19" s="9">
        <v>43572</v>
      </c>
      <c r="B19" s="12">
        <v>194</v>
      </c>
      <c r="C19" s="11">
        <v>3.3000000000000002E-2</v>
      </c>
      <c r="D19" s="12">
        <v>321</v>
      </c>
      <c r="E19" s="11">
        <v>1.9E-2</v>
      </c>
      <c r="F19" s="10">
        <v>44497</v>
      </c>
      <c r="G19" s="11">
        <v>1.7000000000000001E-2</v>
      </c>
      <c r="H19" s="11">
        <v>3.7999999999999999E-2</v>
      </c>
      <c r="I19" s="10">
        <v>12912020</v>
      </c>
      <c r="J19" s="12" t="s">
        <v>5885</v>
      </c>
      <c r="K19" s="10">
        <v>1679</v>
      </c>
      <c r="L19" s="12" t="s">
        <v>5886</v>
      </c>
      <c r="M19" s="10">
        <v>5658703687</v>
      </c>
      <c r="N19" s="10">
        <v>646876</v>
      </c>
      <c r="O19" s="12">
        <v>16</v>
      </c>
    </row>
    <row r="20" spans="1:15" ht="15" customHeight="1" x14ac:dyDescent="0.3">
      <c r="A20" s="9">
        <v>43573</v>
      </c>
      <c r="B20" s="12">
        <v>129</v>
      </c>
      <c r="C20" s="11">
        <v>0.02</v>
      </c>
      <c r="D20" s="12">
        <v>199</v>
      </c>
      <c r="E20" s="11">
        <v>1.2E-2</v>
      </c>
      <c r="F20" s="10">
        <v>27361</v>
      </c>
      <c r="G20" s="11">
        <v>0.01</v>
      </c>
      <c r="H20" s="11">
        <v>5.0999999999999997E-2</v>
      </c>
      <c r="I20" s="10">
        <v>10917740</v>
      </c>
      <c r="J20" s="12" t="s">
        <v>5887</v>
      </c>
      <c r="K20" s="10">
        <v>1402</v>
      </c>
      <c r="L20" s="12" t="s">
        <v>5888</v>
      </c>
      <c r="M20" s="10">
        <v>5669621427</v>
      </c>
      <c r="N20" s="10">
        <v>648278</v>
      </c>
      <c r="O20" s="12">
        <v>20</v>
      </c>
    </row>
    <row r="21" spans="1:15" ht="15" customHeight="1" x14ac:dyDescent="0.3">
      <c r="A21" s="9">
        <v>43574</v>
      </c>
      <c r="B21" s="12">
        <v>155</v>
      </c>
      <c r="C21" s="11">
        <v>2.3E-2</v>
      </c>
      <c r="D21" s="12">
        <v>228</v>
      </c>
      <c r="E21" s="11">
        <v>1.2999999999999999E-2</v>
      </c>
      <c r="F21" s="10">
        <v>31982</v>
      </c>
      <c r="G21" s="11">
        <v>1.2E-2</v>
      </c>
      <c r="H21" s="11">
        <v>7.0000000000000007E-2</v>
      </c>
      <c r="I21" s="10">
        <v>18968440</v>
      </c>
      <c r="J21" s="12" t="s">
        <v>5889</v>
      </c>
      <c r="K21" s="10">
        <v>2252</v>
      </c>
      <c r="L21" s="12" t="s">
        <v>5890</v>
      </c>
      <c r="M21" s="10">
        <v>5688589867</v>
      </c>
      <c r="N21" s="10">
        <v>650530</v>
      </c>
      <c r="O21" s="12">
        <v>18</v>
      </c>
    </row>
    <row r="22" spans="1:15" ht="15" customHeight="1" x14ac:dyDescent="0.3">
      <c r="A22" s="9">
        <v>43575</v>
      </c>
      <c r="B22" s="12">
        <v>157</v>
      </c>
      <c r="C22" s="11">
        <v>2.1000000000000001E-2</v>
      </c>
      <c r="D22" s="12">
        <v>232</v>
      </c>
      <c r="E22" s="11">
        <v>1.2E-2</v>
      </c>
      <c r="F22" s="10">
        <v>32074</v>
      </c>
      <c r="G22" s="11">
        <v>1.0999999999999999E-2</v>
      </c>
      <c r="H22" s="11">
        <v>9.9000000000000005E-2</v>
      </c>
      <c r="I22" s="10">
        <v>25529720</v>
      </c>
      <c r="J22" s="12" t="s">
        <v>5891</v>
      </c>
      <c r="K22" s="10">
        <v>3160</v>
      </c>
      <c r="L22" s="12" t="s">
        <v>5892</v>
      </c>
      <c r="M22" s="10">
        <v>5714119587</v>
      </c>
      <c r="N22" s="10">
        <v>653690</v>
      </c>
      <c r="O22" s="12">
        <v>18</v>
      </c>
    </row>
    <row r="23" spans="1:15" ht="15" customHeight="1" x14ac:dyDescent="0.3">
      <c r="A23" s="9">
        <v>43576</v>
      </c>
      <c r="B23" s="12">
        <v>144</v>
      </c>
      <c r="C23" s="11">
        <v>1.9E-2</v>
      </c>
      <c r="D23" s="12">
        <v>210</v>
      </c>
      <c r="E23" s="11">
        <v>1.0999999999999999E-2</v>
      </c>
      <c r="F23" s="10">
        <v>29383</v>
      </c>
      <c r="G23" s="11">
        <v>0.01</v>
      </c>
      <c r="H23" s="11">
        <v>7.3999999999999996E-2</v>
      </c>
      <c r="I23" s="10">
        <v>18483100</v>
      </c>
      <c r="J23" s="12" t="s">
        <v>5893</v>
      </c>
      <c r="K23" s="10">
        <v>2164</v>
      </c>
      <c r="L23" s="12" t="s">
        <v>5894</v>
      </c>
      <c r="M23" s="10">
        <v>5732602687</v>
      </c>
      <c r="N23" s="10">
        <v>655854</v>
      </c>
      <c r="O23" s="12">
        <v>20</v>
      </c>
    </row>
    <row r="24" spans="1:15" ht="15" customHeight="1" x14ac:dyDescent="0.3">
      <c r="A24" s="9">
        <v>43577</v>
      </c>
      <c r="B24" s="12">
        <v>106</v>
      </c>
      <c r="C24" s="11">
        <v>1.7000000000000001E-2</v>
      </c>
      <c r="D24" s="12">
        <v>159</v>
      </c>
      <c r="E24" s="11">
        <v>0.01</v>
      </c>
      <c r="F24" s="10">
        <v>22592</v>
      </c>
      <c r="G24" s="11">
        <v>8.9999999999999993E-3</v>
      </c>
      <c r="H24" s="11">
        <v>2.5000000000000001E-2</v>
      </c>
      <c r="I24" s="10">
        <v>4727960</v>
      </c>
      <c r="J24" s="12" t="s">
        <v>5895</v>
      </c>
      <c r="K24" s="12">
        <v>576</v>
      </c>
      <c r="L24" s="12" t="s">
        <v>5896</v>
      </c>
      <c r="M24" s="10">
        <v>5737330647</v>
      </c>
      <c r="N24" s="10">
        <v>656430</v>
      </c>
      <c r="O24" s="12">
        <v>23</v>
      </c>
    </row>
    <row r="25" spans="1:15" ht="15" customHeight="1" x14ac:dyDescent="0.3">
      <c r="A25" s="9">
        <v>43578</v>
      </c>
      <c r="B25" s="12">
        <v>104</v>
      </c>
      <c r="C25" s="11">
        <v>1.6E-2</v>
      </c>
      <c r="D25" s="12">
        <v>144</v>
      </c>
      <c r="E25" s="11">
        <v>8.9999999999999993E-3</v>
      </c>
      <c r="F25" s="10">
        <v>20106</v>
      </c>
      <c r="G25" s="11">
        <v>8.0000000000000002E-3</v>
      </c>
      <c r="H25" s="11">
        <v>3.5999999999999997E-2</v>
      </c>
      <c r="I25" s="10">
        <v>5290150</v>
      </c>
      <c r="J25" s="12" t="s">
        <v>5897</v>
      </c>
      <c r="K25" s="12">
        <v>726</v>
      </c>
      <c r="L25" s="12" t="s">
        <v>5898</v>
      </c>
      <c r="M25" s="10">
        <v>5742620797</v>
      </c>
      <c r="N25" s="10">
        <v>657156</v>
      </c>
      <c r="O25" s="12">
        <v>21</v>
      </c>
    </row>
    <row r="26" spans="1:15" ht="15" customHeight="1" x14ac:dyDescent="0.3">
      <c r="A26" s="9">
        <v>43579</v>
      </c>
      <c r="B26" s="12">
        <v>1</v>
      </c>
      <c r="C26" s="11">
        <v>0</v>
      </c>
      <c r="D26" s="12">
        <v>1</v>
      </c>
      <c r="E26" s="11">
        <v>0</v>
      </c>
      <c r="F26" s="12">
        <v>191</v>
      </c>
      <c r="G26" s="11">
        <v>0</v>
      </c>
      <c r="H26" s="11">
        <v>0.01</v>
      </c>
      <c r="I26" s="10">
        <v>14000</v>
      </c>
      <c r="J26" s="12" t="s">
        <v>5899</v>
      </c>
      <c r="K26" s="12">
        <v>2</v>
      </c>
      <c r="L26" s="12" t="s">
        <v>5900</v>
      </c>
      <c r="M26" s="10">
        <v>5742634797</v>
      </c>
      <c r="N26" s="10">
        <v>657158</v>
      </c>
      <c r="O26" s="12">
        <v>100</v>
      </c>
    </row>
    <row r="27" spans="1:15" ht="15" customHeight="1" x14ac:dyDescent="0.3">
      <c r="A27" s="9">
        <v>43580</v>
      </c>
      <c r="B27" s="12">
        <v>1</v>
      </c>
      <c r="C27" s="11">
        <v>0</v>
      </c>
      <c r="D27" s="12">
        <v>1</v>
      </c>
      <c r="E27" s="11">
        <v>0</v>
      </c>
      <c r="F27" s="12">
        <v>202</v>
      </c>
      <c r="G27" s="11">
        <v>0</v>
      </c>
      <c r="H27" s="11">
        <v>1.4999999999999999E-2</v>
      </c>
      <c r="I27" s="10">
        <v>27000</v>
      </c>
      <c r="J27" s="12" t="s">
        <v>5901</v>
      </c>
      <c r="K27" s="12">
        <v>3</v>
      </c>
      <c r="L27" s="12" t="s">
        <v>291</v>
      </c>
      <c r="M27" s="10">
        <v>5742661797</v>
      </c>
      <c r="N27" s="10">
        <v>657161</v>
      </c>
      <c r="O27" s="12">
        <v>97</v>
      </c>
    </row>
    <row r="28" spans="1:15" ht="15" customHeight="1" x14ac:dyDescent="0.3">
      <c r="A28" s="9">
        <v>43581</v>
      </c>
      <c r="B28" s="12">
        <v>2</v>
      </c>
      <c r="C28" s="11">
        <v>0</v>
      </c>
      <c r="D28" s="12">
        <v>2</v>
      </c>
      <c r="E28" s="11">
        <v>0</v>
      </c>
      <c r="F28" s="12">
        <v>295</v>
      </c>
      <c r="G28" s="11">
        <v>0</v>
      </c>
      <c r="H28" s="11">
        <v>0.39300000000000002</v>
      </c>
      <c r="I28" s="10">
        <v>625000</v>
      </c>
      <c r="J28" s="12" t="s">
        <v>5902</v>
      </c>
      <c r="K28" s="12">
        <v>116</v>
      </c>
      <c r="L28" s="12" t="s">
        <v>5903</v>
      </c>
      <c r="M28" s="10">
        <v>5743286797</v>
      </c>
      <c r="N28" s="10">
        <v>657277</v>
      </c>
      <c r="O28" s="12">
        <v>44</v>
      </c>
    </row>
    <row r="29" spans="1:15" ht="15" customHeight="1" x14ac:dyDescent="0.3">
      <c r="A29" s="9">
        <v>43583</v>
      </c>
      <c r="B29" s="12">
        <v>2</v>
      </c>
      <c r="C29" s="11">
        <v>0</v>
      </c>
      <c r="D29" s="12">
        <v>2</v>
      </c>
      <c r="E29" s="11">
        <v>0</v>
      </c>
      <c r="F29" s="12">
        <v>496</v>
      </c>
      <c r="G29" s="11">
        <v>0</v>
      </c>
      <c r="H29" s="11">
        <v>1.4E-2</v>
      </c>
      <c r="I29" s="10">
        <v>52000</v>
      </c>
      <c r="J29" s="12" t="s">
        <v>5904</v>
      </c>
      <c r="K29" s="12">
        <v>7</v>
      </c>
      <c r="L29" s="12" t="s">
        <v>314</v>
      </c>
      <c r="M29" s="10">
        <v>5743338797</v>
      </c>
      <c r="N29" s="10">
        <v>657284</v>
      </c>
      <c r="O29" s="12">
        <v>80</v>
      </c>
    </row>
    <row r="30" spans="1:15" ht="15" customHeight="1" x14ac:dyDescent="0.3">
      <c r="A30" s="9">
        <v>43584</v>
      </c>
      <c r="B30" s="12">
        <v>1</v>
      </c>
      <c r="C30" s="11">
        <v>0</v>
      </c>
      <c r="D30" s="12">
        <v>1</v>
      </c>
      <c r="E30" s="11">
        <v>0</v>
      </c>
      <c r="F30" s="12">
        <v>191</v>
      </c>
      <c r="G30" s="11">
        <v>0</v>
      </c>
      <c r="H30" s="11">
        <v>4.2000000000000003E-2</v>
      </c>
      <c r="I30" s="10">
        <v>48000</v>
      </c>
      <c r="J30" s="12" t="s">
        <v>5905</v>
      </c>
      <c r="K30" s="12">
        <v>8</v>
      </c>
      <c r="L30" s="12" t="s">
        <v>5906</v>
      </c>
      <c r="M30" s="10">
        <v>5743386797</v>
      </c>
      <c r="N30" s="10">
        <v>657292</v>
      </c>
      <c r="O30" s="12">
        <v>80</v>
      </c>
    </row>
    <row r="31" spans="1:15" ht="15" customHeight="1" x14ac:dyDescent="0.3">
      <c r="A31" s="9">
        <v>43585</v>
      </c>
      <c r="B31" s="12">
        <v>1</v>
      </c>
      <c r="C31" s="11">
        <v>0</v>
      </c>
      <c r="D31" s="12">
        <v>1</v>
      </c>
      <c r="E31" s="11">
        <v>0</v>
      </c>
      <c r="F31" s="12">
        <v>191</v>
      </c>
      <c r="G31" s="11">
        <v>0</v>
      </c>
      <c r="H31" s="11">
        <v>0.01</v>
      </c>
      <c r="I31" s="10">
        <v>12000</v>
      </c>
      <c r="J31" s="12" t="s">
        <v>5907</v>
      </c>
      <c r="K31" s="12">
        <v>2</v>
      </c>
      <c r="L31" s="12" t="s">
        <v>5908</v>
      </c>
      <c r="M31" s="10">
        <v>5743398797</v>
      </c>
      <c r="N31" s="10">
        <v>657294</v>
      </c>
      <c r="O31" s="12">
        <v>108</v>
      </c>
    </row>
    <row r="32" spans="1:15" ht="15" customHeight="1" x14ac:dyDescent="0.3"/>
    <row r="33" ht="15" customHeight="1" x14ac:dyDescent="0.3"/>
    <row r="34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02C4-EBE5-4C13-AE92-2B1A5CE8F427}">
  <dimension ref="A1:O34"/>
  <sheetViews>
    <sheetView showGridLines="0" workbookViewId="0">
      <selection activeCell="A5" sqref="A5:O6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20.2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5909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43565</v>
      </c>
      <c r="B5" s="12">
        <v>585</v>
      </c>
      <c r="C5" s="11">
        <v>0.104</v>
      </c>
      <c r="D5" s="10">
        <v>2164</v>
      </c>
      <c r="E5" s="11">
        <v>0.128</v>
      </c>
      <c r="F5" s="10">
        <v>350458</v>
      </c>
      <c r="G5" s="11">
        <v>0.13200000000000001</v>
      </c>
      <c r="H5" s="11">
        <v>0.10299999999999999</v>
      </c>
      <c r="I5" s="10">
        <v>291984020</v>
      </c>
      <c r="J5" s="12" t="s">
        <v>5910</v>
      </c>
      <c r="K5" s="10">
        <v>36048</v>
      </c>
      <c r="L5" s="12" t="s">
        <v>5911</v>
      </c>
      <c r="M5" s="10">
        <v>294762020</v>
      </c>
      <c r="N5" s="10">
        <v>36414</v>
      </c>
      <c r="O5" s="12">
        <v>2</v>
      </c>
    </row>
    <row r="6" spans="1:15" ht="15" customHeight="1" x14ac:dyDescent="0.3">
      <c r="A6" s="9">
        <v>43566</v>
      </c>
      <c r="B6" s="12">
        <v>658</v>
      </c>
      <c r="C6" s="11">
        <v>0.108</v>
      </c>
      <c r="D6" s="10">
        <v>2142</v>
      </c>
      <c r="E6" s="11">
        <v>0.124</v>
      </c>
      <c r="F6" s="10">
        <v>342453</v>
      </c>
      <c r="G6" s="11">
        <v>0.126</v>
      </c>
      <c r="H6" s="11">
        <v>8.2000000000000003E-2</v>
      </c>
      <c r="I6" s="10">
        <v>227891450</v>
      </c>
      <c r="J6" s="12" t="s">
        <v>5912</v>
      </c>
      <c r="K6" s="10">
        <v>28247</v>
      </c>
      <c r="L6" s="12" t="s">
        <v>5913</v>
      </c>
      <c r="M6" s="10">
        <v>522653470</v>
      </c>
      <c r="N6" s="10">
        <v>64661</v>
      </c>
      <c r="O6" s="12">
        <v>2</v>
      </c>
    </row>
    <row r="7" spans="1:15" ht="15" customHeight="1" x14ac:dyDescent="0.3">
      <c r="A7" s="9">
        <v>43567</v>
      </c>
      <c r="B7" s="12">
        <v>680</v>
      </c>
      <c r="C7" s="11">
        <v>0.108</v>
      </c>
      <c r="D7" s="10">
        <v>2285</v>
      </c>
      <c r="E7" s="11">
        <v>0.128</v>
      </c>
      <c r="F7" s="10">
        <v>364166</v>
      </c>
      <c r="G7" s="11">
        <v>0.13</v>
      </c>
      <c r="H7" s="11">
        <v>9.2999999999999999E-2</v>
      </c>
      <c r="I7" s="10">
        <v>299767243</v>
      </c>
      <c r="J7" s="12" t="s">
        <v>5914</v>
      </c>
      <c r="K7" s="10">
        <v>33818</v>
      </c>
      <c r="L7" s="12" t="s">
        <v>5915</v>
      </c>
      <c r="M7" s="10">
        <v>822420713</v>
      </c>
      <c r="N7" s="10">
        <v>98479</v>
      </c>
      <c r="O7" s="12">
        <v>2</v>
      </c>
    </row>
    <row r="8" spans="1:15" ht="15" customHeight="1" x14ac:dyDescent="0.3">
      <c r="A8" s="9">
        <v>43568</v>
      </c>
      <c r="B8" s="12">
        <v>726</v>
      </c>
      <c r="C8" s="11">
        <v>0.104</v>
      </c>
      <c r="D8" s="10">
        <v>2596</v>
      </c>
      <c r="E8" s="11">
        <v>0.13400000000000001</v>
      </c>
      <c r="F8" s="10">
        <v>438681</v>
      </c>
      <c r="G8" s="11">
        <v>0.14599999999999999</v>
      </c>
      <c r="H8" s="11">
        <v>0.13900000000000001</v>
      </c>
      <c r="I8" s="10">
        <v>550321971</v>
      </c>
      <c r="J8" s="12" t="s">
        <v>5916</v>
      </c>
      <c r="K8" s="10">
        <v>61190</v>
      </c>
      <c r="L8" s="12" t="s">
        <v>5917</v>
      </c>
      <c r="M8" s="10">
        <v>1372742684</v>
      </c>
      <c r="N8" s="10">
        <v>159669</v>
      </c>
      <c r="O8" s="12">
        <v>2</v>
      </c>
    </row>
    <row r="9" spans="1:15" ht="15" customHeight="1" x14ac:dyDescent="0.3">
      <c r="A9" s="9">
        <v>43569</v>
      </c>
      <c r="B9" s="12">
        <v>726</v>
      </c>
      <c r="C9" s="11">
        <v>0.105</v>
      </c>
      <c r="D9" s="10">
        <v>2558</v>
      </c>
      <c r="E9" s="11">
        <v>0.13600000000000001</v>
      </c>
      <c r="F9" s="10">
        <v>430412</v>
      </c>
      <c r="G9" s="11">
        <v>0.14699999999999999</v>
      </c>
      <c r="H9" s="11">
        <v>0.14099999999999999</v>
      </c>
      <c r="I9" s="10">
        <v>545641670</v>
      </c>
      <c r="J9" s="12" t="s">
        <v>5918</v>
      </c>
      <c r="K9" s="10">
        <v>60574</v>
      </c>
      <c r="L9" s="12" t="s">
        <v>5919</v>
      </c>
      <c r="M9" s="10">
        <v>1918384354</v>
      </c>
      <c r="N9" s="10">
        <v>220243</v>
      </c>
      <c r="O9" s="12">
        <v>2</v>
      </c>
    </row>
    <row r="10" spans="1:15" ht="15" customHeight="1" x14ac:dyDescent="0.3">
      <c r="A10" s="9">
        <v>43570</v>
      </c>
      <c r="B10" s="12">
        <v>632</v>
      </c>
      <c r="C10" s="11">
        <v>0.107</v>
      </c>
      <c r="D10" s="10">
        <v>2344</v>
      </c>
      <c r="E10" s="11">
        <v>0.14399999999999999</v>
      </c>
      <c r="F10" s="10">
        <v>408176</v>
      </c>
      <c r="G10" s="11">
        <v>0.159</v>
      </c>
      <c r="H10" s="11">
        <v>4.3999999999999997E-2</v>
      </c>
      <c r="I10" s="10">
        <v>144298710</v>
      </c>
      <c r="J10" s="12" t="s">
        <v>5920</v>
      </c>
      <c r="K10" s="10">
        <v>17854</v>
      </c>
      <c r="L10" s="12" t="s">
        <v>5921</v>
      </c>
      <c r="M10" s="10">
        <v>2062683064</v>
      </c>
      <c r="N10" s="10">
        <v>238097</v>
      </c>
      <c r="O10" s="12">
        <v>2</v>
      </c>
    </row>
    <row r="11" spans="1:15" ht="15" customHeight="1" x14ac:dyDescent="0.3">
      <c r="A11" s="9">
        <v>43571</v>
      </c>
      <c r="B11" s="12">
        <v>623</v>
      </c>
      <c r="C11" s="11">
        <v>0.104</v>
      </c>
      <c r="D11" s="10">
        <v>2240</v>
      </c>
      <c r="E11" s="11">
        <v>0.14099999999999999</v>
      </c>
      <c r="F11" s="10">
        <v>396464</v>
      </c>
      <c r="G11" s="11">
        <v>0.157</v>
      </c>
      <c r="H11" s="11">
        <v>3.5000000000000003E-2</v>
      </c>
      <c r="I11" s="10">
        <v>111023090</v>
      </c>
      <c r="J11" s="12" t="s">
        <v>5922</v>
      </c>
      <c r="K11" s="10">
        <v>13726</v>
      </c>
      <c r="L11" s="12" t="s">
        <v>5923</v>
      </c>
      <c r="M11" s="10">
        <v>2173706154</v>
      </c>
      <c r="N11" s="10">
        <v>251823</v>
      </c>
      <c r="O11" s="12">
        <v>3</v>
      </c>
    </row>
    <row r="12" spans="1:15" ht="15" customHeight="1" x14ac:dyDescent="0.3">
      <c r="A12" s="9">
        <v>43572</v>
      </c>
      <c r="B12" s="12">
        <v>524</v>
      </c>
      <c r="C12" s="11">
        <v>8.7999999999999995E-2</v>
      </c>
      <c r="D12" s="10">
        <v>1760</v>
      </c>
      <c r="E12" s="11">
        <v>0.106</v>
      </c>
      <c r="F12" s="10">
        <v>298655</v>
      </c>
      <c r="G12" s="11">
        <v>0.113</v>
      </c>
      <c r="H12" s="11">
        <v>3.5000000000000003E-2</v>
      </c>
      <c r="I12" s="10">
        <v>83873940</v>
      </c>
      <c r="J12" s="12" t="s">
        <v>5924</v>
      </c>
      <c r="K12" s="10">
        <v>10417</v>
      </c>
      <c r="L12" s="12" t="s">
        <v>5925</v>
      </c>
      <c r="M12" s="10">
        <v>2257580094</v>
      </c>
      <c r="N12" s="10">
        <v>262240</v>
      </c>
      <c r="O12" s="12">
        <v>4</v>
      </c>
    </row>
    <row r="13" spans="1:15" ht="15" customHeight="1" x14ac:dyDescent="0.3">
      <c r="A13" s="9">
        <v>43573</v>
      </c>
      <c r="B13" s="12">
        <v>488</v>
      </c>
      <c r="C13" s="11">
        <v>7.3999999999999996E-2</v>
      </c>
      <c r="D13" s="10">
        <v>1443</v>
      </c>
      <c r="E13" s="11">
        <v>8.7999999999999995E-2</v>
      </c>
      <c r="F13" s="10">
        <v>249293</v>
      </c>
      <c r="G13" s="11">
        <v>9.5000000000000001E-2</v>
      </c>
      <c r="H13" s="11">
        <v>3.3000000000000002E-2</v>
      </c>
      <c r="I13" s="10">
        <v>65942960</v>
      </c>
      <c r="J13" s="12" t="s">
        <v>5926</v>
      </c>
      <c r="K13" s="10">
        <v>8238</v>
      </c>
      <c r="L13" s="12" t="s">
        <v>5927</v>
      </c>
      <c r="M13" s="10">
        <v>2323523054</v>
      </c>
      <c r="N13" s="10">
        <v>270478</v>
      </c>
      <c r="O13" s="12">
        <v>5</v>
      </c>
    </row>
    <row r="14" spans="1:15" ht="15" customHeight="1" x14ac:dyDescent="0.3">
      <c r="A14" s="9">
        <v>43574</v>
      </c>
      <c r="B14" s="12">
        <v>517</v>
      </c>
      <c r="C14" s="11">
        <v>7.4999999999999997E-2</v>
      </c>
      <c r="D14" s="10">
        <v>1471</v>
      </c>
      <c r="E14" s="11">
        <v>8.5000000000000006E-2</v>
      </c>
      <c r="F14" s="10">
        <v>249065</v>
      </c>
      <c r="G14" s="11">
        <v>9.0999999999999998E-2</v>
      </c>
      <c r="H14" s="11">
        <v>4.1000000000000002E-2</v>
      </c>
      <c r="I14" s="10">
        <v>88018350</v>
      </c>
      <c r="J14" s="12" t="s">
        <v>5928</v>
      </c>
      <c r="K14" s="10">
        <v>10171</v>
      </c>
      <c r="L14" s="12" t="s">
        <v>5929</v>
      </c>
      <c r="M14" s="10">
        <v>2411541404</v>
      </c>
      <c r="N14" s="10">
        <v>280649</v>
      </c>
      <c r="O14" s="12">
        <v>5</v>
      </c>
    </row>
    <row r="15" spans="1:15" ht="15" customHeight="1" x14ac:dyDescent="0.3">
      <c r="A15" s="9">
        <v>43575</v>
      </c>
      <c r="B15" s="12">
        <v>517</v>
      </c>
      <c r="C15" s="11">
        <v>6.8000000000000005E-2</v>
      </c>
      <c r="D15" s="10">
        <v>1526</v>
      </c>
      <c r="E15" s="11">
        <v>0.08</v>
      </c>
      <c r="F15" s="10">
        <v>248297</v>
      </c>
      <c r="G15" s="11">
        <v>8.3000000000000004E-2</v>
      </c>
      <c r="H15" s="11">
        <v>7.0000000000000007E-2</v>
      </c>
      <c r="I15" s="10">
        <v>152133497</v>
      </c>
      <c r="J15" s="12" t="s">
        <v>5930</v>
      </c>
      <c r="K15" s="10">
        <v>17351</v>
      </c>
      <c r="L15" s="12" t="s">
        <v>5931</v>
      </c>
      <c r="M15" s="10">
        <v>2563674901</v>
      </c>
      <c r="N15" s="10">
        <v>298000</v>
      </c>
      <c r="O15" s="12">
        <v>6</v>
      </c>
    </row>
    <row r="16" spans="1:15" ht="15" customHeight="1" x14ac:dyDescent="0.3">
      <c r="A16" s="9">
        <v>43576</v>
      </c>
      <c r="B16" s="12">
        <v>510</v>
      </c>
      <c r="C16" s="11">
        <v>6.9000000000000006E-2</v>
      </c>
      <c r="D16" s="10">
        <v>1446</v>
      </c>
      <c r="E16" s="11">
        <v>7.8E-2</v>
      </c>
      <c r="F16" s="10">
        <v>234762</v>
      </c>
      <c r="G16" s="11">
        <v>0.08</v>
      </c>
      <c r="H16" s="11">
        <v>5.8999999999999997E-2</v>
      </c>
      <c r="I16" s="10">
        <v>123315740</v>
      </c>
      <c r="J16" s="12" t="s">
        <v>5932</v>
      </c>
      <c r="K16" s="10">
        <v>13910</v>
      </c>
      <c r="L16" s="12" t="s">
        <v>5933</v>
      </c>
      <c r="M16" s="10">
        <v>2686990641</v>
      </c>
      <c r="N16" s="10">
        <v>311910</v>
      </c>
      <c r="O16" s="12">
        <v>6</v>
      </c>
    </row>
    <row r="17" spans="1:15" ht="15" customHeight="1" x14ac:dyDescent="0.3">
      <c r="A17" s="9">
        <v>43577</v>
      </c>
      <c r="B17" s="12">
        <v>466</v>
      </c>
      <c r="C17" s="11">
        <v>7.2999999999999995E-2</v>
      </c>
      <c r="D17" s="10">
        <v>1200</v>
      </c>
      <c r="E17" s="11">
        <v>7.6999999999999999E-2</v>
      </c>
      <c r="F17" s="10">
        <v>200594</v>
      </c>
      <c r="G17" s="11">
        <v>8.1000000000000003E-2</v>
      </c>
      <c r="H17" s="11">
        <v>2.4E-2</v>
      </c>
      <c r="I17" s="10">
        <v>38508450</v>
      </c>
      <c r="J17" s="12" t="s">
        <v>5934</v>
      </c>
      <c r="K17" s="10">
        <v>4841</v>
      </c>
      <c r="L17" s="12" t="s">
        <v>5935</v>
      </c>
      <c r="M17" s="10">
        <v>2725499091</v>
      </c>
      <c r="N17" s="10">
        <v>316751</v>
      </c>
      <c r="O17" s="12">
        <v>7</v>
      </c>
    </row>
    <row r="18" spans="1:15" ht="15" customHeight="1" x14ac:dyDescent="0.3">
      <c r="A18" s="9">
        <v>43578</v>
      </c>
      <c r="B18" s="12">
        <v>465</v>
      </c>
      <c r="C18" s="11">
        <v>7.1999999999999995E-2</v>
      </c>
      <c r="D18" s="10">
        <v>1129</v>
      </c>
      <c r="E18" s="11">
        <v>7.2999999999999995E-2</v>
      </c>
      <c r="F18" s="10">
        <v>188066</v>
      </c>
      <c r="G18" s="11">
        <v>7.5999999999999998E-2</v>
      </c>
      <c r="H18" s="11">
        <v>2.3E-2</v>
      </c>
      <c r="I18" s="10">
        <v>35152070</v>
      </c>
      <c r="J18" s="12" t="s">
        <v>5936</v>
      </c>
      <c r="K18" s="10">
        <v>4367</v>
      </c>
      <c r="L18" s="12" t="s">
        <v>5937</v>
      </c>
      <c r="M18" s="10">
        <v>2760651161</v>
      </c>
      <c r="N18" s="10">
        <v>321118</v>
      </c>
      <c r="O18" s="12">
        <v>7</v>
      </c>
    </row>
    <row r="19" spans="1:15" ht="15" customHeight="1" x14ac:dyDescent="0.3">
      <c r="A19" s="9">
        <v>43579</v>
      </c>
      <c r="B19" s="12">
        <v>34</v>
      </c>
      <c r="C19" s="11">
        <v>7.0000000000000001E-3</v>
      </c>
      <c r="D19" s="12">
        <v>40</v>
      </c>
      <c r="E19" s="11">
        <v>3.0000000000000001E-3</v>
      </c>
      <c r="F19" s="10">
        <v>5502</v>
      </c>
      <c r="G19" s="11">
        <v>2E-3</v>
      </c>
      <c r="H19" s="11">
        <v>4.9000000000000002E-2</v>
      </c>
      <c r="I19" s="10">
        <v>1715400</v>
      </c>
      <c r="J19" s="12" t="s">
        <v>5938</v>
      </c>
      <c r="K19" s="12">
        <v>271</v>
      </c>
      <c r="L19" s="12" t="s">
        <v>5939</v>
      </c>
      <c r="M19" s="10">
        <v>2762366561</v>
      </c>
      <c r="N19" s="10">
        <v>321389</v>
      </c>
      <c r="O19" s="12">
        <v>27</v>
      </c>
    </row>
    <row r="20" spans="1:15" ht="15" customHeight="1" x14ac:dyDescent="0.3">
      <c r="A20" s="9">
        <v>43580</v>
      </c>
      <c r="B20" s="12">
        <v>21</v>
      </c>
      <c r="C20" s="11">
        <v>4.0000000000000001E-3</v>
      </c>
      <c r="D20" s="12">
        <v>26</v>
      </c>
      <c r="E20" s="11">
        <v>2E-3</v>
      </c>
      <c r="F20" s="10">
        <v>2992</v>
      </c>
      <c r="G20" s="11">
        <v>1E-3</v>
      </c>
      <c r="H20" s="11">
        <v>2.4E-2</v>
      </c>
      <c r="I20" s="10">
        <v>595300</v>
      </c>
      <c r="J20" s="12" t="s">
        <v>5940</v>
      </c>
      <c r="K20" s="12">
        <v>73</v>
      </c>
      <c r="L20" s="12" t="s">
        <v>5941</v>
      </c>
      <c r="M20" s="10">
        <v>2762961861</v>
      </c>
      <c r="N20" s="10">
        <v>321462</v>
      </c>
      <c r="O20" s="12">
        <v>61</v>
      </c>
    </row>
    <row r="21" spans="1:15" ht="15" customHeight="1" x14ac:dyDescent="0.3">
      <c r="A21" s="9">
        <v>43581</v>
      </c>
      <c r="B21" s="12">
        <v>25</v>
      </c>
      <c r="C21" s="11">
        <v>5.0000000000000001E-3</v>
      </c>
      <c r="D21" s="12">
        <v>28</v>
      </c>
      <c r="E21" s="11">
        <v>2E-3</v>
      </c>
      <c r="F21" s="10">
        <v>3561</v>
      </c>
      <c r="G21" s="11">
        <v>1E-3</v>
      </c>
      <c r="H21" s="11">
        <v>3.3000000000000002E-2</v>
      </c>
      <c r="I21" s="10">
        <v>1065130</v>
      </c>
      <c r="J21" s="12" t="s">
        <v>5942</v>
      </c>
      <c r="K21" s="12">
        <v>117</v>
      </c>
      <c r="L21" s="12" t="s">
        <v>5943</v>
      </c>
      <c r="M21" s="10">
        <v>2764026991</v>
      </c>
      <c r="N21" s="10">
        <v>321579</v>
      </c>
      <c r="O21" s="12">
        <v>43</v>
      </c>
    </row>
    <row r="22" spans="1:15" ht="15" customHeight="1" x14ac:dyDescent="0.3">
      <c r="A22" s="9">
        <v>43582</v>
      </c>
      <c r="B22" s="12">
        <v>18</v>
      </c>
      <c r="C22" s="11">
        <v>4.0000000000000001E-3</v>
      </c>
      <c r="D22" s="12">
        <v>19</v>
      </c>
      <c r="E22" s="11">
        <v>1E-3</v>
      </c>
      <c r="F22" s="10">
        <v>2509</v>
      </c>
      <c r="G22" s="11">
        <v>1E-3</v>
      </c>
      <c r="H22" s="11">
        <v>3.6999999999999998E-2</v>
      </c>
      <c r="I22" s="10">
        <v>792000</v>
      </c>
      <c r="J22" s="12" t="s">
        <v>5944</v>
      </c>
      <c r="K22" s="12">
        <v>94</v>
      </c>
      <c r="L22" s="12" t="s">
        <v>5945</v>
      </c>
      <c r="M22" s="10">
        <v>2764818991</v>
      </c>
      <c r="N22" s="10">
        <v>321673</v>
      </c>
      <c r="O22" s="12">
        <v>56</v>
      </c>
    </row>
    <row r="23" spans="1:15" ht="15" customHeight="1" x14ac:dyDescent="0.3">
      <c r="A23" s="9">
        <v>43583</v>
      </c>
      <c r="B23" s="12">
        <v>17</v>
      </c>
      <c r="C23" s="11">
        <v>3.0000000000000001E-3</v>
      </c>
      <c r="D23" s="12">
        <v>18</v>
      </c>
      <c r="E23" s="11">
        <v>1E-3</v>
      </c>
      <c r="F23" s="10">
        <v>2149</v>
      </c>
      <c r="G23" s="11">
        <v>1E-3</v>
      </c>
      <c r="H23" s="11">
        <v>4.5999999999999999E-2</v>
      </c>
      <c r="I23" s="10">
        <v>824600</v>
      </c>
      <c r="J23" s="12" t="s">
        <v>5946</v>
      </c>
      <c r="K23" s="12">
        <v>99</v>
      </c>
      <c r="L23" s="12" t="s">
        <v>5947</v>
      </c>
      <c r="M23" s="10">
        <v>2765643591</v>
      </c>
      <c r="N23" s="10">
        <v>321772</v>
      </c>
      <c r="O23" s="12">
        <v>52</v>
      </c>
    </row>
    <row r="24" spans="1:15" ht="15" customHeight="1" x14ac:dyDescent="0.3">
      <c r="A24" s="9">
        <v>43584</v>
      </c>
      <c r="B24" s="12">
        <v>20</v>
      </c>
      <c r="C24" s="11">
        <v>4.0000000000000001E-3</v>
      </c>
      <c r="D24" s="12">
        <v>22</v>
      </c>
      <c r="E24" s="11">
        <v>1E-3</v>
      </c>
      <c r="F24" s="10">
        <v>3041</v>
      </c>
      <c r="G24" s="11">
        <v>1E-3</v>
      </c>
      <c r="H24" s="11">
        <v>2.5999999999999999E-2</v>
      </c>
      <c r="I24" s="10">
        <v>599380</v>
      </c>
      <c r="J24" s="12" t="s">
        <v>5948</v>
      </c>
      <c r="K24" s="12">
        <v>78</v>
      </c>
      <c r="L24" s="12" t="s">
        <v>5949</v>
      </c>
      <c r="M24" s="10">
        <v>2766242971</v>
      </c>
      <c r="N24" s="10">
        <v>321850</v>
      </c>
      <c r="O24" s="12">
        <v>54</v>
      </c>
    </row>
    <row r="25" spans="1:15" ht="15" customHeight="1" x14ac:dyDescent="0.3">
      <c r="A25" s="9">
        <v>43585</v>
      </c>
      <c r="B25" s="12">
        <v>22</v>
      </c>
      <c r="C25" s="11">
        <v>4.0000000000000001E-3</v>
      </c>
      <c r="D25" s="12">
        <v>23</v>
      </c>
      <c r="E25" s="11">
        <v>1E-3</v>
      </c>
      <c r="F25" s="10">
        <v>2902</v>
      </c>
      <c r="G25" s="11">
        <v>1E-3</v>
      </c>
      <c r="H25" s="11">
        <v>8.7999999999999995E-2</v>
      </c>
      <c r="I25" s="10">
        <v>2228350</v>
      </c>
      <c r="J25" s="12" t="s">
        <v>5950</v>
      </c>
      <c r="K25" s="12">
        <v>255</v>
      </c>
      <c r="L25" s="12" t="s">
        <v>5951</v>
      </c>
      <c r="M25" s="10">
        <v>2768471321</v>
      </c>
      <c r="N25" s="10">
        <v>322105</v>
      </c>
      <c r="O25" s="12">
        <v>34</v>
      </c>
    </row>
    <row r="26" spans="1:15" ht="15" customHeight="1" x14ac:dyDescent="0.3">
      <c r="A26" s="9">
        <v>43586</v>
      </c>
      <c r="B26" s="12">
        <v>9</v>
      </c>
      <c r="C26" s="11">
        <v>2E-3</v>
      </c>
      <c r="D26" s="12">
        <v>9</v>
      </c>
      <c r="E26" s="11">
        <v>1E-3</v>
      </c>
      <c r="F26" s="12">
        <v>663</v>
      </c>
      <c r="G26" s="11">
        <v>0</v>
      </c>
      <c r="H26" s="11">
        <v>0.86399999999999999</v>
      </c>
      <c r="I26" s="10">
        <v>4584000</v>
      </c>
      <c r="J26" s="12" t="s">
        <v>5952</v>
      </c>
      <c r="K26" s="12">
        <v>573</v>
      </c>
      <c r="L26" s="12" t="s">
        <v>5953</v>
      </c>
      <c r="M26" s="10">
        <v>2773055321</v>
      </c>
      <c r="N26" s="10">
        <v>322678</v>
      </c>
      <c r="O26" s="12">
        <v>14</v>
      </c>
    </row>
    <row r="27" spans="1:15" ht="15" customHeight="1" x14ac:dyDescent="0.3">
      <c r="A27" s="9">
        <v>43587</v>
      </c>
      <c r="B27" s="12">
        <v>9</v>
      </c>
      <c r="C27" s="11">
        <v>2E-3</v>
      </c>
      <c r="D27" s="12">
        <v>9</v>
      </c>
      <c r="E27" s="11">
        <v>1E-3</v>
      </c>
      <c r="F27" s="12">
        <v>773</v>
      </c>
      <c r="G27" s="11">
        <v>0</v>
      </c>
      <c r="H27" s="11">
        <v>0.52400000000000002</v>
      </c>
      <c r="I27" s="10">
        <v>3227000</v>
      </c>
      <c r="J27" s="12" t="s">
        <v>5954</v>
      </c>
      <c r="K27" s="12">
        <v>405</v>
      </c>
      <c r="L27" s="12" t="s">
        <v>5955</v>
      </c>
      <c r="M27" s="10">
        <v>2776282321</v>
      </c>
      <c r="N27" s="10">
        <v>323083</v>
      </c>
      <c r="O27" s="12">
        <v>22</v>
      </c>
    </row>
    <row r="28" spans="1:15" ht="15" customHeight="1" x14ac:dyDescent="0.3">
      <c r="A28" s="9">
        <v>43588</v>
      </c>
      <c r="B28" s="12">
        <v>1</v>
      </c>
      <c r="C28" s="11">
        <v>0</v>
      </c>
      <c r="D28" s="12">
        <v>1</v>
      </c>
      <c r="E28" s="11">
        <v>0</v>
      </c>
      <c r="F28" s="12">
        <v>108</v>
      </c>
      <c r="G28" s="11">
        <v>0</v>
      </c>
      <c r="H28" s="11">
        <v>8.9999999999999993E-3</v>
      </c>
      <c r="I28" s="10">
        <v>8000</v>
      </c>
      <c r="J28" s="12" t="s">
        <v>5956</v>
      </c>
      <c r="K28" s="12">
        <v>1</v>
      </c>
      <c r="L28" s="12" t="s">
        <v>5957</v>
      </c>
      <c r="M28" s="10">
        <v>2776290321</v>
      </c>
      <c r="N28" s="10">
        <v>323084</v>
      </c>
      <c r="O28" s="12">
        <v>94</v>
      </c>
    </row>
    <row r="29" spans="1:15" ht="15" customHeight="1" x14ac:dyDescent="0.3">
      <c r="A29" s="9">
        <v>43592</v>
      </c>
      <c r="B29" s="12">
        <v>2</v>
      </c>
      <c r="C29" s="11">
        <v>0</v>
      </c>
      <c r="D29" s="12">
        <v>2</v>
      </c>
      <c r="E29" s="11">
        <v>0</v>
      </c>
      <c r="F29" s="12">
        <v>312</v>
      </c>
      <c r="G29" s="11">
        <v>0</v>
      </c>
      <c r="H29" s="11">
        <v>2.1999999999999999E-2</v>
      </c>
      <c r="I29" s="10">
        <v>60000</v>
      </c>
      <c r="J29" s="12" t="s">
        <v>5958</v>
      </c>
      <c r="K29" s="12">
        <v>7</v>
      </c>
      <c r="L29" s="12" t="s">
        <v>314</v>
      </c>
      <c r="M29" s="10">
        <v>2776350321</v>
      </c>
      <c r="N29" s="10">
        <v>323091</v>
      </c>
      <c r="O29" s="12">
        <v>78</v>
      </c>
    </row>
    <row r="30" spans="1:15" ht="15" customHeight="1" x14ac:dyDescent="0.3">
      <c r="A30" s="9">
        <v>43593</v>
      </c>
      <c r="B30" s="12">
        <v>1</v>
      </c>
      <c r="C30" s="11">
        <v>0</v>
      </c>
      <c r="D30" s="12">
        <v>1</v>
      </c>
      <c r="E30" s="11">
        <v>0</v>
      </c>
      <c r="F30" s="12">
        <v>108</v>
      </c>
      <c r="G30" s="11">
        <v>0</v>
      </c>
      <c r="H30" s="11">
        <v>3.6999999999999998E-2</v>
      </c>
      <c r="I30" s="10">
        <v>32000</v>
      </c>
      <c r="J30" s="12" t="s">
        <v>5959</v>
      </c>
      <c r="K30" s="12">
        <v>4</v>
      </c>
      <c r="L30" s="12" t="s">
        <v>5960</v>
      </c>
      <c r="M30" s="10">
        <v>2776382321</v>
      </c>
      <c r="N30" s="10">
        <v>323095</v>
      </c>
      <c r="O30" s="12">
        <v>94</v>
      </c>
    </row>
    <row r="31" spans="1:15" ht="15" customHeight="1" x14ac:dyDescent="0.3">
      <c r="A31" s="9">
        <v>43598</v>
      </c>
      <c r="B31" s="12">
        <v>1</v>
      </c>
      <c r="C31" s="11">
        <v>0</v>
      </c>
      <c r="D31" s="12">
        <v>1</v>
      </c>
      <c r="E31" s="11">
        <v>0</v>
      </c>
      <c r="F31" s="12">
        <v>108</v>
      </c>
      <c r="G31" s="11">
        <v>0</v>
      </c>
      <c r="H31" s="11">
        <v>1.9E-2</v>
      </c>
      <c r="I31" s="10">
        <v>16000</v>
      </c>
      <c r="J31" s="12" t="s">
        <v>2336</v>
      </c>
      <c r="K31" s="12">
        <v>2</v>
      </c>
      <c r="L31" s="12" t="s">
        <v>1408</v>
      </c>
      <c r="M31" s="10">
        <v>2776398321</v>
      </c>
      <c r="N31" s="10">
        <v>323097</v>
      </c>
      <c r="O31" s="12">
        <v>90</v>
      </c>
    </row>
    <row r="32" spans="1:15" ht="15" customHeight="1" x14ac:dyDescent="0.3">
      <c r="A32" s="9">
        <v>43601</v>
      </c>
      <c r="B32" s="12">
        <v>1</v>
      </c>
      <c r="C32" s="11">
        <v>0</v>
      </c>
      <c r="D32" s="12">
        <v>1</v>
      </c>
      <c r="E32" s="11">
        <v>0</v>
      </c>
      <c r="F32" s="12">
        <v>108</v>
      </c>
      <c r="G32" s="11">
        <v>0</v>
      </c>
      <c r="H32" s="11">
        <v>8.9999999999999993E-3</v>
      </c>
      <c r="I32" s="10">
        <v>8000</v>
      </c>
      <c r="J32" s="12" t="s">
        <v>1406</v>
      </c>
      <c r="K32" s="12">
        <v>1</v>
      </c>
      <c r="L32" s="12" t="s">
        <v>312</v>
      </c>
      <c r="M32" s="10">
        <v>2776406321</v>
      </c>
      <c r="N32" s="10">
        <v>323098</v>
      </c>
      <c r="O32" s="12">
        <v>98</v>
      </c>
    </row>
    <row r="33" ht="15" customHeight="1" x14ac:dyDescent="0.3"/>
    <row r="34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6CFD0-DCB7-4EB6-B335-AB82FEEF2E37}">
  <dimension ref="A1:O84"/>
  <sheetViews>
    <sheetView showGridLines="0" workbookViewId="0">
      <selection activeCell="A5" sqref="A5:O7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21.25" bestFit="1" customWidth="1"/>
    <col min="11" max="11" width="7.12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5961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43580</v>
      </c>
      <c r="B5" s="12">
        <v>530</v>
      </c>
      <c r="C5" s="11">
        <v>0.106</v>
      </c>
      <c r="D5" s="12">
        <v>935</v>
      </c>
      <c r="E5" s="11">
        <v>5.8999999999999997E-2</v>
      </c>
      <c r="F5" s="10">
        <v>108799</v>
      </c>
      <c r="G5" s="11">
        <v>4.4999999999999998E-2</v>
      </c>
      <c r="H5" s="11">
        <v>0.14899999999999999</v>
      </c>
      <c r="I5" s="10">
        <v>113249440</v>
      </c>
      <c r="J5" s="12" t="s">
        <v>5963</v>
      </c>
      <c r="K5" s="10">
        <v>16260</v>
      </c>
      <c r="L5" s="12" t="s">
        <v>5964</v>
      </c>
      <c r="M5" s="10">
        <v>132893440</v>
      </c>
      <c r="N5" s="10">
        <v>18580</v>
      </c>
      <c r="O5" s="12">
        <v>2</v>
      </c>
    </row>
    <row r="6" spans="1:15" ht="15" customHeight="1" x14ac:dyDescent="0.3">
      <c r="A6" s="9">
        <v>43581</v>
      </c>
      <c r="B6" s="12">
        <v>508</v>
      </c>
      <c r="C6" s="11">
        <v>0.10199999999999999</v>
      </c>
      <c r="D6" s="12">
        <v>927</v>
      </c>
      <c r="E6" s="11">
        <v>5.8000000000000003E-2</v>
      </c>
      <c r="F6" s="10">
        <v>104730</v>
      </c>
      <c r="G6" s="11">
        <v>4.2000000000000003E-2</v>
      </c>
      <c r="H6" s="11">
        <v>0.152</v>
      </c>
      <c r="I6" s="10">
        <v>127026520</v>
      </c>
      <c r="J6" s="12" t="s">
        <v>5965</v>
      </c>
      <c r="K6" s="10">
        <v>15951</v>
      </c>
      <c r="L6" s="12" t="s">
        <v>5966</v>
      </c>
      <c r="M6" s="10">
        <v>259919960</v>
      </c>
      <c r="N6" s="10">
        <v>34531</v>
      </c>
      <c r="O6" s="12">
        <v>2</v>
      </c>
    </row>
    <row r="7" spans="1:15" ht="15" customHeight="1" x14ac:dyDescent="0.3">
      <c r="A7" s="9">
        <v>43582</v>
      </c>
      <c r="B7" s="12">
        <v>728</v>
      </c>
      <c r="C7" s="11">
        <v>0.14399999999999999</v>
      </c>
      <c r="D7" s="10">
        <v>1635</v>
      </c>
      <c r="E7" s="11">
        <v>9.7000000000000003E-2</v>
      </c>
      <c r="F7" s="10">
        <v>193220</v>
      </c>
      <c r="G7" s="11">
        <v>7.4999999999999997E-2</v>
      </c>
      <c r="H7" s="11">
        <v>0.61</v>
      </c>
      <c r="I7" s="10">
        <v>921076650</v>
      </c>
      <c r="J7" s="12" t="s">
        <v>5967</v>
      </c>
      <c r="K7" s="10">
        <v>117772</v>
      </c>
      <c r="L7" s="12" t="s">
        <v>5968</v>
      </c>
      <c r="M7" s="10">
        <v>1180996610</v>
      </c>
      <c r="N7" s="10">
        <v>152303</v>
      </c>
      <c r="O7" s="12">
        <v>2</v>
      </c>
    </row>
    <row r="8" spans="1:15" ht="15" customHeight="1" x14ac:dyDescent="0.3">
      <c r="A8" s="9">
        <v>43583</v>
      </c>
      <c r="B8" s="12">
        <v>736</v>
      </c>
      <c r="C8" s="11">
        <v>0.14599999999999999</v>
      </c>
      <c r="D8" s="10">
        <v>1655</v>
      </c>
      <c r="E8" s="11">
        <v>0.1</v>
      </c>
      <c r="F8" s="10">
        <v>196325</v>
      </c>
      <c r="G8" s="11">
        <v>7.8E-2</v>
      </c>
      <c r="H8" s="11">
        <v>0.625</v>
      </c>
      <c r="I8" s="10">
        <v>963244570</v>
      </c>
      <c r="J8" s="12" t="s">
        <v>5969</v>
      </c>
      <c r="K8" s="10">
        <v>122713</v>
      </c>
      <c r="L8" s="12" t="s">
        <v>5970</v>
      </c>
      <c r="M8" s="10">
        <v>2144241180</v>
      </c>
      <c r="N8" s="10">
        <v>275016</v>
      </c>
      <c r="O8" s="12">
        <v>2</v>
      </c>
    </row>
    <row r="9" spans="1:15" ht="15" customHeight="1" x14ac:dyDescent="0.3">
      <c r="A9" s="9">
        <v>43584</v>
      </c>
      <c r="B9" s="12">
        <v>462</v>
      </c>
      <c r="C9" s="11">
        <v>9.6000000000000002E-2</v>
      </c>
      <c r="D9" s="12">
        <v>825</v>
      </c>
      <c r="E9" s="11">
        <v>5.3999999999999999E-2</v>
      </c>
      <c r="F9" s="10">
        <v>93072</v>
      </c>
      <c r="G9" s="11">
        <v>3.9E-2</v>
      </c>
      <c r="H9" s="11">
        <v>0.104</v>
      </c>
      <c r="I9" s="10">
        <v>70392930</v>
      </c>
      <c r="J9" s="12" t="s">
        <v>5971</v>
      </c>
      <c r="K9" s="10">
        <v>9647</v>
      </c>
      <c r="L9" s="12" t="s">
        <v>5972</v>
      </c>
      <c r="M9" s="10">
        <v>2214634110</v>
      </c>
      <c r="N9" s="10">
        <v>284663</v>
      </c>
      <c r="O9" s="12">
        <v>2</v>
      </c>
    </row>
    <row r="10" spans="1:15" ht="15" customHeight="1" x14ac:dyDescent="0.3">
      <c r="A10" s="9">
        <v>43585</v>
      </c>
      <c r="B10" s="12">
        <v>476</v>
      </c>
      <c r="C10" s="11">
        <v>9.6000000000000002E-2</v>
      </c>
      <c r="D10" s="12">
        <v>837</v>
      </c>
      <c r="E10" s="11">
        <v>5.2999999999999999E-2</v>
      </c>
      <c r="F10" s="10">
        <v>94647</v>
      </c>
      <c r="G10" s="11">
        <v>3.9E-2</v>
      </c>
      <c r="H10" s="11">
        <v>0.113</v>
      </c>
      <c r="I10" s="10">
        <v>76622990</v>
      </c>
      <c r="J10" s="12" t="s">
        <v>5973</v>
      </c>
      <c r="K10" s="10">
        <v>10717</v>
      </c>
      <c r="L10" s="12" t="s">
        <v>5974</v>
      </c>
      <c r="M10" s="10">
        <v>2291257100</v>
      </c>
      <c r="N10" s="10">
        <v>295380</v>
      </c>
      <c r="O10" s="12">
        <v>2</v>
      </c>
    </row>
    <row r="11" spans="1:15" ht="15" customHeight="1" x14ac:dyDescent="0.3">
      <c r="A11" s="9">
        <v>43586</v>
      </c>
      <c r="B11" s="12">
        <v>669</v>
      </c>
      <c r="C11" s="11">
        <v>0.129</v>
      </c>
      <c r="D11" s="10">
        <v>1297</v>
      </c>
      <c r="E11" s="11">
        <v>7.5999999999999998E-2</v>
      </c>
      <c r="F11" s="10">
        <v>151506</v>
      </c>
      <c r="G11" s="11">
        <v>5.8999999999999997E-2</v>
      </c>
      <c r="H11" s="11">
        <v>0.67600000000000005</v>
      </c>
      <c r="I11" s="10">
        <v>730599150</v>
      </c>
      <c r="J11" s="12" t="s">
        <v>5975</v>
      </c>
      <c r="K11" s="10">
        <v>102381</v>
      </c>
      <c r="L11" s="12" t="s">
        <v>5976</v>
      </c>
      <c r="M11" s="10">
        <v>3021856250</v>
      </c>
      <c r="N11" s="10">
        <v>397761</v>
      </c>
      <c r="O11" s="12">
        <v>3</v>
      </c>
    </row>
    <row r="12" spans="1:15" ht="15" customHeight="1" x14ac:dyDescent="0.3">
      <c r="A12" s="9">
        <v>43587</v>
      </c>
      <c r="B12" s="12">
        <v>465</v>
      </c>
      <c r="C12" s="11">
        <v>9.6000000000000002E-2</v>
      </c>
      <c r="D12" s="12">
        <v>723</v>
      </c>
      <c r="E12" s="11">
        <v>4.4999999999999998E-2</v>
      </c>
      <c r="F12" s="10">
        <v>84473</v>
      </c>
      <c r="G12" s="11">
        <v>3.5000000000000003E-2</v>
      </c>
      <c r="H12" s="11">
        <v>0.124</v>
      </c>
      <c r="I12" s="10">
        <v>71685560</v>
      </c>
      <c r="J12" s="12" t="s">
        <v>5977</v>
      </c>
      <c r="K12" s="10">
        <v>10470</v>
      </c>
      <c r="L12" s="12" t="s">
        <v>5978</v>
      </c>
      <c r="M12" s="10">
        <v>3093541810</v>
      </c>
      <c r="N12" s="10">
        <v>408231</v>
      </c>
      <c r="O12" s="12">
        <v>3</v>
      </c>
    </row>
    <row r="13" spans="1:15" ht="15" customHeight="1" x14ac:dyDescent="0.3">
      <c r="A13" s="9">
        <v>43588</v>
      </c>
      <c r="B13" s="12">
        <v>513</v>
      </c>
      <c r="C13" s="11">
        <v>0.105</v>
      </c>
      <c r="D13" s="12">
        <v>819</v>
      </c>
      <c r="E13" s="11">
        <v>0.05</v>
      </c>
      <c r="F13" s="10">
        <v>95854</v>
      </c>
      <c r="G13" s="11">
        <v>3.7999999999999999E-2</v>
      </c>
      <c r="H13" s="11">
        <v>0.16600000000000001</v>
      </c>
      <c r="I13" s="10">
        <v>110202320</v>
      </c>
      <c r="J13" s="12" t="s">
        <v>5979</v>
      </c>
      <c r="K13" s="10">
        <v>15950</v>
      </c>
      <c r="L13" s="12" t="s">
        <v>5980</v>
      </c>
      <c r="M13" s="10">
        <v>3203744130</v>
      </c>
      <c r="N13" s="10">
        <v>424181</v>
      </c>
      <c r="O13" s="12">
        <v>3</v>
      </c>
    </row>
    <row r="14" spans="1:15" ht="15" customHeight="1" x14ac:dyDescent="0.3">
      <c r="A14" s="9">
        <v>43589</v>
      </c>
      <c r="B14" s="12">
        <v>763</v>
      </c>
      <c r="C14" s="11">
        <v>0.13600000000000001</v>
      </c>
      <c r="D14" s="10">
        <v>1660</v>
      </c>
      <c r="E14" s="11">
        <v>9.2999999999999999E-2</v>
      </c>
      <c r="F14" s="10">
        <v>212695</v>
      </c>
      <c r="G14" s="11">
        <v>7.8E-2</v>
      </c>
      <c r="H14" s="11">
        <v>0.35599999999999998</v>
      </c>
      <c r="I14" s="10">
        <v>597767930</v>
      </c>
      <c r="J14" s="12" t="s">
        <v>5981</v>
      </c>
      <c r="K14" s="10">
        <v>75621</v>
      </c>
      <c r="L14" s="12" t="s">
        <v>5982</v>
      </c>
      <c r="M14" s="10">
        <v>3801512060</v>
      </c>
      <c r="N14" s="10">
        <v>499802</v>
      </c>
      <c r="O14" s="12">
        <v>3</v>
      </c>
    </row>
    <row r="15" spans="1:15" ht="15" customHeight="1" x14ac:dyDescent="0.3">
      <c r="A15" s="9">
        <v>43590</v>
      </c>
      <c r="B15" s="12">
        <v>797</v>
      </c>
      <c r="C15" s="11">
        <v>0.13900000000000001</v>
      </c>
      <c r="D15" s="10">
        <v>1845</v>
      </c>
      <c r="E15" s="11">
        <v>0.10199999999999999</v>
      </c>
      <c r="F15" s="10">
        <v>244614</v>
      </c>
      <c r="G15" s="11">
        <v>0.09</v>
      </c>
      <c r="H15" s="11">
        <v>0.32900000000000001</v>
      </c>
      <c r="I15" s="10">
        <v>645095310</v>
      </c>
      <c r="J15" s="12" t="s">
        <v>5983</v>
      </c>
      <c r="K15" s="10">
        <v>80488</v>
      </c>
      <c r="L15" s="12" t="s">
        <v>5984</v>
      </c>
      <c r="M15" s="10">
        <v>4446607370</v>
      </c>
      <c r="N15" s="10">
        <v>580290</v>
      </c>
      <c r="O15" s="12">
        <v>3</v>
      </c>
    </row>
    <row r="16" spans="1:15" ht="15" customHeight="1" x14ac:dyDescent="0.3">
      <c r="A16" s="9">
        <v>43591</v>
      </c>
      <c r="B16" s="12">
        <v>711</v>
      </c>
      <c r="C16" s="11">
        <v>0.128</v>
      </c>
      <c r="D16" s="10">
        <v>1555</v>
      </c>
      <c r="E16" s="11">
        <v>0.09</v>
      </c>
      <c r="F16" s="10">
        <v>199295</v>
      </c>
      <c r="G16" s="11">
        <v>7.5999999999999998E-2</v>
      </c>
      <c r="H16" s="11">
        <v>0.39800000000000002</v>
      </c>
      <c r="I16" s="10">
        <v>623569740</v>
      </c>
      <c r="J16" s="12" t="s">
        <v>5985</v>
      </c>
      <c r="K16" s="10">
        <v>79305</v>
      </c>
      <c r="L16" s="12" t="s">
        <v>5986</v>
      </c>
      <c r="M16" s="10">
        <v>5070177110</v>
      </c>
      <c r="N16" s="10">
        <v>659595</v>
      </c>
      <c r="O16" s="12">
        <v>3</v>
      </c>
    </row>
    <row r="17" spans="1:15" ht="15" customHeight="1" x14ac:dyDescent="0.3">
      <c r="A17" s="9">
        <v>43592</v>
      </c>
      <c r="B17" s="12">
        <v>438</v>
      </c>
      <c r="C17" s="11">
        <v>0.09</v>
      </c>
      <c r="D17" s="12">
        <v>686</v>
      </c>
      <c r="E17" s="11">
        <v>4.4999999999999998E-2</v>
      </c>
      <c r="F17" s="10">
        <v>82817</v>
      </c>
      <c r="G17" s="11">
        <v>3.5999999999999997E-2</v>
      </c>
      <c r="H17" s="11">
        <v>7.2999999999999995E-2</v>
      </c>
      <c r="I17" s="10">
        <v>42602160</v>
      </c>
      <c r="J17" s="12" t="s">
        <v>5987</v>
      </c>
      <c r="K17" s="10">
        <v>6021</v>
      </c>
      <c r="L17" s="12" t="s">
        <v>5988</v>
      </c>
      <c r="M17" s="10">
        <v>5112779270</v>
      </c>
      <c r="N17" s="10">
        <v>665616</v>
      </c>
      <c r="O17" s="12">
        <v>4</v>
      </c>
    </row>
    <row r="18" spans="1:15" ht="15" customHeight="1" x14ac:dyDescent="0.3">
      <c r="A18" s="9">
        <v>43593</v>
      </c>
      <c r="B18" s="12">
        <v>359</v>
      </c>
      <c r="C18" s="11">
        <v>7.9000000000000001E-2</v>
      </c>
      <c r="D18" s="12">
        <v>516</v>
      </c>
      <c r="E18" s="11">
        <v>3.5000000000000003E-2</v>
      </c>
      <c r="F18" s="10">
        <v>60426</v>
      </c>
      <c r="G18" s="11">
        <v>2.5999999999999999E-2</v>
      </c>
      <c r="H18" s="11">
        <v>5.7000000000000002E-2</v>
      </c>
      <c r="I18" s="10">
        <v>24867080</v>
      </c>
      <c r="J18" s="12" t="s">
        <v>5989</v>
      </c>
      <c r="K18" s="10">
        <v>3466</v>
      </c>
      <c r="L18" s="12" t="s">
        <v>5990</v>
      </c>
      <c r="M18" s="10">
        <v>5137646350</v>
      </c>
      <c r="N18" s="10">
        <v>669082</v>
      </c>
      <c r="O18" s="12">
        <v>5</v>
      </c>
    </row>
    <row r="19" spans="1:15" ht="15" customHeight="1" x14ac:dyDescent="0.3">
      <c r="A19" s="9">
        <v>43594</v>
      </c>
      <c r="B19" s="12">
        <v>220</v>
      </c>
      <c r="C19" s="11">
        <v>4.2999999999999997E-2</v>
      </c>
      <c r="D19" s="12">
        <v>280</v>
      </c>
      <c r="E19" s="11">
        <v>1.7000000000000001E-2</v>
      </c>
      <c r="F19" s="10">
        <v>33402</v>
      </c>
      <c r="G19" s="11">
        <v>1.2999999999999999E-2</v>
      </c>
      <c r="H19" s="11">
        <v>0.09</v>
      </c>
      <c r="I19" s="10">
        <v>20069000</v>
      </c>
      <c r="J19" s="12" t="s">
        <v>5991</v>
      </c>
      <c r="K19" s="10">
        <v>3007</v>
      </c>
      <c r="L19" s="12" t="s">
        <v>5992</v>
      </c>
      <c r="M19" s="10">
        <v>5157715350</v>
      </c>
      <c r="N19" s="10">
        <v>672089</v>
      </c>
      <c r="O19" s="12">
        <v>8</v>
      </c>
    </row>
    <row r="20" spans="1:15" ht="15" customHeight="1" x14ac:dyDescent="0.3">
      <c r="A20" s="9">
        <v>43595</v>
      </c>
      <c r="B20" s="12">
        <v>224</v>
      </c>
      <c r="C20" s="11">
        <v>4.2999999999999997E-2</v>
      </c>
      <c r="D20" s="12">
        <v>289</v>
      </c>
      <c r="E20" s="11">
        <v>1.7000000000000001E-2</v>
      </c>
      <c r="F20" s="10">
        <v>33970</v>
      </c>
      <c r="G20" s="11">
        <v>1.2999999999999999E-2</v>
      </c>
      <c r="H20" s="11">
        <v>0.1</v>
      </c>
      <c r="I20" s="10">
        <v>24128520</v>
      </c>
      <c r="J20" s="12" t="s">
        <v>5993</v>
      </c>
      <c r="K20" s="10">
        <v>3397</v>
      </c>
      <c r="L20" s="12" t="s">
        <v>5994</v>
      </c>
      <c r="M20" s="10">
        <v>5181843870</v>
      </c>
      <c r="N20" s="10">
        <v>675486</v>
      </c>
      <c r="O20" s="12">
        <v>6</v>
      </c>
    </row>
    <row r="21" spans="1:15" ht="15" customHeight="1" x14ac:dyDescent="0.3">
      <c r="A21" s="9">
        <v>43596</v>
      </c>
      <c r="B21" s="12">
        <v>453</v>
      </c>
      <c r="C21" s="11">
        <v>7.9000000000000001E-2</v>
      </c>
      <c r="D21" s="12">
        <v>674</v>
      </c>
      <c r="E21" s="11">
        <v>3.6999999999999998E-2</v>
      </c>
      <c r="F21" s="10">
        <v>80630</v>
      </c>
      <c r="G21" s="11">
        <v>2.9000000000000001E-2</v>
      </c>
      <c r="H21" s="11">
        <v>0.28899999999999998</v>
      </c>
      <c r="I21" s="10">
        <v>182937110</v>
      </c>
      <c r="J21" s="12" t="s">
        <v>5995</v>
      </c>
      <c r="K21" s="10">
        <v>23282</v>
      </c>
      <c r="L21" s="12" t="s">
        <v>5996</v>
      </c>
      <c r="M21" s="10">
        <v>5364780980</v>
      </c>
      <c r="N21" s="10">
        <v>698768</v>
      </c>
      <c r="O21" s="12">
        <v>5</v>
      </c>
    </row>
    <row r="22" spans="1:15" ht="15" customHeight="1" x14ac:dyDescent="0.3">
      <c r="A22" s="9">
        <v>43597</v>
      </c>
      <c r="B22" s="12">
        <v>447</v>
      </c>
      <c r="C22" s="11">
        <v>7.8E-2</v>
      </c>
      <c r="D22" s="12">
        <v>665</v>
      </c>
      <c r="E22" s="11">
        <v>3.6999999999999998E-2</v>
      </c>
      <c r="F22" s="10">
        <v>78924</v>
      </c>
      <c r="G22" s="11">
        <v>2.9000000000000001E-2</v>
      </c>
      <c r="H22" s="11">
        <v>0.28699999999999998</v>
      </c>
      <c r="I22" s="10">
        <v>178619920</v>
      </c>
      <c r="J22" s="12" t="s">
        <v>5997</v>
      </c>
      <c r="K22" s="10">
        <v>22655</v>
      </c>
      <c r="L22" s="12" t="s">
        <v>5998</v>
      </c>
      <c r="M22" s="10">
        <v>5543400900</v>
      </c>
      <c r="N22" s="10">
        <v>721423</v>
      </c>
      <c r="O22" s="12">
        <v>5</v>
      </c>
    </row>
    <row r="23" spans="1:15" ht="15" customHeight="1" x14ac:dyDescent="0.3">
      <c r="A23" s="9">
        <v>43598</v>
      </c>
      <c r="B23" s="12">
        <v>194</v>
      </c>
      <c r="C23" s="11">
        <v>0.04</v>
      </c>
      <c r="D23" s="12">
        <v>237</v>
      </c>
      <c r="E23" s="11">
        <v>1.4999999999999999E-2</v>
      </c>
      <c r="F23" s="10">
        <v>28160</v>
      </c>
      <c r="G23" s="11">
        <v>1.0999999999999999E-2</v>
      </c>
      <c r="H23" s="11">
        <v>5.6000000000000001E-2</v>
      </c>
      <c r="I23" s="10">
        <v>11191980</v>
      </c>
      <c r="J23" s="12" t="s">
        <v>5999</v>
      </c>
      <c r="K23" s="10">
        <v>1579</v>
      </c>
      <c r="L23" s="12" t="s">
        <v>6000</v>
      </c>
      <c r="M23" s="10">
        <v>5554592880</v>
      </c>
      <c r="N23" s="10">
        <v>723002</v>
      </c>
      <c r="O23" s="12">
        <v>7</v>
      </c>
    </row>
    <row r="24" spans="1:15" ht="15" customHeight="1" x14ac:dyDescent="0.3">
      <c r="A24" s="9">
        <v>43599</v>
      </c>
      <c r="B24" s="12">
        <v>195</v>
      </c>
      <c r="C24" s="11">
        <v>3.9E-2</v>
      </c>
      <c r="D24" s="12">
        <v>243</v>
      </c>
      <c r="E24" s="11">
        <v>1.4999999999999999E-2</v>
      </c>
      <c r="F24" s="10">
        <v>28988</v>
      </c>
      <c r="G24" s="11">
        <v>1.2E-2</v>
      </c>
      <c r="H24" s="11">
        <v>6.8000000000000005E-2</v>
      </c>
      <c r="I24" s="10">
        <v>13665300</v>
      </c>
      <c r="J24" s="12" t="s">
        <v>6001</v>
      </c>
      <c r="K24" s="10">
        <v>1972</v>
      </c>
      <c r="L24" s="12" t="s">
        <v>6002</v>
      </c>
      <c r="M24" s="10">
        <v>5568258180</v>
      </c>
      <c r="N24" s="10">
        <v>724974</v>
      </c>
      <c r="O24" s="12">
        <v>7</v>
      </c>
    </row>
    <row r="25" spans="1:15" ht="15" customHeight="1" x14ac:dyDescent="0.3">
      <c r="A25" s="9">
        <v>43600</v>
      </c>
      <c r="B25" s="12">
        <v>98</v>
      </c>
      <c r="C25" s="11">
        <v>1.9E-2</v>
      </c>
      <c r="D25" s="12">
        <v>126</v>
      </c>
      <c r="E25" s="11">
        <v>7.0000000000000001E-3</v>
      </c>
      <c r="F25" s="10">
        <v>12446</v>
      </c>
      <c r="G25" s="11">
        <v>5.0000000000000001E-3</v>
      </c>
      <c r="H25" s="11">
        <v>0.112</v>
      </c>
      <c r="I25" s="10">
        <v>9509400</v>
      </c>
      <c r="J25" s="12" t="s">
        <v>6003</v>
      </c>
      <c r="K25" s="10">
        <v>1391</v>
      </c>
      <c r="L25" s="12" t="s">
        <v>6004</v>
      </c>
      <c r="M25" s="10">
        <v>5577767580</v>
      </c>
      <c r="N25" s="10">
        <v>726365</v>
      </c>
      <c r="O25" s="12">
        <v>8</v>
      </c>
    </row>
    <row r="26" spans="1:15" ht="15" customHeight="1" x14ac:dyDescent="0.3">
      <c r="A26" s="9">
        <v>43601</v>
      </c>
      <c r="B26" s="12">
        <v>60</v>
      </c>
      <c r="C26" s="11">
        <v>1.0999999999999999E-2</v>
      </c>
      <c r="D26" s="12">
        <v>77</v>
      </c>
      <c r="E26" s="11">
        <v>4.0000000000000001E-3</v>
      </c>
      <c r="F26" s="10">
        <v>8145</v>
      </c>
      <c r="G26" s="11">
        <v>3.0000000000000001E-3</v>
      </c>
      <c r="H26" s="11">
        <v>0.112</v>
      </c>
      <c r="I26" s="10">
        <v>6015560</v>
      </c>
      <c r="J26" s="12" t="s">
        <v>6005</v>
      </c>
      <c r="K26" s="12">
        <v>913</v>
      </c>
      <c r="L26" s="12" t="s">
        <v>6006</v>
      </c>
      <c r="M26" s="10">
        <v>5583783140</v>
      </c>
      <c r="N26" s="10">
        <v>727278</v>
      </c>
      <c r="O26" s="12">
        <v>12</v>
      </c>
    </row>
    <row r="27" spans="1:15" ht="15" customHeight="1" x14ac:dyDescent="0.3">
      <c r="A27" s="9">
        <v>43602</v>
      </c>
      <c r="B27" s="12">
        <v>76</v>
      </c>
      <c r="C27" s="11">
        <v>1.2999999999999999E-2</v>
      </c>
      <c r="D27" s="12">
        <v>93</v>
      </c>
      <c r="E27" s="11">
        <v>5.0000000000000001E-3</v>
      </c>
      <c r="F27" s="10">
        <v>9740</v>
      </c>
      <c r="G27" s="11">
        <v>3.0000000000000001E-3</v>
      </c>
      <c r="H27" s="11">
        <v>0.13800000000000001</v>
      </c>
      <c r="I27" s="10">
        <v>9312610</v>
      </c>
      <c r="J27" s="12" t="s">
        <v>6007</v>
      </c>
      <c r="K27" s="10">
        <v>1342</v>
      </c>
      <c r="L27" s="12" t="s">
        <v>6008</v>
      </c>
      <c r="M27" s="10">
        <v>5593095750</v>
      </c>
      <c r="N27" s="10">
        <v>728620</v>
      </c>
      <c r="O27" s="12">
        <v>11</v>
      </c>
    </row>
    <row r="28" spans="1:15" ht="15" customHeight="1" x14ac:dyDescent="0.3">
      <c r="A28" s="9">
        <v>43603</v>
      </c>
      <c r="B28" s="12">
        <v>223</v>
      </c>
      <c r="C28" s="11">
        <v>3.5000000000000003E-2</v>
      </c>
      <c r="D28" s="12">
        <v>293</v>
      </c>
      <c r="E28" s="11">
        <v>1.4999999999999999E-2</v>
      </c>
      <c r="F28" s="10">
        <v>32872</v>
      </c>
      <c r="G28" s="11">
        <v>1.0999999999999999E-2</v>
      </c>
      <c r="H28" s="11">
        <v>0.33600000000000002</v>
      </c>
      <c r="I28" s="10">
        <v>87808400</v>
      </c>
      <c r="J28" s="12" t="s">
        <v>6009</v>
      </c>
      <c r="K28" s="10">
        <v>11053</v>
      </c>
      <c r="L28" s="12" t="s">
        <v>6010</v>
      </c>
      <c r="M28" s="10">
        <v>5680904150</v>
      </c>
      <c r="N28" s="10">
        <v>739673</v>
      </c>
      <c r="O28" s="12">
        <v>7</v>
      </c>
    </row>
    <row r="29" spans="1:15" ht="15" customHeight="1" x14ac:dyDescent="0.3">
      <c r="A29" s="9">
        <v>43604</v>
      </c>
      <c r="B29" s="12">
        <v>234</v>
      </c>
      <c r="C29" s="11">
        <v>3.6999999999999998E-2</v>
      </c>
      <c r="D29" s="12">
        <v>317</v>
      </c>
      <c r="E29" s="11">
        <v>1.7000000000000001E-2</v>
      </c>
      <c r="F29" s="10">
        <v>35308</v>
      </c>
      <c r="G29" s="11">
        <v>1.2E-2</v>
      </c>
      <c r="H29" s="11">
        <v>0.36399999999999999</v>
      </c>
      <c r="I29" s="10">
        <v>103134900</v>
      </c>
      <c r="J29" s="12" t="s">
        <v>6011</v>
      </c>
      <c r="K29" s="10">
        <v>12835</v>
      </c>
      <c r="L29" s="12" t="s">
        <v>6012</v>
      </c>
      <c r="M29" s="10">
        <v>5784039050</v>
      </c>
      <c r="N29" s="10">
        <v>752508</v>
      </c>
      <c r="O29" s="12">
        <v>7</v>
      </c>
    </row>
    <row r="30" spans="1:15" ht="15" customHeight="1" x14ac:dyDescent="0.3">
      <c r="A30" s="9">
        <v>43605</v>
      </c>
      <c r="B30" s="12">
        <v>64</v>
      </c>
      <c r="C30" s="11">
        <v>1.2E-2</v>
      </c>
      <c r="D30" s="12">
        <v>83</v>
      </c>
      <c r="E30" s="11">
        <v>5.0000000000000001E-3</v>
      </c>
      <c r="F30" s="10">
        <v>8474</v>
      </c>
      <c r="G30" s="11">
        <v>3.0000000000000001E-3</v>
      </c>
      <c r="H30" s="11">
        <v>8.3000000000000004E-2</v>
      </c>
      <c r="I30" s="10">
        <v>4830480</v>
      </c>
      <c r="J30" s="12" t="s">
        <v>6013</v>
      </c>
      <c r="K30" s="12">
        <v>702</v>
      </c>
      <c r="L30" s="12" t="s">
        <v>6014</v>
      </c>
      <c r="M30" s="10">
        <v>5788869530</v>
      </c>
      <c r="N30" s="10">
        <v>753210</v>
      </c>
      <c r="O30" s="12">
        <v>12</v>
      </c>
    </row>
    <row r="31" spans="1:15" ht="15" customHeight="1" x14ac:dyDescent="0.3">
      <c r="A31" s="9">
        <v>43606</v>
      </c>
      <c r="B31" s="12">
        <v>62</v>
      </c>
      <c r="C31" s="11">
        <v>1.0999999999999999E-2</v>
      </c>
      <c r="D31" s="12">
        <v>79</v>
      </c>
      <c r="E31" s="11">
        <v>5.0000000000000001E-3</v>
      </c>
      <c r="F31" s="10">
        <v>8074</v>
      </c>
      <c r="G31" s="11">
        <v>3.0000000000000001E-3</v>
      </c>
      <c r="H31" s="11">
        <v>6.4000000000000001E-2</v>
      </c>
      <c r="I31" s="10">
        <v>3700800</v>
      </c>
      <c r="J31" s="12" t="s">
        <v>6015</v>
      </c>
      <c r="K31" s="12">
        <v>520</v>
      </c>
      <c r="L31" s="12" t="s">
        <v>6016</v>
      </c>
      <c r="M31" s="10">
        <v>5792570330</v>
      </c>
      <c r="N31" s="10">
        <v>753730</v>
      </c>
      <c r="O31" s="12">
        <v>16</v>
      </c>
    </row>
    <row r="32" spans="1:15" ht="15" customHeight="1" x14ac:dyDescent="0.3">
      <c r="A32" s="9">
        <v>43607</v>
      </c>
      <c r="B32" s="12">
        <v>56</v>
      </c>
      <c r="C32" s="11">
        <v>1.0999999999999999E-2</v>
      </c>
      <c r="D32" s="12">
        <v>74</v>
      </c>
      <c r="E32" s="11">
        <v>4.0000000000000001E-3</v>
      </c>
      <c r="F32" s="10">
        <v>7737</v>
      </c>
      <c r="G32" s="11">
        <v>3.0000000000000001E-3</v>
      </c>
      <c r="H32" s="11">
        <v>8.6999999999999994E-2</v>
      </c>
      <c r="I32" s="10">
        <v>4421700</v>
      </c>
      <c r="J32" s="12" t="s">
        <v>6017</v>
      </c>
      <c r="K32" s="12">
        <v>672</v>
      </c>
      <c r="L32" s="12" t="s">
        <v>6018</v>
      </c>
      <c r="M32" s="10">
        <v>5796992030</v>
      </c>
      <c r="N32" s="10">
        <v>754402</v>
      </c>
      <c r="O32" s="12">
        <v>13</v>
      </c>
    </row>
    <row r="33" spans="1:15" ht="15" customHeight="1" x14ac:dyDescent="0.3">
      <c r="A33" s="9">
        <v>43608</v>
      </c>
      <c r="B33" s="12">
        <v>20</v>
      </c>
      <c r="C33" s="11">
        <v>3.0000000000000001E-3</v>
      </c>
      <c r="D33" s="12">
        <v>30</v>
      </c>
      <c r="E33" s="11">
        <v>2E-3</v>
      </c>
      <c r="F33" s="10">
        <v>2244</v>
      </c>
      <c r="G33" s="11">
        <v>1E-3</v>
      </c>
      <c r="H33" s="11">
        <v>9.7000000000000003E-2</v>
      </c>
      <c r="I33" s="10">
        <v>1474500</v>
      </c>
      <c r="J33" s="12" t="s">
        <v>6019</v>
      </c>
      <c r="K33" s="12">
        <v>218</v>
      </c>
      <c r="L33" s="12" t="s">
        <v>6020</v>
      </c>
      <c r="M33" s="10">
        <v>5798466530</v>
      </c>
      <c r="N33" s="10">
        <v>754620</v>
      </c>
      <c r="O33" s="12">
        <v>27</v>
      </c>
    </row>
    <row r="34" spans="1:15" ht="15" customHeight="1" x14ac:dyDescent="0.3">
      <c r="A34" s="9">
        <v>43609</v>
      </c>
      <c r="B34" s="12">
        <v>23</v>
      </c>
      <c r="C34" s="11">
        <v>4.0000000000000001E-3</v>
      </c>
      <c r="D34" s="12">
        <v>36</v>
      </c>
      <c r="E34" s="11">
        <v>2E-3</v>
      </c>
      <c r="F34" s="10">
        <v>2553</v>
      </c>
      <c r="G34" s="11">
        <v>1E-3</v>
      </c>
      <c r="H34" s="11">
        <v>0.19</v>
      </c>
      <c r="I34" s="10">
        <v>3243300</v>
      </c>
      <c r="J34" s="12" t="s">
        <v>6021</v>
      </c>
      <c r="K34" s="12">
        <v>484</v>
      </c>
      <c r="L34" s="12" t="s">
        <v>6022</v>
      </c>
      <c r="M34" s="10">
        <v>5801709830</v>
      </c>
      <c r="N34" s="10">
        <v>755104</v>
      </c>
      <c r="O34" s="12">
        <v>20</v>
      </c>
    </row>
    <row r="35" spans="1:15" ht="15" customHeight="1" x14ac:dyDescent="0.3">
      <c r="A35" s="9">
        <v>43610</v>
      </c>
      <c r="B35" s="12">
        <v>77</v>
      </c>
      <c r="C35" s="11">
        <v>1.2E-2</v>
      </c>
      <c r="D35" s="12">
        <v>100</v>
      </c>
      <c r="E35" s="11">
        <v>5.0000000000000001E-3</v>
      </c>
      <c r="F35" s="10">
        <v>10460</v>
      </c>
      <c r="G35" s="11">
        <v>3.0000000000000001E-3</v>
      </c>
      <c r="H35" s="11">
        <v>0.26500000000000001</v>
      </c>
      <c r="I35" s="10">
        <v>22208910</v>
      </c>
      <c r="J35" s="12" t="s">
        <v>6023</v>
      </c>
      <c r="K35" s="10">
        <v>2770</v>
      </c>
      <c r="L35" s="12" t="s">
        <v>6024</v>
      </c>
      <c r="M35" s="10">
        <v>5823918740</v>
      </c>
      <c r="N35" s="10">
        <v>757874</v>
      </c>
      <c r="O35" s="12">
        <v>11</v>
      </c>
    </row>
    <row r="36" spans="1:15" ht="15" customHeight="1" x14ac:dyDescent="0.3">
      <c r="A36" s="9">
        <v>43611</v>
      </c>
      <c r="B36" s="12">
        <v>75</v>
      </c>
      <c r="C36" s="11">
        <v>1.0999999999999999E-2</v>
      </c>
      <c r="D36" s="12">
        <v>96</v>
      </c>
      <c r="E36" s="11">
        <v>5.0000000000000001E-3</v>
      </c>
      <c r="F36" s="10">
        <v>10126</v>
      </c>
      <c r="G36" s="11">
        <v>3.0000000000000001E-3</v>
      </c>
      <c r="H36" s="11">
        <v>0.26700000000000002</v>
      </c>
      <c r="I36" s="10">
        <v>22064540</v>
      </c>
      <c r="J36" s="12" t="s">
        <v>6025</v>
      </c>
      <c r="K36" s="10">
        <v>2703</v>
      </c>
      <c r="L36" s="12" t="s">
        <v>6026</v>
      </c>
      <c r="M36" s="10">
        <v>5845983280</v>
      </c>
      <c r="N36" s="10">
        <v>760577</v>
      </c>
      <c r="O36" s="12">
        <v>13</v>
      </c>
    </row>
    <row r="37" spans="1:15" ht="15" customHeight="1" x14ac:dyDescent="0.3">
      <c r="A37" s="9">
        <v>43612</v>
      </c>
      <c r="B37" s="12">
        <v>15</v>
      </c>
      <c r="C37" s="11">
        <v>3.0000000000000001E-3</v>
      </c>
      <c r="D37" s="12">
        <v>27</v>
      </c>
      <c r="E37" s="11">
        <v>2E-3</v>
      </c>
      <c r="F37" s="10">
        <v>1833</v>
      </c>
      <c r="G37" s="11">
        <v>1E-3</v>
      </c>
      <c r="H37" s="11">
        <v>0.10100000000000001</v>
      </c>
      <c r="I37" s="10">
        <v>1368200</v>
      </c>
      <c r="J37" s="12" t="s">
        <v>6027</v>
      </c>
      <c r="K37" s="12">
        <v>185</v>
      </c>
      <c r="L37" s="12" t="s">
        <v>6028</v>
      </c>
      <c r="M37" s="10">
        <v>5847351480</v>
      </c>
      <c r="N37" s="10">
        <v>760762</v>
      </c>
      <c r="O37" s="12">
        <v>27</v>
      </c>
    </row>
    <row r="38" spans="1:15" ht="15" customHeight="1" x14ac:dyDescent="0.3">
      <c r="A38" s="9">
        <v>43613</v>
      </c>
      <c r="B38" s="12">
        <v>20</v>
      </c>
      <c r="C38" s="11">
        <v>3.0000000000000001E-3</v>
      </c>
      <c r="D38" s="12">
        <v>33</v>
      </c>
      <c r="E38" s="11">
        <v>2E-3</v>
      </c>
      <c r="F38" s="10">
        <v>2569</v>
      </c>
      <c r="G38" s="11">
        <v>1E-3</v>
      </c>
      <c r="H38" s="11">
        <v>0.107</v>
      </c>
      <c r="I38" s="10">
        <v>1793080</v>
      </c>
      <c r="J38" s="12" t="s">
        <v>6029</v>
      </c>
      <c r="K38" s="12">
        <v>274</v>
      </c>
      <c r="L38" s="12" t="s">
        <v>6030</v>
      </c>
      <c r="M38" s="10">
        <v>5849144560</v>
      </c>
      <c r="N38" s="10">
        <v>761036</v>
      </c>
      <c r="O38" s="12">
        <v>29</v>
      </c>
    </row>
    <row r="39" spans="1:15" ht="15" customHeight="1" x14ac:dyDescent="0.3">
      <c r="A39" s="9">
        <v>43614</v>
      </c>
      <c r="B39" s="12">
        <v>12</v>
      </c>
      <c r="C39" s="11">
        <v>2E-3</v>
      </c>
      <c r="D39" s="12">
        <v>27</v>
      </c>
      <c r="E39" s="11">
        <v>2E-3</v>
      </c>
      <c r="F39" s="10">
        <v>1765</v>
      </c>
      <c r="G39" s="11">
        <v>1E-3</v>
      </c>
      <c r="H39" s="11">
        <v>0.16700000000000001</v>
      </c>
      <c r="I39" s="10">
        <v>1646500</v>
      </c>
      <c r="J39" s="12" t="s">
        <v>6031</v>
      </c>
      <c r="K39" s="12">
        <v>294</v>
      </c>
      <c r="L39" s="12" t="s">
        <v>6032</v>
      </c>
      <c r="M39" s="10">
        <v>5850791060</v>
      </c>
      <c r="N39" s="10">
        <v>761330</v>
      </c>
      <c r="O39" s="12">
        <v>27</v>
      </c>
    </row>
    <row r="40" spans="1:15" ht="15" customHeight="1" x14ac:dyDescent="0.3">
      <c r="A40" s="9">
        <v>43615</v>
      </c>
      <c r="B40" s="12">
        <v>10</v>
      </c>
      <c r="C40" s="11">
        <v>2E-3</v>
      </c>
      <c r="D40" s="12">
        <v>20</v>
      </c>
      <c r="E40" s="11">
        <v>1E-3</v>
      </c>
      <c r="F40" s="10">
        <v>1208</v>
      </c>
      <c r="G40" s="11">
        <v>0</v>
      </c>
      <c r="H40" s="11">
        <v>0.188</v>
      </c>
      <c r="I40" s="10">
        <v>1401100</v>
      </c>
      <c r="J40" s="12" t="s">
        <v>6033</v>
      </c>
      <c r="K40" s="12">
        <v>227</v>
      </c>
      <c r="L40" s="12" t="s">
        <v>6034</v>
      </c>
      <c r="M40" s="10">
        <v>5852192160</v>
      </c>
      <c r="N40" s="10">
        <v>761557</v>
      </c>
      <c r="O40" s="12">
        <v>31</v>
      </c>
    </row>
    <row r="41" spans="1:15" ht="15" customHeight="1" x14ac:dyDescent="0.3">
      <c r="A41" s="9">
        <v>43616</v>
      </c>
      <c r="B41" s="12">
        <v>7</v>
      </c>
      <c r="C41" s="11">
        <v>1E-3</v>
      </c>
      <c r="D41" s="12">
        <v>13</v>
      </c>
      <c r="E41" s="11">
        <v>1E-3</v>
      </c>
      <c r="F41" s="12">
        <v>838</v>
      </c>
      <c r="G41" s="11">
        <v>0</v>
      </c>
      <c r="H41" s="11">
        <v>0.18</v>
      </c>
      <c r="I41" s="10">
        <v>964480</v>
      </c>
      <c r="J41" s="12" t="s">
        <v>6035</v>
      </c>
      <c r="K41" s="12">
        <v>151</v>
      </c>
      <c r="L41" s="12" t="s">
        <v>6036</v>
      </c>
      <c r="M41" s="10">
        <v>5853156640</v>
      </c>
      <c r="N41" s="10">
        <v>761708</v>
      </c>
      <c r="O41" s="12">
        <v>31</v>
      </c>
    </row>
    <row r="42" spans="1:15" ht="15" customHeight="1" x14ac:dyDescent="0.3">
      <c r="A42" s="9">
        <v>43617</v>
      </c>
      <c r="B42" s="12">
        <v>15</v>
      </c>
      <c r="C42" s="11">
        <v>3.0000000000000001E-3</v>
      </c>
      <c r="D42" s="12">
        <v>28</v>
      </c>
      <c r="E42" s="11">
        <v>1E-3</v>
      </c>
      <c r="F42" s="10">
        <v>2047</v>
      </c>
      <c r="G42" s="11">
        <v>1E-3</v>
      </c>
      <c r="H42" s="11">
        <v>0.29799999999999999</v>
      </c>
      <c r="I42" s="10">
        <v>4828200</v>
      </c>
      <c r="J42" s="12" t="s">
        <v>6037</v>
      </c>
      <c r="K42" s="12">
        <v>611</v>
      </c>
      <c r="L42" s="12" t="s">
        <v>6038</v>
      </c>
      <c r="M42" s="10">
        <v>5857984840</v>
      </c>
      <c r="N42" s="10">
        <v>762319</v>
      </c>
      <c r="O42" s="12">
        <v>18</v>
      </c>
    </row>
    <row r="43" spans="1:15" ht="15" customHeight="1" x14ac:dyDescent="0.3">
      <c r="A43" s="9">
        <v>43618</v>
      </c>
      <c r="B43" s="12">
        <v>16</v>
      </c>
      <c r="C43" s="11">
        <v>3.0000000000000001E-3</v>
      </c>
      <c r="D43" s="12">
        <v>27</v>
      </c>
      <c r="E43" s="11">
        <v>1E-3</v>
      </c>
      <c r="F43" s="10">
        <v>1999</v>
      </c>
      <c r="G43" s="11">
        <v>1E-3</v>
      </c>
      <c r="H43" s="11">
        <v>0.31</v>
      </c>
      <c r="I43" s="10">
        <v>4804880</v>
      </c>
      <c r="J43" s="12" t="s">
        <v>6039</v>
      </c>
      <c r="K43" s="12">
        <v>619</v>
      </c>
      <c r="L43" s="12" t="s">
        <v>6040</v>
      </c>
      <c r="M43" s="10">
        <v>5862789720</v>
      </c>
      <c r="N43" s="10">
        <v>762938</v>
      </c>
      <c r="O43" s="12">
        <v>15</v>
      </c>
    </row>
    <row r="44" spans="1:15" ht="15" customHeight="1" x14ac:dyDescent="0.3">
      <c r="A44" s="9">
        <v>43619</v>
      </c>
      <c r="B44" s="12">
        <v>5</v>
      </c>
      <c r="C44" s="11">
        <v>1E-3</v>
      </c>
      <c r="D44" s="12">
        <v>14</v>
      </c>
      <c r="E44" s="11">
        <v>1E-3</v>
      </c>
      <c r="F44" s="12">
        <v>537</v>
      </c>
      <c r="G44" s="11">
        <v>0</v>
      </c>
      <c r="H44" s="11">
        <v>0.222</v>
      </c>
      <c r="I44" s="10">
        <v>805000</v>
      </c>
      <c r="J44" s="12" t="s">
        <v>6041</v>
      </c>
      <c r="K44" s="12">
        <v>119</v>
      </c>
      <c r="L44" s="12" t="s">
        <v>6042</v>
      </c>
      <c r="M44" s="10">
        <v>5863594720</v>
      </c>
      <c r="N44" s="10">
        <v>763057</v>
      </c>
      <c r="O44" s="12">
        <v>32</v>
      </c>
    </row>
    <row r="45" spans="1:15" ht="15" customHeight="1" x14ac:dyDescent="0.3">
      <c r="A45" s="9">
        <v>43620</v>
      </c>
      <c r="B45" s="12">
        <v>8</v>
      </c>
      <c r="C45" s="11">
        <v>1E-3</v>
      </c>
      <c r="D45" s="12">
        <v>11</v>
      </c>
      <c r="E45" s="11">
        <v>1E-3</v>
      </c>
      <c r="F45" s="12">
        <v>680</v>
      </c>
      <c r="G45" s="11">
        <v>0</v>
      </c>
      <c r="H45" s="11">
        <v>0.2</v>
      </c>
      <c r="I45" s="10">
        <v>768000</v>
      </c>
      <c r="J45" s="12" t="s">
        <v>6043</v>
      </c>
      <c r="K45" s="12">
        <v>136</v>
      </c>
      <c r="L45" s="12" t="s">
        <v>6044</v>
      </c>
      <c r="M45" s="10">
        <v>5864362720</v>
      </c>
      <c r="N45" s="10">
        <v>763193</v>
      </c>
      <c r="O45" s="12">
        <v>31</v>
      </c>
    </row>
    <row r="46" spans="1:15" ht="15" customHeight="1" x14ac:dyDescent="0.3">
      <c r="A46" s="9">
        <v>43621</v>
      </c>
      <c r="B46" s="12">
        <v>6</v>
      </c>
      <c r="C46" s="11">
        <v>1E-3</v>
      </c>
      <c r="D46" s="12">
        <v>11</v>
      </c>
      <c r="E46" s="11">
        <v>1E-3</v>
      </c>
      <c r="F46" s="12">
        <v>684</v>
      </c>
      <c r="G46" s="11">
        <v>0</v>
      </c>
      <c r="H46" s="11">
        <v>0.21099999999999999</v>
      </c>
      <c r="I46" s="10">
        <v>783300</v>
      </c>
      <c r="J46" s="12" t="s">
        <v>6045</v>
      </c>
      <c r="K46" s="12">
        <v>144</v>
      </c>
      <c r="L46" s="12" t="s">
        <v>6046</v>
      </c>
      <c r="M46" s="10">
        <v>5865146020</v>
      </c>
      <c r="N46" s="10">
        <v>763337</v>
      </c>
      <c r="O46" s="12">
        <v>38</v>
      </c>
    </row>
    <row r="47" spans="1:15" ht="15" customHeight="1" x14ac:dyDescent="0.3">
      <c r="A47" s="9">
        <v>43622</v>
      </c>
      <c r="B47" s="12">
        <v>5</v>
      </c>
      <c r="C47" s="11">
        <v>1E-3</v>
      </c>
      <c r="D47" s="12">
        <v>7</v>
      </c>
      <c r="E47" s="11">
        <v>0</v>
      </c>
      <c r="F47" s="12">
        <v>586</v>
      </c>
      <c r="G47" s="11">
        <v>0</v>
      </c>
      <c r="H47" s="11">
        <v>0.27100000000000002</v>
      </c>
      <c r="I47" s="10">
        <v>1101080</v>
      </c>
      <c r="J47" s="12" t="s">
        <v>6047</v>
      </c>
      <c r="K47" s="12">
        <v>159</v>
      </c>
      <c r="L47" s="12" t="s">
        <v>6048</v>
      </c>
      <c r="M47" s="10">
        <v>5866247100</v>
      </c>
      <c r="N47" s="10">
        <v>763496</v>
      </c>
      <c r="O47" s="12">
        <v>34</v>
      </c>
    </row>
    <row r="48" spans="1:15" ht="15" customHeight="1" x14ac:dyDescent="0.3">
      <c r="A48" s="9">
        <v>43623</v>
      </c>
      <c r="B48" s="12">
        <v>7</v>
      </c>
      <c r="C48" s="11">
        <v>1E-3</v>
      </c>
      <c r="D48" s="12">
        <v>9</v>
      </c>
      <c r="E48" s="11">
        <v>0</v>
      </c>
      <c r="F48" s="12">
        <v>611</v>
      </c>
      <c r="G48" s="11">
        <v>0</v>
      </c>
      <c r="H48" s="11">
        <v>0.55500000000000005</v>
      </c>
      <c r="I48" s="10">
        <v>1905900</v>
      </c>
      <c r="J48" s="12" t="s">
        <v>6049</v>
      </c>
      <c r="K48" s="12">
        <v>339</v>
      </c>
      <c r="L48" s="12" t="s">
        <v>6050</v>
      </c>
      <c r="M48" s="10">
        <v>5868153000</v>
      </c>
      <c r="N48" s="10">
        <v>763835</v>
      </c>
      <c r="O48" s="12">
        <v>19</v>
      </c>
    </row>
    <row r="49" spans="1:15" ht="15" customHeight="1" x14ac:dyDescent="0.3">
      <c r="A49" s="9">
        <v>43624</v>
      </c>
      <c r="B49" s="12">
        <v>4</v>
      </c>
      <c r="C49" s="11">
        <v>1E-3</v>
      </c>
      <c r="D49" s="12">
        <v>6</v>
      </c>
      <c r="E49" s="11">
        <v>0</v>
      </c>
      <c r="F49" s="12">
        <v>340</v>
      </c>
      <c r="G49" s="11">
        <v>0</v>
      </c>
      <c r="H49" s="11">
        <v>0.3</v>
      </c>
      <c r="I49" s="10">
        <v>767300</v>
      </c>
      <c r="J49" s="12" t="s">
        <v>6051</v>
      </c>
      <c r="K49" s="12">
        <v>102</v>
      </c>
      <c r="L49" s="12" t="s">
        <v>6052</v>
      </c>
      <c r="M49" s="10">
        <v>5868920300</v>
      </c>
      <c r="N49" s="10">
        <v>763937</v>
      </c>
      <c r="O49" s="12">
        <v>39</v>
      </c>
    </row>
    <row r="50" spans="1:15" ht="15" customHeight="1" x14ac:dyDescent="0.3">
      <c r="A50" s="9">
        <v>43625</v>
      </c>
      <c r="B50" s="12">
        <v>4</v>
      </c>
      <c r="C50" s="11">
        <v>1E-3</v>
      </c>
      <c r="D50" s="12">
        <v>6</v>
      </c>
      <c r="E50" s="11">
        <v>0</v>
      </c>
      <c r="F50" s="12">
        <v>327</v>
      </c>
      <c r="G50" s="11">
        <v>0</v>
      </c>
      <c r="H50" s="11">
        <v>0.33600000000000002</v>
      </c>
      <c r="I50" s="10">
        <v>785900</v>
      </c>
      <c r="J50" s="12" t="s">
        <v>6053</v>
      </c>
      <c r="K50" s="12">
        <v>110</v>
      </c>
      <c r="L50" s="12" t="s">
        <v>6054</v>
      </c>
      <c r="M50" s="10">
        <v>5869706200</v>
      </c>
      <c r="N50" s="10">
        <v>764047</v>
      </c>
      <c r="O50" s="12">
        <v>35</v>
      </c>
    </row>
    <row r="51" spans="1:15" ht="15" customHeight="1" x14ac:dyDescent="0.3">
      <c r="A51" s="9">
        <v>43626</v>
      </c>
      <c r="B51" s="12">
        <v>1</v>
      </c>
      <c r="C51" s="11">
        <v>0</v>
      </c>
      <c r="D51" s="12">
        <v>2</v>
      </c>
      <c r="E51" s="11">
        <v>0</v>
      </c>
      <c r="F51" s="12">
        <v>64</v>
      </c>
      <c r="G51" s="11">
        <v>0</v>
      </c>
      <c r="H51" s="11">
        <v>0.26600000000000001</v>
      </c>
      <c r="I51" s="10">
        <v>113000</v>
      </c>
      <c r="J51" s="12" t="s">
        <v>6055</v>
      </c>
      <c r="K51" s="12">
        <v>17</v>
      </c>
      <c r="L51" s="12" t="s">
        <v>6056</v>
      </c>
      <c r="M51" s="10">
        <v>5869819200</v>
      </c>
      <c r="N51" s="10">
        <v>764064</v>
      </c>
      <c r="O51" s="12">
        <v>59</v>
      </c>
    </row>
    <row r="52" spans="1:15" ht="15" customHeight="1" x14ac:dyDescent="0.3">
      <c r="A52" s="9">
        <v>43627</v>
      </c>
      <c r="B52" s="12">
        <v>3</v>
      </c>
      <c r="C52" s="11">
        <v>1E-3</v>
      </c>
      <c r="D52" s="12">
        <v>3</v>
      </c>
      <c r="E52" s="11">
        <v>0</v>
      </c>
      <c r="F52" s="12">
        <v>245</v>
      </c>
      <c r="G52" s="11">
        <v>0</v>
      </c>
      <c r="H52" s="11">
        <v>0.75900000000000001</v>
      </c>
      <c r="I52" s="10">
        <v>1031000</v>
      </c>
      <c r="J52" s="12" t="s">
        <v>6057</v>
      </c>
      <c r="K52" s="12">
        <v>186</v>
      </c>
      <c r="L52" s="12" t="s">
        <v>6058</v>
      </c>
      <c r="M52" s="10">
        <v>5870850200</v>
      </c>
      <c r="N52" s="10">
        <v>764250</v>
      </c>
      <c r="O52" s="12">
        <v>39</v>
      </c>
    </row>
    <row r="53" spans="1:15" ht="15" customHeight="1" x14ac:dyDescent="0.3">
      <c r="A53" s="9">
        <v>43628</v>
      </c>
      <c r="B53" s="12">
        <v>5</v>
      </c>
      <c r="C53" s="11">
        <v>1E-3</v>
      </c>
      <c r="D53" s="12">
        <v>11</v>
      </c>
      <c r="E53" s="11">
        <v>1E-3</v>
      </c>
      <c r="F53" s="12">
        <v>566</v>
      </c>
      <c r="G53" s="11">
        <v>0</v>
      </c>
      <c r="H53" s="11">
        <v>0.44900000000000001</v>
      </c>
      <c r="I53" s="10">
        <v>1319000</v>
      </c>
      <c r="J53" s="12" t="s">
        <v>6059</v>
      </c>
      <c r="K53" s="12">
        <v>254</v>
      </c>
      <c r="L53" s="12" t="s">
        <v>6060</v>
      </c>
      <c r="M53" s="10">
        <v>5872169200</v>
      </c>
      <c r="N53" s="10">
        <v>764504</v>
      </c>
      <c r="O53" s="12">
        <v>29</v>
      </c>
    </row>
    <row r="54" spans="1:15" ht="15" customHeight="1" x14ac:dyDescent="0.3">
      <c r="A54" s="9">
        <v>43629</v>
      </c>
      <c r="B54" s="12">
        <v>4</v>
      </c>
      <c r="C54" s="11">
        <v>1E-3</v>
      </c>
      <c r="D54" s="12">
        <v>5</v>
      </c>
      <c r="E54" s="11">
        <v>0</v>
      </c>
      <c r="F54" s="12">
        <v>316</v>
      </c>
      <c r="G54" s="11">
        <v>0</v>
      </c>
      <c r="H54" s="11">
        <v>0.63</v>
      </c>
      <c r="I54" s="10">
        <v>1005000</v>
      </c>
      <c r="J54" s="12" t="s">
        <v>6061</v>
      </c>
      <c r="K54" s="12">
        <v>199</v>
      </c>
      <c r="L54" s="12" t="s">
        <v>6062</v>
      </c>
      <c r="M54" s="10">
        <v>5873174200</v>
      </c>
      <c r="N54" s="10">
        <v>764703</v>
      </c>
      <c r="O54" s="12">
        <v>39</v>
      </c>
    </row>
    <row r="55" spans="1:15" ht="15" customHeight="1" x14ac:dyDescent="0.3">
      <c r="A55" s="9">
        <v>43630</v>
      </c>
      <c r="B55" s="12">
        <v>3</v>
      </c>
      <c r="C55" s="11">
        <v>1E-3</v>
      </c>
      <c r="D55" s="12">
        <v>8</v>
      </c>
      <c r="E55" s="11">
        <v>0</v>
      </c>
      <c r="F55" s="12">
        <v>283</v>
      </c>
      <c r="G55" s="11">
        <v>0</v>
      </c>
      <c r="H55" s="11">
        <v>0.28599999999999998</v>
      </c>
      <c r="I55" s="10">
        <v>453000</v>
      </c>
      <c r="J55" s="12" t="s">
        <v>6063</v>
      </c>
      <c r="K55" s="12">
        <v>81</v>
      </c>
      <c r="L55" s="12" t="s">
        <v>6064</v>
      </c>
      <c r="M55" s="10">
        <v>5873627200</v>
      </c>
      <c r="N55" s="10">
        <v>764784</v>
      </c>
      <c r="O55" s="12">
        <v>51</v>
      </c>
    </row>
    <row r="56" spans="1:15" ht="15" customHeight="1" x14ac:dyDescent="0.3">
      <c r="A56" s="9">
        <v>43631</v>
      </c>
      <c r="B56" s="12">
        <v>3</v>
      </c>
      <c r="C56" s="11">
        <v>0</v>
      </c>
      <c r="D56" s="12">
        <v>5</v>
      </c>
      <c r="E56" s="11">
        <v>0</v>
      </c>
      <c r="F56" s="12">
        <v>469</v>
      </c>
      <c r="G56" s="11">
        <v>0</v>
      </c>
      <c r="H56" s="11">
        <v>0.16200000000000001</v>
      </c>
      <c r="I56" s="10">
        <v>564000</v>
      </c>
      <c r="J56" s="12" t="s">
        <v>6065</v>
      </c>
      <c r="K56" s="12">
        <v>76</v>
      </c>
      <c r="L56" s="12" t="s">
        <v>6066</v>
      </c>
      <c r="M56" s="10">
        <v>5874191200</v>
      </c>
      <c r="N56" s="10">
        <v>764860</v>
      </c>
      <c r="O56" s="12">
        <v>47</v>
      </c>
    </row>
    <row r="57" spans="1:15" ht="15" customHeight="1" x14ac:dyDescent="0.3">
      <c r="A57" s="9">
        <v>43632</v>
      </c>
      <c r="B57" s="12">
        <v>2</v>
      </c>
      <c r="C57" s="11">
        <v>0</v>
      </c>
      <c r="D57" s="12">
        <v>4</v>
      </c>
      <c r="E57" s="11">
        <v>0</v>
      </c>
      <c r="F57" s="12">
        <v>131</v>
      </c>
      <c r="G57" s="11">
        <v>0</v>
      </c>
      <c r="H57" s="11">
        <v>0.48899999999999999</v>
      </c>
      <c r="I57" s="10">
        <v>471000</v>
      </c>
      <c r="J57" s="12" t="s">
        <v>6067</v>
      </c>
      <c r="K57" s="12">
        <v>64</v>
      </c>
      <c r="L57" s="12" t="s">
        <v>6068</v>
      </c>
      <c r="M57" s="10">
        <v>5874662200</v>
      </c>
      <c r="N57" s="10">
        <v>764924</v>
      </c>
      <c r="O57" s="12">
        <v>48</v>
      </c>
    </row>
    <row r="58" spans="1:15" ht="15" customHeight="1" x14ac:dyDescent="0.3">
      <c r="A58" s="9">
        <v>43633</v>
      </c>
      <c r="B58" s="12">
        <v>2</v>
      </c>
      <c r="C58" s="11">
        <v>0</v>
      </c>
      <c r="D58" s="12">
        <v>10</v>
      </c>
      <c r="E58" s="11">
        <v>1E-3</v>
      </c>
      <c r="F58" s="12">
        <v>341</v>
      </c>
      <c r="G58" s="11">
        <v>0</v>
      </c>
      <c r="H58" s="11">
        <v>0.14099999999999999</v>
      </c>
      <c r="I58" s="10">
        <v>342000</v>
      </c>
      <c r="J58" s="12" t="s">
        <v>6069</v>
      </c>
      <c r="K58" s="12">
        <v>48</v>
      </c>
      <c r="L58" s="12" t="s">
        <v>6070</v>
      </c>
      <c r="M58" s="10">
        <v>5875004200</v>
      </c>
      <c r="N58" s="10">
        <v>764972</v>
      </c>
      <c r="O58" s="12">
        <v>48</v>
      </c>
    </row>
    <row r="59" spans="1:15" ht="15" customHeight="1" x14ac:dyDescent="0.3">
      <c r="A59" s="9">
        <v>43634</v>
      </c>
      <c r="B59" s="12">
        <v>2</v>
      </c>
      <c r="C59" s="11">
        <v>0</v>
      </c>
      <c r="D59" s="12">
        <v>7</v>
      </c>
      <c r="E59" s="11">
        <v>0</v>
      </c>
      <c r="F59" s="12">
        <v>239</v>
      </c>
      <c r="G59" s="11">
        <v>0</v>
      </c>
      <c r="H59" s="11">
        <v>9.6000000000000002E-2</v>
      </c>
      <c r="I59" s="10">
        <v>182000</v>
      </c>
      <c r="J59" s="12" t="s">
        <v>6071</v>
      </c>
      <c r="K59" s="12">
        <v>23</v>
      </c>
      <c r="L59" s="12" t="s">
        <v>6072</v>
      </c>
      <c r="M59" s="10">
        <v>5875186200</v>
      </c>
      <c r="N59" s="10">
        <v>764995</v>
      </c>
      <c r="O59" s="12">
        <v>64</v>
      </c>
    </row>
    <row r="60" spans="1:15" ht="15" customHeight="1" x14ac:dyDescent="0.3">
      <c r="A60" s="9">
        <v>43635</v>
      </c>
      <c r="B60" s="12">
        <v>2</v>
      </c>
      <c r="C60" s="11">
        <v>0</v>
      </c>
      <c r="D60" s="12">
        <v>6</v>
      </c>
      <c r="E60" s="11">
        <v>0</v>
      </c>
      <c r="F60" s="12">
        <v>201</v>
      </c>
      <c r="G60" s="11">
        <v>0</v>
      </c>
      <c r="H60" s="11">
        <v>0.09</v>
      </c>
      <c r="I60" s="10">
        <v>121000</v>
      </c>
      <c r="J60" s="12" t="s">
        <v>6073</v>
      </c>
      <c r="K60" s="12">
        <v>18</v>
      </c>
      <c r="L60" s="12" t="s">
        <v>5223</v>
      </c>
      <c r="M60" s="10">
        <v>5875307200</v>
      </c>
      <c r="N60" s="10">
        <v>765013</v>
      </c>
      <c r="O60" s="12">
        <v>70</v>
      </c>
    </row>
    <row r="61" spans="1:15" ht="15" customHeight="1" x14ac:dyDescent="0.3">
      <c r="A61" s="9">
        <v>43636</v>
      </c>
      <c r="B61" s="12">
        <v>1</v>
      </c>
      <c r="C61" s="11">
        <v>0</v>
      </c>
      <c r="D61" s="12">
        <v>1</v>
      </c>
      <c r="E61" s="11">
        <v>0</v>
      </c>
      <c r="F61" s="12">
        <v>32</v>
      </c>
      <c r="G61" s="11">
        <v>0</v>
      </c>
      <c r="H61" s="11">
        <v>9.4E-2</v>
      </c>
      <c r="I61" s="10">
        <v>21000</v>
      </c>
      <c r="J61" s="12" t="s">
        <v>6074</v>
      </c>
      <c r="K61" s="12">
        <v>3</v>
      </c>
      <c r="L61" s="12" t="s">
        <v>6075</v>
      </c>
      <c r="M61" s="10">
        <v>5875328200</v>
      </c>
      <c r="N61" s="10">
        <v>765016</v>
      </c>
      <c r="O61" s="12">
        <v>88</v>
      </c>
    </row>
    <row r="62" spans="1:15" ht="15" customHeight="1" x14ac:dyDescent="0.3">
      <c r="A62" s="9">
        <v>43637</v>
      </c>
      <c r="B62" s="12">
        <v>4</v>
      </c>
      <c r="C62" s="11">
        <v>1E-3</v>
      </c>
      <c r="D62" s="12">
        <v>5</v>
      </c>
      <c r="E62" s="11">
        <v>0</v>
      </c>
      <c r="F62" s="12">
        <v>241</v>
      </c>
      <c r="G62" s="11">
        <v>0</v>
      </c>
      <c r="H62" s="11">
        <v>0.38600000000000001</v>
      </c>
      <c r="I62" s="10">
        <v>491000</v>
      </c>
      <c r="J62" s="12" t="s">
        <v>6076</v>
      </c>
      <c r="K62" s="12">
        <v>93</v>
      </c>
      <c r="L62" s="12" t="s">
        <v>6077</v>
      </c>
      <c r="M62" s="10">
        <v>5875819200</v>
      </c>
      <c r="N62" s="10">
        <v>765109</v>
      </c>
      <c r="O62" s="12">
        <v>43</v>
      </c>
    </row>
    <row r="63" spans="1:15" ht="15" customHeight="1" x14ac:dyDescent="0.3">
      <c r="A63" s="9">
        <v>43638</v>
      </c>
      <c r="B63" s="12">
        <v>2</v>
      </c>
      <c r="C63" s="11">
        <v>0</v>
      </c>
      <c r="D63" s="12">
        <v>2</v>
      </c>
      <c r="E63" s="11">
        <v>0</v>
      </c>
      <c r="F63" s="12">
        <v>67</v>
      </c>
      <c r="G63" s="11">
        <v>0</v>
      </c>
      <c r="H63" s="11">
        <v>0.38800000000000001</v>
      </c>
      <c r="I63" s="10">
        <v>198000</v>
      </c>
      <c r="J63" s="12" t="s">
        <v>6078</v>
      </c>
      <c r="K63" s="12">
        <v>26</v>
      </c>
      <c r="L63" s="12" t="s">
        <v>6079</v>
      </c>
      <c r="M63" s="10">
        <v>5876017200</v>
      </c>
      <c r="N63" s="10">
        <v>765135</v>
      </c>
      <c r="O63" s="12">
        <v>78</v>
      </c>
    </row>
    <row r="64" spans="1:15" ht="15" customHeight="1" x14ac:dyDescent="0.3">
      <c r="A64" s="9">
        <v>43639</v>
      </c>
      <c r="B64" s="12">
        <v>2</v>
      </c>
      <c r="C64" s="11">
        <v>0</v>
      </c>
      <c r="D64" s="12">
        <v>2</v>
      </c>
      <c r="E64" s="11">
        <v>0</v>
      </c>
      <c r="F64" s="12">
        <v>67</v>
      </c>
      <c r="G64" s="11">
        <v>0</v>
      </c>
      <c r="H64" s="11">
        <v>0.47799999999999998</v>
      </c>
      <c r="I64" s="10">
        <v>239000</v>
      </c>
      <c r="J64" s="12" t="s">
        <v>6080</v>
      </c>
      <c r="K64" s="12">
        <v>32</v>
      </c>
      <c r="L64" s="12" t="s">
        <v>6081</v>
      </c>
      <c r="M64" s="10">
        <v>5876256200</v>
      </c>
      <c r="N64" s="10">
        <v>765167</v>
      </c>
      <c r="O64" s="12">
        <v>61</v>
      </c>
    </row>
    <row r="65" spans="1:15" ht="15" customHeight="1" x14ac:dyDescent="0.3">
      <c r="A65" s="9">
        <v>43640</v>
      </c>
      <c r="B65" s="12">
        <v>1</v>
      </c>
      <c r="C65" s="11">
        <v>0</v>
      </c>
      <c r="D65" s="12">
        <v>1</v>
      </c>
      <c r="E65" s="11">
        <v>0</v>
      </c>
      <c r="F65" s="12">
        <v>32</v>
      </c>
      <c r="G65" s="11">
        <v>0</v>
      </c>
      <c r="H65" s="11">
        <v>0.625</v>
      </c>
      <c r="I65" s="10">
        <v>100000</v>
      </c>
      <c r="J65" s="12" t="s">
        <v>6082</v>
      </c>
      <c r="K65" s="12">
        <v>20</v>
      </c>
      <c r="L65" s="12" t="s">
        <v>6083</v>
      </c>
      <c r="M65" s="10">
        <v>5876356200</v>
      </c>
      <c r="N65" s="10">
        <v>765187</v>
      </c>
      <c r="O65" s="12">
        <v>56</v>
      </c>
    </row>
    <row r="66" spans="1:15" ht="15" customHeight="1" x14ac:dyDescent="0.3">
      <c r="A66" s="9">
        <v>43641</v>
      </c>
      <c r="B66" s="12">
        <v>1</v>
      </c>
      <c r="C66" s="11">
        <v>0</v>
      </c>
      <c r="D66" s="12">
        <v>1</v>
      </c>
      <c r="E66" s="11">
        <v>0</v>
      </c>
      <c r="F66" s="12">
        <v>32</v>
      </c>
      <c r="G66" s="11">
        <v>0</v>
      </c>
      <c r="H66" s="11">
        <v>3.1E-2</v>
      </c>
      <c r="I66" s="10">
        <v>7000</v>
      </c>
      <c r="J66" s="12" t="s">
        <v>6084</v>
      </c>
      <c r="K66" s="12">
        <v>1</v>
      </c>
      <c r="L66" s="12" t="s">
        <v>6085</v>
      </c>
      <c r="M66" s="10">
        <v>5876363200</v>
      </c>
      <c r="N66" s="10">
        <v>765188</v>
      </c>
      <c r="O66" s="12">
        <v>104</v>
      </c>
    </row>
    <row r="67" spans="1:15" ht="15" customHeight="1" x14ac:dyDescent="0.3">
      <c r="A67" s="9">
        <v>43642</v>
      </c>
      <c r="B67" s="12">
        <v>1</v>
      </c>
      <c r="C67" s="11">
        <v>0</v>
      </c>
      <c r="D67" s="12">
        <v>1</v>
      </c>
      <c r="E67" s="11">
        <v>0</v>
      </c>
      <c r="F67" s="12">
        <v>40</v>
      </c>
      <c r="G67" s="11">
        <v>0</v>
      </c>
      <c r="H67" s="11">
        <v>0.5</v>
      </c>
      <c r="I67" s="10">
        <v>100000</v>
      </c>
      <c r="J67" s="12" t="s">
        <v>6086</v>
      </c>
      <c r="K67" s="12">
        <v>20</v>
      </c>
      <c r="L67" s="12" t="s">
        <v>6087</v>
      </c>
      <c r="M67" s="10">
        <v>5876463200</v>
      </c>
      <c r="N67" s="10">
        <v>765208</v>
      </c>
      <c r="O67" s="12">
        <v>75</v>
      </c>
    </row>
    <row r="68" spans="1:15" ht="15" customHeight="1" x14ac:dyDescent="0.3">
      <c r="A68" s="9">
        <v>43643</v>
      </c>
      <c r="B68" s="12">
        <v>2</v>
      </c>
      <c r="C68" s="11">
        <v>0</v>
      </c>
      <c r="D68" s="12">
        <v>2</v>
      </c>
      <c r="E68" s="11">
        <v>0</v>
      </c>
      <c r="F68" s="12">
        <v>407</v>
      </c>
      <c r="G68" s="11">
        <v>0</v>
      </c>
      <c r="H68" s="11">
        <v>0.67100000000000004</v>
      </c>
      <c r="I68" s="10">
        <v>2457000</v>
      </c>
      <c r="J68" s="12" t="s">
        <v>6088</v>
      </c>
      <c r="K68" s="12">
        <v>273</v>
      </c>
      <c r="L68" s="12" t="s">
        <v>6089</v>
      </c>
      <c r="M68" s="10">
        <v>5878920200</v>
      </c>
      <c r="N68" s="10">
        <v>765481</v>
      </c>
      <c r="O68" s="12">
        <v>30</v>
      </c>
    </row>
    <row r="69" spans="1:15" ht="15" customHeight="1" x14ac:dyDescent="0.3">
      <c r="A69" s="9">
        <v>43644</v>
      </c>
      <c r="B69" s="12">
        <v>2</v>
      </c>
      <c r="C69" s="11">
        <v>0</v>
      </c>
      <c r="D69" s="12">
        <v>2</v>
      </c>
      <c r="E69" s="11">
        <v>0</v>
      </c>
      <c r="F69" s="12">
        <v>72</v>
      </c>
      <c r="G69" s="11">
        <v>0</v>
      </c>
      <c r="H69" s="11">
        <v>0.72199999999999998</v>
      </c>
      <c r="I69" s="10">
        <v>300000</v>
      </c>
      <c r="J69" s="12" t="s">
        <v>6090</v>
      </c>
      <c r="K69" s="12">
        <v>52</v>
      </c>
      <c r="L69" s="12" t="s">
        <v>6091</v>
      </c>
      <c r="M69" s="10">
        <v>5879220200</v>
      </c>
      <c r="N69" s="10">
        <v>765533</v>
      </c>
      <c r="O69" s="12">
        <v>65</v>
      </c>
    </row>
    <row r="70" spans="1:15" ht="15" customHeight="1" x14ac:dyDescent="0.3">
      <c r="A70" s="9">
        <v>43645</v>
      </c>
      <c r="B70" s="12">
        <v>1</v>
      </c>
      <c r="C70" s="11">
        <v>0</v>
      </c>
      <c r="D70" s="12">
        <v>2</v>
      </c>
      <c r="E70" s="11">
        <v>0</v>
      </c>
      <c r="F70" s="12">
        <v>80</v>
      </c>
      <c r="G70" s="11">
        <v>0</v>
      </c>
      <c r="H70" s="11">
        <v>0.52500000000000002</v>
      </c>
      <c r="I70" s="10">
        <v>295000</v>
      </c>
      <c r="J70" s="12" t="s">
        <v>6092</v>
      </c>
      <c r="K70" s="12">
        <v>42</v>
      </c>
      <c r="L70" s="12" t="s">
        <v>4276</v>
      </c>
      <c r="M70" s="10">
        <v>5879515200</v>
      </c>
      <c r="N70" s="10">
        <v>765575</v>
      </c>
      <c r="O70" s="12">
        <v>64</v>
      </c>
    </row>
    <row r="71" spans="1:15" ht="15" customHeight="1" x14ac:dyDescent="0.3">
      <c r="A71" s="9">
        <v>43646</v>
      </c>
      <c r="B71" s="12">
        <v>1</v>
      </c>
      <c r="C71" s="11">
        <v>0</v>
      </c>
      <c r="D71" s="12">
        <v>2</v>
      </c>
      <c r="E71" s="11">
        <v>0</v>
      </c>
      <c r="F71" s="12">
        <v>80</v>
      </c>
      <c r="G71" s="11">
        <v>0</v>
      </c>
      <c r="H71" s="11">
        <v>0.25</v>
      </c>
      <c r="I71" s="10">
        <v>136000</v>
      </c>
      <c r="J71" s="12" t="s">
        <v>6093</v>
      </c>
      <c r="K71" s="12">
        <v>20</v>
      </c>
      <c r="L71" s="12" t="s">
        <v>6094</v>
      </c>
      <c r="M71" s="10">
        <v>5879651200</v>
      </c>
      <c r="N71" s="10">
        <v>765595</v>
      </c>
      <c r="O71" s="12">
        <v>67</v>
      </c>
    </row>
    <row r="72" spans="1:15" ht="15" customHeight="1" x14ac:dyDescent="0.3">
      <c r="A72" s="9">
        <v>43649</v>
      </c>
      <c r="B72" s="12">
        <v>1</v>
      </c>
      <c r="C72" s="11">
        <v>0</v>
      </c>
      <c r="D72" s="12">
        <v>1</v>
      </c>
      <c r="E72" s="11">
        <v>0</v>
      </c>
      <c r="F72" s="12">
        <v>50</v>
      </c>
      <c r="G72" s="11">
        <v>0</v>
      </c>
      <c r="H72" s="11">
        <v>0.78</v>
      </c>
      <c r="I72" s="10">
        <v>234000</v>
      </c>
      <c r="J72" s="12" t="s">
        <v>6095</v>
      </c>
      <c r="K72" s="12">
        <v>39</v>
      </c>
      <c r="L72" s="12" t="s">
        <v>2523</v>
      </c>
      <c r="M72" s="10">
        <v>5879885200</v>
      </c>
      <c r="N72" s="10">
        <v>765634</v>
      </c>
      <c r="O72" s="12">
        <v>56</v>
      </c>
    </row>
    <row r="73" spans="1:15" ht="15" customHeight="1" x14ac:dyDescent="0.3">
      <c r="A73" s="9">
        <v>43650</v>
      </c>
      <c r="B73" s="12">
        <v>2</v>
      </c>
      <c r="C73" s="11">
        <v>0</v>
      </c>
      <c r="D73" s="12">
        <v>2</v>
      </c>
      <c r="E73" s="11">
        <v>0</v>
      </c>
      <c r="F73" s="12">
        <v>72</v>
      </c>
      <c r="G73" s="11">
        <v>0</v>
      </c>
      <c r="H73" s="11">
        <v>0.153</v>
      </c>
      <c r="I73" s="10">
        <v>77000</v>
      </c>
      <c r="J73" s="12" t="s">
        <v>6096</v>
      </c>
      <c r="K73" s="12">
        <v>11</v>
      </c>
      <c r="L73" s="12" t="s">
        <v>6097</v>
      </c>
      <c r="M73" s="10">
        <v>5879962200</v>
      </c>
      <c r="N73" s="10">
        <v>765645</v>
      </c>
      <c r="O73" s="12">
        <v>73</v>
      </c>
    </row>
    <row r="74" spans="1:15" ht="15" customHeight="1" x14ac:dyDescent="0.3">
      <c r="A74" s="9">
        <v>43651</v>
      </c>
      <c r="B74" s="12">
        <v>4</v>
      </c>
      <c r="C74" s="11">
        <v>1E-3</v>
      </c>
      <c r="D74" s="12">
        <v>4</v>
      </c>
      <c r="E74" s="11">
        <v>0</v>
      </c>
      <c r="F74" s="12">
        <v>252</v>
      </c>
      <c r="G74" s="11">
        <v>0</v>
      </c>
      <c r="H74" s="11">
        <v>0.46</v>
      </c>
      <c r="I74" s="10">
        <v>591000</v>
      </c>
      <c r="J74" s="12" t="s">
        <v>6098</v>
      </c>
      <c r="K74" s="12">
        <v>116</v>
      </c>
      <c r="L74" s="12" t="s">
        <v>6099</v>
      </c>
      <c r="M74" s="10">
        <v>5880553200</v>
      </c>
      <c r="N74" s="10">
        <v>765761</v>
      </c>
      <c r="O74" s="12">
        <v>31</v>
      </c>
    </row>
    <row r="75" spans="1:15" ht="15" customHeight="1" x14ac:dyDescent="0.3">
      <c r="A75" s="9">
        <v>43652</v>
      </c>
      <c r="B75" s="12">
        <v>2</v>
      </c>
      <c r="C75" s="11">
        <v>0</v>
      </c>
      <c r="D75" s="12">
        <v>3</v>
      </c>
      <c r="E75" s="11">
        <v>0</v>
      </c>
      <c r="F75" s="12">
        <v>112</v>
      </c>
      <c r="G75" s="11">
        <v>0</v>
      </c>
      <c r="H75" s="11">
        <v>0.41099999999999998</v>
      </c>
      <c r="I75" s="10">
        <v>319000</v>
      </c>
      <c r="J75" s="12" t="s">
        <v>6100</v>
      </c>
      <c r="K75" s="12">
        <v>46</v>
      </c>
      <c r="L75" s="12" t="s">
        <v>6101</v>
      </c>
      <c r="M75" s="10">
        <v>5880872200</v>
      </c>
      <c r="N75" s="10">
        <v>765807</v>
      </c>
      <c r="O75" s="12">
        <v>52</v>
      </c>
    </row>
    <row r="76" spans="1:15" ht="15" customHeight="1" x14ac:dyDescent="0.3">
      <c r="A76" s="9">
        <v>43653</v>
      </c>
      <c r="B76" s="12">
        <v>2</v>
      </c>
      <c r="C76" s="11">
        <v>0</v>
      </c>
      <c r="D76" s="12">
        <v>3</v>
      </c>
      <c r="E76" s="11">
        <v>0</v>
      </c>
      <c r="F76" s="12">
        <v>112</v>
      </c>
      <c r="G76" s="11">
        <v>0</v>
      </c>
      <c r="H76" s="11">
        <v>0.23200000000000001</v>
      </c>
      <c r="I76" s="10">
        <v>197700</v>
      </c>
      <c r="J76" s="12" t="s">
        <v>6102</v>
      </c>
      <c r="K76" s="12">
        <v>26</v>
      </c>
      <c r="L76" s="12" t="s">
        <v>6103</v>
      </c>
      <c r="M76" s="10">
        <v>5881069900</v>
      </c>
      <c r="N76" s="10">
        <v>765833</v>
      </c>
      <c r="O76" s="12">
        <v>56</v>
      </c>
    </row>
    <row r="77" spans="1:15" ht="15" customHeight="1" x14ac:dyDescent="0.3">
      <c r="A77" s="9">
        <v>43654</v>
      </c>
      <c r="B77" s="12">
        <v>1</v>
      </c>
      <c r="C77" s="11">
        <v>0</v>
      </c>
      <c r="D77" s="12">
        <v>1</v>
      </c>
      <c r="E77" s="11">
        <v>0</v>
      </c>
      <c r="F77" s="12">
        <v>40</v>
      </c>
      <c r="G77" s="11">
        <v>0</v>
      </c>
      <c r="H77" s="11">
        <v>0.125</v>
      </c>
      <c r="I77" s="10">
        <v>30000</v>
      </c>
      <c r="J77" s="12" t="s">
        <v>6104</v>
      </c>
      <c r="K77" s="12">
        <v>5</v>
      </c>
      <c r="L77" s="12" t="s">
        <v>1863</v>
      </c>
      <c r="M77" s="10">
        <v>5881099900</v>
      </c>
      <c r="N77" s="10">
        <v>765838</v>
      </c>
      <c r="O77" s="12">
        <v>66</v>
      </c>
    </row>
    <row r="78" spans="1:15" ht="15" customHeight="1" x14ac:dyDescent="0.3">
      <c r="A78" s="9">
        <v>43655</v>
      </c>
      <c r="B78" s="12">
        <v>3</v>
      </c>
      <c r="C78" s="11">
        <v>1E-3</v>
      </c>
      <c r="D78" s="12">
        <v>3</v>
      </c>
      <c r="E78" s="11">
        <v>0</v>
      </c>
      <c r="F78" s="12">
        <v>278</v>
      </c>
      <c r="G78" s="11">
        <v>0</v>
      </c>
      <c r="H78" s="11">
        <v>0.21199999999999999</v>
      </c>
      <c r="I78" s="10">
        <v>311000</v>
      </c>
      <c r="J78" s="12" t="s">
        <v>6105</v>
      </c>
      <c r="K78" s="12">
        <v>59</v>
      </c>
      <c r="L78" s="12" t="s">
        <v>6106</v>
      </c>
      <c r="M78" s="10">
        <v>5881410900</v>
      </c>
      <c r="N78" s="10">
        <v>765897</v>
      </c>
      <c r="O78" s="12">
        <v>46</v>
      </c>
    </row>
    <row r="79" spans="1:15" ht="15" customHeight="1" x14ac:dyDescent="0.3">
      <c r="A79" s="9">
        <v>43656</v>
      </c>
      <c r="B79" s="12">
        <v>3</v>
      </c>
      <c r="C79" s="11">
        <v>1E-3</v>
      </c>
      <c r="D79" s="12">
        <v>4</v>
      </c>
      <c r="E79" s="11">
        <v>0</v>
      </c>
      <c r="F79" s="12">
        <v>192</v>
      </c>
      <c r="G79" s="11">
        <v>0</v>
      </c>
      <c r="H79" s="11">
        <v>0.46400000000000002</v>
      </c>
      <c r="I79" s="10">
        <v>536000</v>
      </c>
      <c r="J79" s="12" t="s">
        <v>6107</v>
      </c>
      <c r="K79" s="12">
        <v>89</v>
      </c>
      <c r="L79" s="12" t="s">
        <v>6108</v>
      </c>
      <c r="M79" s="10">
        <v>5881946900</v>
      </c>
      <c r="N79" s="10">
        <v>765986</v>
      </c>
      <c r="O79" s="12">
        <v>43</v>
      </c>
    </row>
    <row r="80" spans="1:15" ht="15" customHeight="1" x14ac:dyDescent="0.3">
      <c r="A80" s="9">
        <v>43657</v>
      </c>
      <c r="B80" s="12">
        <v>1</v>
      </c>
      <c r="C80" s="11">
        <v>0</v>
      </c>
      <c r="D80" s="12">
        <v>1</v>
      </c>
      <c r="E80" s="11">
        <v>0</v>
      </c>
      <c r="F80" s="12">
        <v>134</v>
      </c>
      <c r="G80" s="11">
        <v>0</v>
      </c>
      <c r="H80" s="11">
        <v>0.59</v>
      </c>
      <c r="I80" s="10">
        <v>479000</v>
      </c>
      <c r="J80" s="12" t="s">
        <v>6109</v>
      </c>
      <c r="K80" s="12">
        <v>79</v>
      </c>
      <c r="L80" s="12" t="s">
        <v>6110</v>
      </c>
      <c r="M80" s="10">
        <v>5882425900</v>
      </c>
      <c r="N80" s="10">
        <v>766065</v>
      </c>
      <c r="O80" s="12">
        <v>53</v>
      </c>
    </row>
    <row r="81" spans="1:15" ht="15" customHeight="1" x14ac:dyDescent="0.3">
      <c r="A81" s="9">
        <v>43658</v>
      </c>
      <c r="B81" s="12">
        <v>1</v>
      </c>
      <c r="C81" s="11">
        <v>0</v>
      </c>
      <c r="D81" s="12">
        <v>1</v>
      </c>
      <c r="E81" s="11">
        <v>0</v>
      </c>
      <c r="F81" s="12">
        <v>94</v>
      </c>
      <c r="G81" s="11">
        <v>0</v>
      </c>
      <c r="H81" s="11">
        <v>0.91500000000000004</v>
      </c>
      <c r="I81" s="10">
        <v>430000</v>
      </c>
      <c r="J81" s="12" t="s">
        <v>6111</v>
      </c>
      <c r="K81" s="12">
        <v>86</v>
      </c>
      <c r="L81" s="12" t="s">
        <v>2256</v>
      </c>
      <c r="M81" s="10">
        <v>5882855900</v>
      </c>
      <c r="N81" s="10">
        <v>766151</v>
      </c>
      <c r="O81" s="12">
        <v>53</v>
      </c>
    </row>
    <row r="82" spans="1:15" ht="15" customHeight="1" x14ac:dyDescent="0.3"/>
    <row r="83" spans="1:15" ht="15" customHeight="1" x14ac:dyDescent="0.3"/>
    <row r="84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E74A0-31F9-4C50-8165-27A698764414}">
  <dimension ref="A1:O59"/>
  <sheetViews>
    <sheetView showGridLines="0" workbookViewId="0">
      <selection activeCell="A5" sqref="A5:O10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21.2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6112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43566</v>
      </c>
      <c r="B5" s="12">
        <v>586</v>
      </c>
      <c r="C5" s="11">
        <v>9.7000000000000003E-2</v>
      </c>
      <c r="D5" s="10">
        <v>2499</v>
      </c>
      <c r="E5" s="11">
        <v>0.14499999999999999</v>
      </c>
      <c r="F5" s="10">
        <v>360393</v>
      </c>
      <c r="G5" s="11">
        <v>0.13300000000000001</v>
      </c>
      <c r="H5" s="11">
        <v>6.5000000000000002E-2</v>
      </c>
      <c r="I5" s="10">
        <v>188405540</v>
      </c>
      <c r="J5" s="12" t="s">
        <v>6113</v>
      </c>
      <c r="K5" s="10">
        <v>23357</v>
      </c>
      <c r="L5" s="12" t="s">
        <v>6114</v>
      </c>
      <c r="M5" s="10">
        <v>229637040</v>
      </c>
      <c r="N5" s="10">
        <v>27610</v>
      </c>
      <c r="O5" s="12">
        <v>3</v>
      </c>
    </row>
    <row r="6" spans="1:15" ht="15" customHeight="1" x14ac:dyDescent="0.3">
      <c r="A6" s="9">
        <v>43567</v>
      </c>
      <c r="B6" s="12">
        <v>601</v>
      </c>
      <c r="C6" s="11">
        <v>9.5000000000000001E-2</v>
      </c>
      <c r="D6" s="10">
        <v>2639</v>
      </c>
      <c r="E6" s="11">
        <v>0.14799999999999999</v>
      </c>
      <c r="F6" s="10">
        <v>382491</v>
      </c>
      <c r="G6" s="11">
        <v>0.13600000000000001</v>
      </c>
      <c r="H6" s="11">
        <v>7.4999999999999997E-2</v>
      </c>
      <c r="I6" s="10">
        <v>254530580</v>
      </c>
      <c r="J6" s="12" t="s">
        <v>6115</v>
      </c>
      <c r="K6" s="10">
        <v>28818</v>
      </c>
      <c r="L6" s="12" t="s">
        <v>6116</v>
      </c>
      <c r="M6" s="10">
        <v>484167620</v>
      </c>
      <c r="N6" s="10">
        <v>56428</v>
      </c>
      <c r="O6" s="12">
        <v>3</v>
      </c>
    </row>
    <row r="7" spans="1:15" ht="15" customHeight="1" x14ac:dyDescent="0.3">
      <c r="A7" s="9">
        <v>43568</v>
      </c>
      <c r="B7" s="12">
        <v>670</v>
      </c>
      <c r="C7" s="11">
        <v>9.6000000000000002E-2</v>
      </c>
      <c r="D7" s="10">
        <v>2834</v>
      </c>
      <c r="E7" s="11">
        <v>0.14699999999999999</v>
      </c>
      <c r="F7" s="10">
        <v>440195</v>
      </c>
      <c r="G7" s="11">
        <v>0.14599999999999999</v>
      </c>
      <c r="H7" s="11">
        <v>9.5000000000000001E-2</v>
      </c>
      <c r="I7" s="10">
        <v>369180470</v>
      </c>
      <c r="J7" s="12" t="s">
        <v>6117</v>
      </c>
      <c r="K7" s="10">
        <v>41609</v>
      </c>
      <c r="L7" s="12" t="s">
        <v>6118</v>
      </c>
      <c r="M7" s="10">
        <v>853348090</v>
      </c>
      <c r="N7" s="10">
        <v>98037</v>
      </c>
      <c r="O7" s="12">
        <v>3</v>
      </c>
    </row>
    <row r="8" spans="1:15" ht="15" customHeight="1" x14ac:dyDescent="0.3">
      <c r="A8" s="9">
        <v>43569</v>
      </c>
      <c r="B8" s="12">
        <v>673</v>
      </c>
      <c r="C8" s="11">
        <v>9.7000000000000003E-2</v>
      </c>
      <c r="D8" s="10">
        <v>2745</v>
      </c>
      <c r="E8" s="11">
        <v>0.14599999999999999</v>
      </c>
      <c r="F8" s="10">
        <v>429643</v>
      </c>
      <c r="G8" s="11">
        <v>0.14599999999999999</v>
      </c>
      <c r="H8" s="11">
        <v>0.10100000000000001</v>
      </c>
      <c r="I8" s="10">
        <v>388280050</v>
      </c>
      <c r="J8" s="12" t="s">
        <v>6119</v>
      </c>
      <c r="K8" s="10">
        <v>43551</v>
      </c>
      <c r="L8" s="12" t="s">
        <v>6120</v>
      </c>
      <c r="M8" s="10">
        <v>1241628140</v>
      </c>
      <c r="N8" s="10">
        <v>141588</v>
      </c>
      <c r="O8" s="12">
        <v>3</v>
      </c>
    </row>
    <row r="9" spans="1:15" ht="15" customHeight="1" x14ac:dyDescent="0.3">
      <c r="A9" s="9">
        <v>43570</v>
      </c>
      <c r="B9" s="12">
        <v>612</v>
      </c>
      <c r="C9" s="11">
        <v>0.104</v>
      </c>
      <c r="D9" s="10">
        <v>2499</v>
      </c>
      <c r="E9" s="11">
        <v>0.154</v>
      </c>
      <c r="F9" s="10">
        <v>372108</v>
      </c>
      <c r="G9" s="11">
        <v>0.14499999999999999</v>
      </c>
      <c r="H9" s="11">
        <v>4.3999999999999997E-2</v>
      </c>
      <c r="I9" s="10">
        <v>130548280</v>
      </c>
      <c r="J9" s="12" t="s">
        <v>6121</v>
      </c>
      <c r="K9" s="10">
        <v>16229</v>
      </c>
      <c r="L9" s="12" t="s">
        <v>6122</v>
      </c>
      <c r="M9" s="10">
        <v>1372176420</v>
      </c>
      <c r="N9" s="10">
        <v>157817</v>
      </c>
      <c r="O9" s="12">
        <v>3</v>
      </c>
    </row>
    <row r="10" spans="1:15" ht="15" customHeight="1" x14ac:dyDescent="0.3">
      <c r="A10" s="9">
        <v>43571</v>
      </c>
      <c r="B10" s="12">
        <v>628</v>
      </c>
      <c r="C10" s="11">
        <v>0.105</v>
      </c>
      <c r="D10" s="10">
        <v>2381</v>
      </c>
      <c r="E10" s="11">
        <v>0.15</v>
      </c>
      <c r="F10" s="10">
        <v>351328</v>
      </c>
      <c r="G10" s="11">
        <v>0.14000000000000001</v>
      </c>
      <c r="H10" s="11">
        <v>4.2999999999999997E-2</v>
      </c>
      <c r="I10" s="10">
        <v>119282180</v>
      </c>
      <c r="J10" s="12" t="s">
        <v>6123</v>
      </c>
      <c r="K10" s="10">
        <v>15017</v>
      </c>
      <c r="L10" s="12" t="s">
        <v>6124</v>
      </c>
      <c r="M10" s="10">
        <v>1491458600</v>
      </c>
      <c r="N10" s="10">
        <v>172834</v>
      </c>
      <c r="O10" s="12">
        <v>2</v>
      </c>
    </row>
    <row r="11" spans="1:15" ht="15" customHeight="1" x14ac:dyDescent="0.3">
      <c r="A11" s="9">
        <v>43572</v>
      </c>
      <c r="B11" s="12">
        <v>536</v>
      </c>
      <c r="C11" s="11">
        <v>0.09</v>
      </c>
      <c r="D11" s="10">
        <v>1600</v>
      </c>
      <c r="E11" s="11">
        <v>9.6000000000000002E-2</v>
      </c>
      <c r="F11" s="10">
        <v>228282</v>
      </c>
      <c r="G11" s="11">
        <v>8.6999999999999994E-2</v>
      </c>
      <c r="H11" s="11">
        <v>5.3999999999999999E-2</v>
      </c>
      <c r="I11" s="10">
        <v>98595450</v>
      </c>
      <c r="J11" s="12" t="s">
        <v>6125</v>
      </c>
      <c r="K11" s="10">
        <v>12303</v>
      </c>
      <c r="L11" s="12" t="s">
        <v>6126</v>
      </c>
      <c r="M11" s="10">
        <v>1590054050</v>
      </c>
      <c r="N11" s="10">
        <v>185137</v>
      </c>
      <c r="O11" s="12">
        <v>3</v>
      </c>
    </row>
    <row r="12" spans="1:15" ht="15" customHeight="1" x14ac:dyDescent="0.3">
      <c r="A12" s="9">
        <v>43573</v>
      </c>
      <c r="B12" s="12">
        <v>507</v>
      </c>
      <c r="C12" s="11">
        <v>7.6999999999999999E-2</v>
      </c>
      <c r="D12" s="10">
        <v>1323</v>
      </c>
      <c r="E12" s="11">
        <v>8.1000000000000003E-2</v>
      </c>
      <c r="F12" s="10">
        <v>191397</v>
      </c>
      <c r="G12" s="11">
        <v>7.2999999999999995E-2</v>
      </c>
      <c r="H12" s="11">
        <v>5.3999999999999999E-2</v>
      </c>
      <c r="I12" s="10">
        <v>83941210</v>
      </c>
      <c r="J12" s="12" t="s">
        <v>6127</v>
      </c>
      <c r="K12" s="10">
        <v>10363</v>
      </c>
      <c r="L12" s="12" t="s">
        <v>6128</v>
      </c>
      <c r="M12" s="10">
        <v>1673995260</v>
      </c>
      <c r="N12" s="10">
        <v>195500</v>
      </c>
      <c r="O12" s="12">
        <v>4</v>
      </c>
    </row>
    <row r="13" spans="1:15" ht="15" customHeight="1" x14ac:dyDescent="0.3">
      <c r="A13" s="9">
        <v>43574</v>
      </c>
      <c r="B13" s="12">
        <v>541</v>
      </c>
      <c r="C13" s="11">
        <v>7.9000000000000001E-2</v>
      </c>
      <c r="D13" s="10">
        <v>1401</v>
      </c>
      <c r="E13" s="11">
        <v>8.1000000000000003E-2</v>
      </c>
      <c r="F13" s="10">
        <v>203485</v>
      </c>
      <c r="G13" s="11">
        <v>7.3999999999999996E-2</v>
      </c>
      <c r="H13" s="11">
        <v>6.0999999999999999E-2</v>
      </c>
      <c r="I13" s="10">
        <v>108628210</v>
      </c>
      <c r="J13" s="12" t="s">
        <v>6129</v>
      </c>
      <c r="K13" s="10">
        <v>12429</v>
      </c>
      <c r="L13" s="12" t="s">
        <v>6130</v>
      </c>
      <c r="M13" s="10">
        <v>1782623470</v>
      </c>
      <c r="N13" s="10">
        <v>207929</v>
      </c>
      <c r="O13" s="12">
        <v>4</v>
      </c>
    </row>
    <row r="14" spans="1:15" ht="15" customHeight="1" x14ac:dyDescent="0.3">
      <c r="A14" s="9">
        <v>43575</v>
      </c>
      <c r="B14" s="12">
        <v>560</v>
      </c>
      <c r="C14" s="11">
        <v>7.3999999999999996E-2</v>
      </c>
      <c r="D14" s="10">
        <v>1494</v>
      </c>
      <c r="E14" s="11">
        <v>7.8E-2</v>
      </c>
      <c r="F14" s="10">
        <v>215983</v>
      </c>
      <c r="G14" s="11">
        <v>7.1999999999999995E-2</v>
      </c>
      <c r="H14" s="11">
        <v>9.6000000000000002E-2</v>
      </c>
      <c r="I14" s="10">
        <v>182416590</v>
      </c>
      <c r="J14" s="12" t="s">
        <v>6131</v>
      </c>
      <c r="K14" s="10">
        <v>20667</v>
      </c>
      <c r="L14" s="12" t="s">
        <v>6132</v>
      </c>
      <c r="M14" s="10">
        <v>1965040060</v>
      </c>
      <c r="N14" s="10">
        <v>228596</v>
      </c>
      <c r="O14" s="12">
        <v>3</v>
      </c>
    </row>
    <row r="15" spans="1:15" ht="15" customHeight="1" x14ac:dyDescent="0.3">
      <c r="A15" s="9">
        <v>43576</v>
      </c>
      <c r="B15" s="12">
        <v>561</v>
      </c>
      <c r="C15" s="11">
        <v>7.4999999999999997E-2</v>
      </c>
      <c r="D15" s="10">
        <v>1459</v>
      </c>
      <c r="E15" s="11">
        <v>7.9000000000000001E-2</v>
      </c>
      <c r="F15" s="10">
        <v>211371</v>
      </c>
      <c r="G15" s="11">
        <v>7.1999999999999995E-2</v>
      </c>
      <c r="H15" s="11">
        <v>9.1999999999999998E-2</v>
      </c>
      <c r="I15" s="10">
        <v>171628050</v>
      </c>
      <c r="J15" s="12" t="s">
        <v>6133</v>
      </c>
      <c r="K15" s="10">
        <v>19505</v>
      </c>
      <c r="L15" s="12" t="s">
        <v>6134</v>
      </c>
      <c r="M15" s="10">
        <v>2136668110</v>
      </c>
      <c r="N15" s="10">
        <v>248101</v>
      </c>
      <c r="O15" s="12">
        <v>3</v>
      </c>
    </row>
    <row r="16" spans="1:15" ht="15" customHeight="1" x14ac:dyDescent="0.3">
      <c r="A16" s="9">
        <v>43577</v>
      </c>
      <c r="B16" s="12">
        <v>516</v>
      </c>
      <c r="C16" s="11">
        <v>8.1000000000000003E-2</v>
      </c>
      <c r="D16" s="10">
        <v>1364</v>
      </c>
      <c r="E16" s="11">
        <v>8.7999999999999995E-2</v>
      </c>
      <c r="F16" s="10">
        <v>198696</v>
      </c>
      <c r="G16" s="11">
        <v>0.08</v>
      </c>
      <c r="H16" s="11">
        <v>4.7E-2</v>
      </c>
      <c r="I16" s="10">
        <v>74751120</v>
      </c>
      <c r="J16" s="12" t="s">
        <v>6135</v>
      </c>
      <c r="K16" s="10">
        <v>9284</v>
      </c>
      <c r="L16" s="12" t="s">
        <v>6136</v>
      </c>
      <c r="M16" s="10">
        <v>2211419230</v>
      </c>
      <c r="N16" s="10">
        <v>257385</v>
      </c>
      <c r="O16" s="12">
        <v>3</v>
      </c>
    </row>
    <row r="17" spans="1:15" ht="15" customHeight="1" x14ac:dyDescent="0.3">
      <c r="A17" s="9">
        <v>43578</v>
      </c>
      <c r="B17" s="12">
        <v>537</v>
      </c>
      <c r="C17" s="11">
        <v>8.3000000000000004E-2</v>
      </c>
      <c r="D17" s="10">
        <v>1397</v>
      </c>
      <c r="E17" s="11">
        <v>0.09</v>
      </c>
      <c r="F17" s="10">
        <v>203925</v>
      </c>
      <c r="G17" s="11">
        <v>8.3000000000000004E-2</v>
      </c>
      <c r="H17" s="11">
        <v>0.05</v>
      </c>
      <c r="I17" s="10">
        <v>80267430</v>
      </c>
      <c r="J17" s="12" t="s">
        <v>6137</v>
      </c>
      <c r="K17" s="10">
        <v>10144</v>
      </c>
      <c r="L17" s="12" t="s">
        <v>6138</v>
      </c>
      <c r="M17" s="10">
        <v>2291686660</v>
      </c>
      <c r="N17" s="10">
        <v>267529</v>
      </c>
      <c r="O17" s="12">
        <v>3</v>
      </c>
    </row>
    <row r="18" spans="1:15" ht="15" customHeight="1" x14ac:dyDescent="0.3">
      <c r="A18" s="9">
        <v>43579</v>
      </c>
      <c r="B18" s="12">
        <v>156</v>
      </c>
      <c r="C18" s="11">
        <v>3.2000000000000001E-2</v>
      </c>
      <c r="D18" s="12">
        <v>207</v>
      </c>
      <c r="E18" s="11">
        <v>1.2999999999999999E-2</v>
      </c>
      <c r="F18" s="10">
        <v>23886</v>
      </c>
      <c r="G18" s="11">
        <v>0.01</v>
      </c>
      <c r="H18" s="11">
        <v>0.13900000000000001</v>
      </c>
      <c r="I18" s="10">
        <v>20569840</v>
      </c>
      <c r="J18" s="12" t="s">
        <v>6139</v>
      </c>
      <c r="K18" s="10">
        <v>3315</v>
      </c>
      <c r="L18" s="12" t="s">
        <v>6140</v>
      </c>
      <c r="M18" s="10">
        <v>2312256500</v>
      </c>
      <c r="N18" s="10">
        <v>270844</v>
      </c>
      <c r="O18" s="12">
        <v>3</v>
      </c>
    </row>
    <row r="19" spans="1:15" ht="15" customHeight="1" x14ac:dyDescent="0.3">
      <c r="A19" s="9">
        <v>43580</v>
      </c>
      <c r="B19" s="12">
        <v>129</v>
      </c>
      <c r="C19" s="11">
        <v>2.5999999999999999E-2</v>
      </c>
      <c r="D19" s="12">
        <v>156</v>
      </c>
      <c r="E19" s="11">
        <v>0.01</v>
      </c>
      <c r="F19" s="10">
        <v>18899</v>
      </c>
      <c r="G19" s="11">
        <v>8.0000000000000002E-3</v>
      </c>
      <c r="H19" s="11">
        <v>0.106</v>
      </c>
      <c r="I19" s="10">
        <v>15507530</v>
      </c>
      <c r="J19" s="12" t="s">
        <v>6141</v>
      </c>
      <c r="K19" s="10">
        <v>1995</v>
      </c>
      <c r="L19" s="12" t="s">
        <v>6142</v>
      </c>
      <c r="M19" s="10">
        <v>2327764030</v>
      </c>
      <c r="N19" s="10">
        <v>272839</v>
      </c>
      <c r="O19" s="12">
        <v>5</v>
      </c>
    </row>
    <row r="20" spans="1:15" ht="15" customHeight="1" x14ac:dyDescent="0.3">
      <c r="A20" s="9">
        <v>43581</v>
      </c>
      <c r="B20" s="12">
        <v>128</v>
      </c>
      <c r="C20" s="11">
        <v>2.5999999999999999E-2</v>
      </c>
      <c r="D20" s="12">
        <v>159</v>
      </c>
      <c r="E20" s="11">
        <v>0.01</v>
      </c>
      <c r="F20" s="10">
        <v>18999</v>
      </c>
      <c r="G20" s="11">
        <v>8.0000000000000002E-3</v>
      </c>
      <c r="H20" s="11">
        <v>0.13100000000000001</v>
      </c>
      <c r="I20" s="10">
        <v>21862740</v>
      </c>
      <c r="J20" s="12" t="s">
        <v>6143</v>
      </c>
      <c r="K20" s="10">
        <v>2494</v>
      </c>
      <c r="L20" s="12" t="s">
        <v>6144</v>
      </c>
      <c r="M20" s="10">
        <v>2349626770</v>
      </c>
      <c r="N20" s="10">
        <v>275333</v>
      </c>
      <c r="O20" s="12">
        <v>6</v>
      </c>
    </row>
    <row r="21" spans="1:15" ht="15" customHeight="1" x14ac:dyDescent="0.3">
      <c r="A21" s="9">
        <v>43582</v>
      </c>
      <c r="B21" s="12">
        <v>106</v>
      </c>
      <c r="C21" s="11">
        <v>2.1000000000000001E-2</v>
      </c>
      <c r="D21" s="12">
        <v>118</v>
      </c>
      <c r="E21" s="11">
        <v>7.0000000000000001E-3</v>
      </c>
      <c r="F21" s="10">
        <v>14596</v>
      </c>
      <c r="G21" s="11">
        <v>6.0000000000000001E-3</v>
      </c>
      <c r="H21" s="11">
        <v>0.157</v>
      </c>
      <c r="I21" s="10">
        <v>18887490</v>
      </c>
      <c r="J21" s="12" t="s">
        <v>6145</v>
      </c>
      <c r="K21" s="10">
        <v>2289</v>
      </c>
      <c r="L21" s="12" t="s">
        <v>6146</v>
      </c>
      <c r="M21" s="10">
        <v>2368514260</v>
      </c>
      <c r="N21" s="10">
        <v>277622</v>
      </c>
      <c r="O21" s="12">
        <v>7</v>
      </c>
    </row>
    <row r="22" spans="1:15" ht="15" customHeight="1" x14ac:dyDescent="0.3">
      <c r="A22" s="9">
        <v>43583</v>
      </c>
      <c r="B22" s="12">
        <v>93</v>
      </c>
      <c r="C22" s="11">
        <v>1.9E-2</v>
      </c>
      <c r="D22" s="12">
        <v>102</v>
      </c>
      <c r="E22" s="11">
        <v>6.0000000000000001E-3</v>
      </c>
      <c r="F22" s="10">
        <v>11933</v>
      </c>
      <c r="G22" s="11">
        <v>5.0000000000000001E-3</v>
      </c>
      <c r="H22" s="11">
        <v>0.14099999999999999</v>
      </c>
      <c r="I22" s="10">
        <v>13874010</v>
      </c>
      <c r="J22" s="12" t="s">
        <v>6147</v>
      </c>
      <c r="K22" s="10">
        <v>1683</v>
      </c>
      <c r="L22" s="12" t="s">
        <v>6148</v>
      </c>
      <c r="M22" s="10">
        <v>2382388270</v>
      </c>
      <c r="N22" s="10">
        <v>279305</v>
      </c>
      <c r="O22" s="12">
        <v>8</v>
      </c>
    </row>
    <row r="23" spans="1:15" ht="15" customHeight="1" x14ac:dyDescent="0.3">
      <c r="A23" s="9">
        <v>43584</v>
      </c>
      <c r="B23" s="12">
        <v>111</v>
      </c>
      <c r="C23" s="11">
        <v>2.3E-2</v>
      </c>
      <c r="D23" s="12">
        <v>134</v>
      </c>
      <c r="E23" s="11">
        <v>8.9999999999999993E-3</v>
      </c>
      <c r="F23" s="10">
        <v>16187</v>
      </c>
      <c r="G23" s="11">
        <v>7.0000000000000001E-3</v>
      </c>
      <c r="H23" s="11">
        <v>9.1999999999999998E-2</v>
      </c>
      <c r="I23" s="10">
        <v>11307810</v>
      </c>
      <c r="J23" s="12" t="s">
        <v>6149</v>
      </c>
      <c r="K23" s="10">
        <v>1482</v>
      </c>
      <c r="L23" s="12" t="s">
        <v>6150</v>
      </c>
      <c r="M23" s="10">
        <v>2393696080</v>
      </c>
      <c r="N23" s="10">
        <v>280787</v>
      </c>
      <c r="O23" s="12">
        <v>8</v>
      </c>
    </row>
    <row r="24" spans="1:15" ht="15" customHeight="1" x14ac:dyDescent="0.3">
      <c r="A24" s="9">
        <v>43585</v>
      </c>
      <c r="B24" s="12">
        <v>133</v>
      </c>
      <c r="C24" s="11">
        <v>2.7E-2</v>
      </c>
      <c r="D24" s="12">
        <v>164</v>
      </c>
      <c r="E24" s="11">
        <v>0.01</v>
      </c>
      <c r="F24" s="10">
        <v>19574</v>
      </c>
      <c r="G24" s="11">
        <v>8.0000000000000002E-3</v>
      </c>
      <c r="H24" s="11">
        <v>0.13</v>
      </c>
      <c r="I24" s="10">
        <v>19789580</v>
      </c>
      <c r="J24" s="12" t="s">
        <v>6151</v>
      </c>
      <c r="K24" s="10">
        <v>2536</v>
      </c>
      <c r="L24" s="12" t="s">
        <v>6152</v>
      </c>
      <c r="M24" s="10">
        <v>2413485660</v>
      </c>
      <c r="N24" s="10">
        <v>283323</v>
      </c>
      <c r="O24" s="12">
        <v>6</v>
      </c>
    </row>
    <row r="25" spans="1:15" ht="15" customHeight="1" x14ac:dyDescent="0.3">
      <c r="A25" s="9">
        <v>43586</v>
      </c>
      <c r="B25" s="12">
        <v>39</v>
      </c>
      <c r="C25" s="11">
        <v>8.0000000000000002E-3</v>
      </c>
      <c r="D25" s="12">
        <v>53</v>
      </c>
      <c r="E25" s="11">
        <v>3.0000000000000001E-3</v>
      </c>
      <c r="F25" s="10">
        <v>5868</v>
      </c>
      <c r="G25" s="11">
        <v>2E-3</v>
      </c>
      <c r="H25" s="11">
        <v>0.309</v>
      </c>
      <c r="I25" s="10">
        <v>13613330</v>
      </c>
      <c r="J25" s="12" t="s">
        <v>6153</v>
      </c>
      <c r="K25" s="10">
        <v>1812</v>
      </c>
      <c r="L25" s="12" t="s">
        <v>6154</v>
      </c>
      <c r="M25" s="10">
        <v>2427098990</v>
      </c>
      <c r="N25" s="10">
        <v>285135</v>
      </c>
      <c r="O25" s="12">
        <v>9</v>
      </c>
    </row>
    <row r="26" spans="1:15" ht="15" customHeight="1" x14ac:dyDescent="0.3">
      <c r="A26" s="9">
        <v>43587</v>
      </c>
      <c r="B26" s="12">
        <v>35</v>
      </c>
      <c r="C26" s="11">
        <v>7.0000000000000001E-3</v>
      </c>
      <c r="D26" s="12">
        <v>49</v>
      </c>
      <c r="E26" s="11">
        <v>3.0000000000000001E-3</v>
      </c>
      <c r="F26" s="10">
        <v>5750</v>
      </c>
      <c r="G26" s="11">
        <v>2E-3</v>
      </c>
      <c r="H26" s="11">
        <v>0.109</v>
      </c>
      <c r="I26" s="10">
        <v>4879500</v>
      </c>
      <c r="J26" s="12" t="s">
        <v>6155</v>
      </c>
      <c r="K26" s="12">
        <v>629</v>
      </c>
      <c r="L26" s="12" t="s">
        <v>6156</v>
      </c>
      <c r="M26" s="10">
        <v>2431978490</v>
      </c>
      <c r="N26" s="10">
        <v>285764</v>
      </c>
      <c r="O26" s="12">
        <v>16</v>
      </c>
    </row>
    <row r="27" spans="1:15" ht="15" customHeight="1" x14ac:dyDescent="0.3">
      <c r="A27" s="9">
        <v>43588</v>
      </c>
      <c r="B27" s="12">
        <v>33</v>
      </c>
      <c r="C27" s="11">
        <v>7.0000000000000001E-3</v>
      </c>
      <c r="D27" s="12">
        <v>45</v>
      </c>
      <c r="E27" s="11">
        <v>3.0000000000000001E-3</v>
      </c>
      <c r="F27" s="10">
        <v>5033</v>
      </c>
      <c r="G27" s="11">
        <v>2E-3</v>
      </c>
      <c r="H27" s="11">
        <v>0.152</v>
      </c>
      <c r="I27" s="10">
        <v>6348170</v>
      </c>
      <c r="J27" s="12" t="s">
        <v>6157</v>
      </c>
      <c r="K27" s="12">
        <v>764</v>
      </c>
      <c r="L27" s="12" t="s">
        <v>6158</v>
      </c>
      <c r="M27" s="10">
        <v>2438326660</v>
      </c>
      <c r="N27" s="10">
        <v>286528</v>
      </c>
      <c r="O27" s="12">
        <v>12</v>
      </c>
    </row>
    <row r="28" spans="1:15" ht="15" customHeight="1" x14ac:dyDescent="0.3">
      <c r="A28" s="9">
        <v>43589</v>
      </c>
      <c r="B28" s="12">
        <v>20</v>
      </c>
      <c r="C28" s="11">
        <v>4.0000000000000001E-3</v>
      </c>
      <c r="D28" s="12">
        <v>30</v>
      </c>
      <c r="E28" s="11">
        <v>2E-3</v>
      </c>
      <c r="F28" s="10">
        <v>3434</v>
      </c>
      <c r="G28" s="11">
        <v>1E-3</v>
      </c>
      <c r="H28" s="11">
        <v>0.25700000000000001</v>
      </c>
      <c r="I28" s="10">
        <v>7917680</v>
      </c>
      <c r="J28" s="12" t="s">
        <v>6159</v>
      </c>
      <c r="K28" s="12">
        <v>881</v>
      </c>
      <c r="L28" s="12" t="s">
        <v>6160</v>
      </c>
      <c r="M28" s="10">
        <v>2446244340</v>
      </c>
      <c r="N28" s="10">
        <v>287409</v>
      </c>
      <c r="O28" s="12">
        <v>12</v>
      </c>
    </row>
    <row r="29" spans="1:15" ht="15" customHeight="1" x14ac:dyDescent="0.3">
      <c r="A29" s="9">
        <v>43590</v>
      </c>
      <c r="B29" s="12">
        <v>24</v>
      </c>
      <c r="C29" s="11">
        <v>4.0000000000000001E-3</v>
      </c>
      <c r="D29" s="12">
        <v>33</v>
      </c>
      <c r="E29" s="11">
        <v>2E-3</v>
      </c>
      <c r="F29" s="10">
        <v>4041</v>
      </c>
      <c r="G29" s="11">
        <v>1E-3</v>
      </c>
      <c r="H29" s="11">
        <v>0.219</v>
      </c>
      <c r="I29" s="10">
        <v>7777400</v>
      </c>
      <c r="J29" s="12" t="s">
        <v>6161</v>
      </c>
      <c r="K29" s="12">
        <v>886</v>
      </c>
      <c r="L29" s="12" t="s">
        <v>6162</v>
      </c>
      <c r="M29" s="10">
        <v>2454021740</v>
      </c>
      <c r="N29" s="10">
        <v>288295</v>
      </c>
      <c r="O29" s="12">
        <v>11</v>
      </c>
    </row>
    <row r="30" spans="1:15" ht="15" customHeight="1" x14ac:dyDescent="0.3">
      <c r="A30" s="9">
        <v>43591</v>
      </c>
      <c r="B30" s="12">
        <v>27</v>
      </c>
      <c r="C30" s="11">
        <v>5.0000000000000001E-3</v>
      </c>
      <c r="D30" s="12">
        <v>38</v>
      </c>
      <c r="E30" s="11">
        <v>2E-3</v>
      </c>
      <c r="F30" s="10">
        <v>4389</v>
      </c>
      <c r="G30" s="11">
        <v>2E-3</v>
      </c>
      <c r="H30" s="11">
        <v>0.216</v>
      </c>
      <c r="I30" s="10">
        <v>8320860</v>
      </c>
      <c r="J30" s="12" t="s">
        <v>6163</v>
      </c>
      <c r="K30" s="12">
        <v>950</v>
      </c>
      <c r="L30" s="12" t="s">
        <v>6164</v>
      </c>
      <c r="M30" s="10">
        <v>2462342600</v>
      </c>
      <c r="N30" s="10">
        <v>289245</v>
      </c>
      <c r="O30" s="12">
        <v>11</v>
      </c>
    </row>
    <row r="31" spans="1:15" ht="15" customHeight="1" x14ac:dyDescent="0.3">
      <c r="A31" s="9">
        <v>43592</v>
      </c>
      <c r="B31" s="12">
        <v>37</v>
      </c>
      <c r="C31" s="11">
        <v>8.0000000000000002E-3</v>
      </c>
      <c r="D31" s="12">
        <v>52</v>
      </c>
      <c r="E31" s="11">
        <v>3.0000000000000001E-3</v>
      </c>
      <c r="F31" s="10">
        <v>6161</v>
      </c>
      <c r="G31" s="11">
        <v>3.0000000000000001E-3</v>
      </c>
      <c r="H31" s="11">
        <v>7.4999999999999997E-2</v>
      </c>
      <c r="I31" s="10">
        <v>3767590</v>
      </c>
      <c r="J31" s="12" t="s">
        <v>6165</v>
      </c>
      <c r="K31" s="12">
        <v>464</v>
      </c>
      <c r="L31" s="12" t="s">
        <v>6166</v>
      </c>
      <c r="M31" s="10">
        <v>2466110190</v>
      </c>
      <c r="N31" s="10">
        <v>289709</v>
      </c>
      <c r="O31" s="12">
        <v>21</v>
      </c>
    </row>
    <row r="32" spans="1:15" ht="15" customHeight="1" x14ac:dyDescent="0.3">
      <c r="A32" s="9">
        <v>43593</v>
      </c>
      <c r="B32" s="12">
        <v>37</v>
      </c>
      <c r="C32" s="11">
        <v>8.0000000000000002E-3</v>
      </c>
      <c r="D32" s="12">
        <v>56</v>
      </c>
      <c r="E32" s="11">
        <v>4.0000000000000001E-3</v>
      </c>
      <c r="F32" s="10">
        <v>6413</v>
      </c>
      <c r="G32" s="11">
        <v>3.0000000000000001E-3</v>
      </c>
      <c r="H32" s="11">
        <v>8.1000000000000003E-2</v>
      </c>
      <c r="I32" s="10">
        <v>4169030</v>
      </c>
      <c r="J32" s="12" t="s">
        <v>6167</v>
      </c>
      <c r="K32" s="12">
        <v>522</v>
      </c>
      <c r="L32" s="12" t="s">
        <v>6168</v>
      </c>
      <c r="M32" s="10">
        <v>2470279220</v>
      </c>
      <c r="N32" s="10">
        <v>290231</v>
      </c>
      <c r="O32" s="12">
        <v>18</v>
      </c>
    </row>
    <row r="33" spans="1:15" ht="15" customHeight="1" x14ac:dyDescent="0.3">
      <c r="A33" s="9">
        <v>43594</v>
      </c>
      <c r="B33" s="12">
        <v>11</v>
      </c>
      <c r="C33" s="11">
        <v>2E-3</v>
      </c>
      <c r="D33" s="12">
        <v>16</v>
      </c>
      <c r="E33" s="11">
        <v>1E-3</v>
      </c>
      <c r="F33" s="10">
        <v>1808</v>
      </c>
      <c r="G33" s="11">
        <v>1E-3</v>
      </c>
      <c r="H33" s="11">
        <v>8.7999999999999995E-2</v>
      </c>
      <c r="I33" s="10">
        <v>1316680</v>
      </c>
      <c r="J33" s="12" t="s">
        <v>6169</v>
      </c>
      <c r="K33" s="12">
        <v>160</v>
      </c>
      <c r="L33" s="12" t="s">
        <v>6170</v>
      </c>
      <c r="M33" s="10">
        <v>2471595900</v>
      </c>
      <c r="N33" s="10">
        <v>290391</v>
      </c>
      <c r="O33" s="12">
        <v>33</v>
      </c>
    </row>
    <row r="34" spans="1:15" ht="15" customHeight="1" x14ac:dyDescent="0.3">
      <c r="A34" s="9">
        <v>43595</v>
      </c>
      <c r="B34" s="12">
        <v>13</v>
      </c>
      <c r="C34" s="11">
        <v>3.0000000000000001E-3</v>
      </c>
      <c r="D34" s="12">
        <v>21</v>
      </c>
      <c r="E34" s="11">
        <v>1E-3</v>
      </c>
      <c r="F34" s="10">
        <v>2322</v>
      </c>
      <c r="G34" s="11">
        <v>1E-3</v>
      </c>
      <c r="H34" s="11">
        <v>0.108</v>
      </c>
      <c r="I34" s="10">
        <v>2309810</v>
      </c>
      <c r="J34" s="12" t="s">
        <v>6171</v>
      </c>
      <c r="K34" s="12">
        <v>250</v>
      </c>
      <c r="L34" s="12" t="s">
        <v>6172</v>
      </c>
      <c r="M34" s="10">
        <v>2473905710</v>
      </c>
      <c r="N34" s="10">
        <v>290641</v>
      </c>
      <c r="O34" s="12">
        <v>25</v>
      </c>
    </row>
    <row r="35" spans="1:15" ht="15" customHeight="1" x14ac:dyDescent="0.3">
      <c r="A35" s="9">
        <v>43596</v>
      </c>
      <c r="B35" s="12">
        <v>14</v>
      </c>
      <c r="C35" s="11">
        <v>2E-3</v>
      </c>
      <c r="D35" s="12">
        <v>21</v>
      </c>
      <c r="E35" s="11">
        <v>1E-3</v>
      </c>
      <c r="F35" s="10">
        <v>2066</v>
      </c>
      <c r="G35" s="11">
        <v>1E-3</v>
      </c>
      <c r="H35" s="11">
        <v>0.191</v>
      </c>
      <c r="I35" s="10">
        <v>3534260</v>
      </c>
      <c r="J35" s="12" t="s">
        <v>6173</v>
      </c>
      <c r="K35" s="12">
        <v>394</v>
      </c>
      <c r="L35" s="12" t="s">
        <v>6174</v>
      </c>
      <c r="M35" s="10">
        <v>2477439970</v>
      </c>
      <c r="N35" s="10">
        <v>291035</v>
      </c>
      <c r="O35" s="12">
        <v>18</v>
      </c>
    </row>
    <row r="36" spans="1:15" ht="15" customHeight="1" x14ac:dyDescent="0.3">
      <c r="A36" s="9">
        <v>43597</v>
      </c>
      <c r="B36" s="12">
        <v>13</v>
      </c>
      <c r="C36" s="11">
        <v>2E-3</v>
      </c>
      <c r="D36" s="12">
        <v>19</v>
      </c>
      <c r="E36" s="11">
        <v>1E-3</v>
      </c>
      <c r="F36" s="10">
        <v>2190</v>
      </c>
      <c r="G36" s="11">
        <v>1E-3</v>
      </c>
      <c r="H36" s="11">
        <v>0.157</v>
      </c>
      <c r="I36" s="10">
        <v>3044340</v>
      </c>
      <c r="J36" s="12" t="s">
        <v>6175</v>
      </c>
      <c r="K36" s="12">
        <v>343</v>
      </c>
      <c r="L36" s="12" t="s">
        <v>6176</v>
      </c>
      <c r="M36" s="10">
        <v>2480484310</v>
      </c>
      <c r="N36" s="10">
        <v>291378</v>
      </c>
      <c r="O36" s="12">
        <v>18</v>
      </c>
    </row>
    <row r="37" spans="1:15" ht="15" customHeight="1" x14ac:dyDescent="0.3">
      <c r="A37" s="9">
        <v>43598</v>
      </c>
      <c r="B37" s="12">
        <v>13</v>
      </c>
      <c r="C37" s="11">
        <v>3.0000000000000001E-3</v>
      </c>
      <c r="D37" s="12">
        <v>20</v>
      </c>
      <c r="E37" s="11">
        <v>1E-3</v>
      </c>
      <c r="F37" s="10">
        <v>2121</v>
      </c>
      <c r="G37" s="11">
        <v>1E-3</v>
      </c>
      <c r="H37" s="11">
        <v>7.8E-2</v>
      </c>
      <c r="I37" s="10">
        <v>1302090</v>
      </c>
      <c r="J37" s="12" t="s">
        <v>6177</v>
      </c>
      <c r="K37" s="12">
        <v>165</v>
      </c>
      <c r="L37" s="12" t="s">
        <v>6178</v>
      </c>
      <c r="M37" s="10">
        <v>2481786400</v>
      </c>
      <c r="N37" s="10">
        <v>291543</v>
      </c>
      <c r="O37" s="12">
        <v>31</v>
      </c>
    </row>
    <row r="38" spans="1:15" ht="15" customHeight="1" x14ac:dyDescent="0.3">
      <c r="A38" s="9">
        <v>43599</v>
      </c>
      <c r="B38" s="12">
        <v>10</v>
      </c>
      <c r="C38" s="11">
        <v>2E-3</v>
      </c>
      <c r="D38" s="12">
        <v>17</v>
      </c>
      <c r="E38" s="11">
        <v>1E-3</v>
      </c>
      <c r="F38" s="10">
        <v>1807</v>
      </c>
      <c r="G38" s="11">
        <v>1E-3</v>
      </c>
      <c r="H38" s="11">
        <v>7.0999999999999994E-2</v>
      </c>
      <c r="I38" s="10">
        <v>1030960</v>
      </c>
      <c r="J38" s="12" t="s">
        <v>6179</v>
      </c>
      <c r="K38" s="12">
        <v>129</v>
      </c>
      <c r="L38" s="12" t="s">
        <v>6180</v>
      </c>
      <c r="M38" s="10">
        <v>2482817360</v>
      </c>
      <c r="N38" s="10">
        <v>291672</v>
      </c>
      <c r="O38" s="12">
        <v>34</v>
      </c>
    </row>
    <row r="39" spans="1:15" ht="15" customHeight="1" x14ac:dyDescent="0.3">
      <c r="A39" s="9">
        <v>43600</v>
      </c>
      <c r="B39" s="12">
        <v>11</v>
      </c>
      <c r="C39" s="11">
        <v>2E-3</v>
      </c>
      <c r="D39" s="12">
        <v>15</v>
      </c>
      <c r="E39" s="11">
        <v>1E-3</v>
      </c>
      <c r="F39" s="10">
        <v>1283</v>
      </c>
      <c r="G39" s="11">
        <v>0</v>
      </c>
      <c r="H39" s="11">
        <v>9.4E-2</v>
      </c>
      <c r="I39" s="10">
        <v>999980</v>
      </c>
      <c r="J39" s="12" t="s">
        <v>6181</v>
      </c>
      <c r="K39" s="12">
        <v>121</v>
      </c>
      <c r="L39" s="12" t="s">
        <v>6182</v>
      </c>
      <c r="M39" s="10">
        <v>2483817340</v>
      </c>
      <c r="N39" s="10">
        <v>291793</v>
      </c>
      <c r="O39" s="12">
        <v>36</v>
      </c>
    </row>
    <row r="40" spans="1:15" ht="15" customHeight="1" x14ac:dyDescent="0.3">
      <c r="A40" s="9">
        <v>43601</v>
      </c>
      <c r="B40" s="12">
        <v>4</v>
      </c>
      <c r="C40" s="11">
        <v>1E-3</v>
      </c>
      <c r="D40" s="12">
        <v>6</v>
      </c>
      <c r="E40" s="11">
        <v>0</v>
      </c>
      <c r="F40" s="12">
        <v>537</v>
      </c>
      <c r="G40" s="11">
        <v>0</v>
      </c>
      <c r="H40" s="11">
        <v>8.7999999999999995E-2</v>
      </c>
      <c r="I40" s="10">
        <v>378480</v>
      </c>
      <c r="J40" s="12" t="s">
        <v>6183</v>
      </c>
      <c r="K40" s="12">
        <v>47</v>
      </c>
      <c r="L40" s="12" t="s">
        <v>6184</v>
      </c>
      <c r="M40" s="10">
        <v>2484195820</v>
      </c>
      <c r="N40" s="10">
        <v>291840</v>
      </c>
      <c r="O40" s="12">
        <v>57</v>
      </c>
    </row>
    <row r="41" spans="1:15" ht="15" customHeight="1" x14ac:dyDescent="0.3">
      <c r="A41" s="9">
        <v>43602</v>
      </c>
      <c r="B41" s="12">
        <v>6</v>
      </c>
      <c r="C41" s="11">
        <v>1E-3</v>
      </c>
      <c r="D41" s="12">
        <v>10</v>
      </c>
      <c r="E41" s="11">
        <v>1E-3</v>
      </c>
      <c r="F41" s="10">
        <v>1157</v>
      </c>
      <c r="G41" s="11">
        <v>0</v>
      </c>
      <c r="H41" s="11">
        <v>7.2999999999999995E-2</v>
      </c>
      <c r="I41" s="10">
        <v>767500</v>
      </c>
      <c r="J41" s="12" t="s">
        <v>6185</v>
      </c>
      <c r="K41" s="12">
        <v>84</v>
      </c>
      <c r="L41" s="12" t="s">
        <v>6186</v>
      </c>
      <c r="M41" s="10">
        <v>2484963320</v>
      </c>
      <c r="N41" s="10">
        <v>291924</v>
      </c>
      <c r="O41" s="12">
        <v>54</v>
      </c>
    </row>
    <row r="42" spans="1:15" ht="15" customHeight="1" x14ac:dyDescent="0.3">
      <c r="A42" s="9">
        <v>43603</v>
      </c>
      <c r="B42" s="12">
        <v>7</v>
      </c>
      <c r="C42" s="11">
        <v>1E-3</v>
      </c>
      <c r="D42" s="12">
        <v>10</v>
      </c>
      <c r="E42" s="11">
        <v>1E-3</v>
      </c>
      <c r="F42" s="10">
        <v>1065</v>
      </c>
      <c r="G42" s="11">
        <v>0</v>
      </c>
      <c r="H42" s="11">
        <v>0.114</v>
      </c>
      <c r="I42" s="10">
        <v>1124480</v>
      </c>
      <c r="J42" s="12" t="s">
        <v>6187</v>
      </c>
      <c r="K42" s="12">
        <v>121</v>
      </c>
      <c r="L42" s="12" t="s">
        <v>6188</v>
      </c>
      <c r="M42" s="10">
        <v>2486087800</v>
      </c>
      <c r="N42" s="10">
        <v>292045</v>
      </c>
      <c r="O42" s="12">
        <v>41</v>
      </c>
    </row>
    <row r="43" spans="1:15" ht="15" customHeight="1" x14ac:dyDescent="0.3">
      <c r="A43" s="9">
        <v>43604</v>
      </c>
      <c r="B43" s="12">
        <v>8</v>
      </c>
      <c r="C43" s="11">
        <v>1E-3</v>
      </c>
      <c r="D43" s="12">
        <v>11</v>
      </c>
      <c r="E43" s="11">
        <v>1E-3</v>
      </c>
      <c r="F43" s="10">
        <v>1172</v>
      </c>
      <c r="G43" s="11">
        <v>0</v>
      </c>
      <c r="H43" s="11">
        <v>8.1000000000000003E-2</v>
      </c>
      <c r="I43" s="10">
        <v>879000</v>
      </c>
      <c r="J43" s="12" t="s">
        <v>6189</v>
      </c>
      <c r="K43" s="12">
        <v>95</v>
      </c>
      <c r="L43" s="12" t="s">
        <v>6190</v>
      </c>
      <c r="M43" s="10">
        <v>2486966800</v>
      </c>
      <c r="N43" s="10">
        <v>292140</v>
      </c>
      <c r="O43" s="12">
        <v>35</v>
      </c>
    </row>
    <row r="44" spans="1:15" ht="15" customHeight="1" x14ac:dyDescent="0.3">
      <c r="A44" s="9">
        <v>43605</v>
      </c>
      <c r="B44" s="12">
        <v>6</v>
      </c>
      <c r="C44" s="11">
        <v>1E-3</v>
      </c>
      <c r="D44" s="12">
        <v>10</v>
      </c>
      <c r="E44" s="11">
        <v>1E-3</v>
      </c>
      <c r="F44" s="10">
        <v>1404</v>
      </c>
      <c r="G44" s="11">
        <v>1E-3</v>
      </c>
      <c r="H44" s="11">
        <v>6.3E-2</v>
      </c>
      <c r="I44" s="10">
        <v>411650</v>
      </c>
      <c r="J44" s="12" t="s">
        <v>6191</v>
      </c>
      <c r="K44" s="12">
        <v>89</v>
      </c>
      <c r="L44" s="12" t="s">
        <v>6192</v>
      </c>
      <c r="M44" s="10">
        <v>2487378450</v>
      </c>
      <c r="N44" s="10">
        <v>292229</v>
      </c>
      <c r="O44" s="12">
        <v>39</v>
      </c>
    </row>
    <row r="45" spans="1:15" ht="15" customHeight="1" x14ac:dyDescent="0.3">
      <c r="A45" s="9">
        <v>43606</v>
      </c>
      <c r="B45" s="12">
        <v>18</v>
      </c>
      <c r="C45" s="11">
        <v>3.0000000000000001E-3</v>
      </c>
      <c r="D45" s="12">
        <v>22</v>
      </c>
      <c r="E45" s="11">
        <v>1E-3</v>
      </c>
      <c r="F45" s="10">
        <v>2480</v>
      </c>
      <c r="G45" s="11">
        <v>1E-3</v>
      </c>
      <c r="H45" s="11">
        <v>0.17799999999999999</v>
      </c>
      <c r="I45" s="10">
        <v>2373500</v>
      </c>
      <c r="J45" s="12" t="s">
        <v>6193</v>
      </c>
      <c r="K45" s="12">
        <v>442</v>
      </c>
      <c r="L45" s="12" t="s">
        <v>6194</v>
      </c>
      <c r="M45" s="10">
        <v>2489751950</v>
      </c>
      <c r="N45" s="10">
        <v>292671</v>
      </c>
      <c r="O45" s="12">
        <v>18</v>
      </c>
    </row>
    <row r="46" spans="1:15" ht="15" customHeight="1" x14ac:dyDescent="0.3">
      <c r="A46" s="9">
        <v>43607</v>
      </c>
      <c r="B46" s="12">
        <v>5</v>
      </c>
      <c r="C46" s="11">
        <v>1E-3</v>
      </c>
      <c r="D46" s="12">
        <v>9</v>
      </c>
      <c r="E46" s="11">
        <v>1E-3</v>
      </c>
      <c r="F46" s="10">
        <v>1106</v>
      </c>
      <c r="G46" s="11">
        <v>0</v>
      </c>
      <c r="H46" s="11">
        <v>6.9000000000000006E-2</v>
      </c>
      <c r="I46" s="10">
        <v>560000</v>
      </c>
      <c r="J46" s="12" t="s">
        <v>6195</v>
      </c>
      <c r="K46" s="12">
        <v>76</v>
      </c>
      <c r="L46" s="12" t="s">
        <v>6196</v>
      </c>
      <c r="M46" s="10">
        <v>2490311950</v>
      </c>
      <c r="N46" s="10">
        <v>292747</v>
      </c>
      <c r="O46" s="12">
        <v>45</v>
      </c>
    </row>
    <row r="47" spans="1:15" ht="15" customHeight="1" x14ac:dyDescent="0.3">
      <c r="A47" s="9">
        <v>43608</v>
      </c>
      <c r="B47" s="12">
        <v>7</v>
      </c>
      <c r="C47" s="11">
        <v>1E-3</v>
      </c>
      <c r="D47" s="12">
        <v>7</v>
      </c>
      <c r="E47" s="11">
        <v>0</v>
      </c>
      <c r="F47" s="12">
        <v>791</v>
      </c>
      <c r="G47" s="11">
        <v>0</v>
      </c>
      <c r="H47" s="11">
        <v>0.17699999999999999</v>
      </c>
      <c r="I47" s="10">
        <v>791000</v>
      </c>
      <c r="J47" s="12" t="s">
        <v>6197</v>
      </c>
      <c r="K47" s="12">
        <v>140</v>
      </c>
      <c r="L47" s="12" t="s">
        <v>6198</v>
      </c>
      <c r="M47" s="10">
        <v>2491102950</v>
      </c>
      <c r="N47" s="10">
        <v>292887</v>
      </c>
      <c r="O47" s="12">
        <v>35</v>
      </c>
    </row>
    <row r="48" spans="1:15" ht="15" customHeight="1" x14ac:dyDescent="0.3">
      <c r="A48" s="9">
        <v>43609</v>
      </c>
      <c r="B48" s="12">
        <v>6</v>
      </c>
      <c r="C48" s="11">
        <v>1E-3</v>
      </c>
      <c r="D48" s="12">
        <v>6</v>
      </c>
      <c r="E48" s="11">
        <v>0</v>
      </c>
      <c r="F48" s="12">
        <v>662</v>
      </c>
      <c r="G48" s="11">
        <v>0</v>
      </c>
      <c r="H48" s="11">
        <v>0.122</v>
      </c>
      <c r="I48" s="10">
        <v>511000</v>
      </c>
      <c r="J48" s="12" t="s">
        <v>6199</v>
      </c>
      <c r="K48" s="12">
        <v>81</v>
      </c>
      <c r="L48" s="12" t="s">
        <v>6200</v>
      </c>
      <c r="M48" s="10">
        <v>2491613950</v>
      </c>
      <c r="N48" s="10">
        <v>292968</v>
      </c>
      <c r="O48" s="12">
        <v>45</v>
      </c>
    </row>
    <row r="49" spans="1:15" ht="15" customHeight="1" x14ac:dyDescent="0.3">
      <c r="A49" s="9">
        <v>43610</v>
      </c>
      <c r="B49" s="12">
        <v>3</v>
      </c>
      <c r="C49" s="11">
        <v>0</v>
      </c>
      <c r="D49" s="12">
        <v>3</v>
      </c>
      <c r="E49" s="11">
        <v>0</v>
      </c>
      <c r="F49" s="12">
        <v>566</v>
      </c>
      <c r="G49" s="11">
        <v>0</v>
      </c>
      <c r="H49" s="11">
        <v>8.1000000000000003E-2</v>
      </c>
      <c r="I49" s="10">
        <v>518000</v>
      </c>
      <c r="J49" s="12" t="s">
        <v>6201</v>
      </c>
      <c r="K49" s="12">
        <v>46</v>
      </c>
      <c r="L49" s="12" t="s">
        <v>6202</v>
      </c>
      <c r="M49" s="10">
        <v>2492131950</v>
      </c>
      <c r="N49" s="10">
        <v>293014</v>
      </c>
      <c r="O49" s="12">
        <v>56</v>
      </c>
    </row>
    <row r="50" spans="1:15" ht="15" customHeight="1" x14ac:dyDescent="0.3">
      <c r="A50" s="9">
        <v>43611</v>
      </c>
      <c r="B50" s="12">
        <v>3</v>
      </c>
      <c r="C50" s="11">
        <v>0</v>
      </c>
      <c r="D50" s="12">
        <v>4</v>
      </c>
      <c r="E50" s="11">
        <v>0</v>
      </c>
      <c r="F50" s="12">
        <v>640</v>
      </c>
      <c r="G50" s="11">
        <v>0</v>
      </c>
      <c r="H50" s="11">
        <v>7.0000000000000007E-2</v>
      </c>
      <c r="I50" s="10">
        <v>461000</v>
      </c>
      <c r="J50" s="12" t="s">
        <v>6203</v>
      </c>
      <c r="K50" s="12">
        <v>45</v>
      </c>
      <c r="L50" s="12" t="s">
        <v>6204</v>
      </c>
      <c r="M50" s="10">
        <v>2492592950</v>
      </c>
      <c r="N50" s="10">
        <v>293059</v>
      </c>
      <c r="O50" s="12">
        <v>52</v>
      </c>
    </row>
    <row r="51" spans="1:15" ht="15" customHeight="1" x14ac:dyDescent="0.3">
      <c r="A51" s="9">
        <v>43612</v>
      </c>
      <c r="B51" s="12">
        <v>5</v>
      </c>
      <c r="C51" s="11">
        <v>1E-3</v>
      </c>
      <c r="D51" s="12">
        <v>8</v>
      </c>
      <c r="E51" s="11">
        <v>0</v>
      </c>
      <c r="F51" s="10">
        <v>1368</v>
      </c>
      <c r="G51" s="11">
        <v>0</v>
      </c>
      <c r="H51" s="11">
        <v>8.5999999999999993E-2</v>
      </c>
      <c r="I51" s="10">
        <v>595000</v>
      </c>
      <c r="J51" s="12" t="s">
        <v>6205</v>
      </c>
      <c r="K51" s="12">
        <v>118</v>
      </c>
      <c r="L51" s="12" t="s">
        <v>6206</v>
      </c>
      <c r="M51" s="10">
        <v>2493187950</v>
      </c>
      <c r="N51" s="10">
        <v>293177</v>
      </c>
      <c r="O51" s="12">
        <v>33</v>
      </c>
    </row>
    <row r="52" spans="1:15" ht="15" customHeight="1" x14ac:dyDescent="0.3">
      <c r="A52" s="9">
        <v>43613</v>
      </c>
      <c r="B52" s="12">
        <v>4</v>
      </c>
      <c r="C52" s="11">
        <v>1E-3</v>
      </c>
      <c r="D52" s="12">
        <v>6</v>
      </c>
      <c r="E52" s="11">
        <v>0</v>
      </c>
      <c r="F52" s="12">
        <v>683</v>
      </c>
      <c r="G52" s="11">
        <v>0</v>
      </c>
      <c r="H52" s="11">
        <v>9.7000000000000003E-2</v>
      </c>
      <c r="I52" s="10">
        <v>449000</v>
      </c>
      <c r="J52" s="12" t="s">
        <v>6207</v>
      </c>
      <c r="K52" s="12">
        <v>66</v>
      </c>
      <c r="L52" s="12" t="s">
        <v>6208</v>
      </c>
      <c r="M52" s="10">
        <v>2493636950</v>
      </c>
      <c r="N52" s="10">
        <v>293243</v>
      </c>
      <c r="O52" s="12">
        <v>55</v>
      </c>
    </row>
    <row r="53" spans="1:15" ht="15" customHeight="1" x14ac:dyDescent="0.3">
      <c r="A53" s="9">
        <v>43614</v>
      </c>
      <c r="B53" s="12">
        <v>2</v>
      </c>
      <c r="C53" s="11">
        <v>0</v>
      </c>
      <c r="D53" s="12">
        <v>2</v>
      </c>
      <c r="E53" s="11">
        <v>0</v>
      </c>
      <c r="F53" s="12">
        <v>349</v>
      </c>
      <c r="G53" s="11">
        <v>0</v>
      </c>
      <c r="H53" s="11">
        <v>4.2999999999999997E-2</v>
      </c>
      <c r="I53" s="10">
        <v>133000</v>
      </c>
      <c r="J53" s="12" t="s">
        <v>6209</v>
      </c>
      <c r="K53" s="12">
        <v>15</v>
      </c>
      <c r="L53" s="12" t="s">
        <v>6210</v>
      </c>
      <c r="M53" s="10">
        <v>2493769950</v>
      </c>
      <c r="N53" s="10">
        <v>293258</v>
      </c>
      <c r="O53" s="12">
        <v>75</v>
      </c>
    </row>
    <row r="54" spans="1:15" ht="15" customHeight="1" x14ac:dyDescent="0.3"/>
    <row r="55" spans="1:15" ht="15" customHeight="1" x14ac:dyDescent="0.3"/>
    <row r="56" spans="1:15" ht="15" customHeight="1" x14ac:dyDescent="0.3"/>
    <row r="57" spans="1:15" ht="15" customHeight="1" x14ac:dyDescent="0.3"/>
    <row r="58" spans="1:15" ht="15" customHeight="1" x14ac:dyDescent="0.3"/>
    <row r="59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E80B8-BB27-4E50-89D5-631EA57A6F4B}">
  <dimension ref="A1:O41"/>
  <sheetViews>
    <sheetView showGridLines="0" workbookViewId="0">
      <selection activeCell="A5" sqref="A5:O7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20.2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6211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4469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43572</v>
      </c>
      <c r="B5" s="12">
        <v>579</v>
      </c>
      <c r="C5" s="11">
        <v>9.8000000000000004E-2</v>
      </c>
      <c r="D5" s="10">
        <v>2707</v>
      </c>
      <c r="E5" s="11">
        <v>0.16300000000000001</v>
      </c>
      <c r="F5" s="10">
        <v>510180</v>
      </c>
      <c r="G5" s="11">
        <v>0.193</v>
      </c>
      <c r="H5" s="11">
        <v>4.5999999999999999E-2</v>
      </c>
      <c r="I5" s="10">
        <v>198250890</v>
      </c>
      <c r="J5" s="12" t="s">
        <v>6212</v>
      </c>
      <c r="K5" s="10">
        <v>23480</v>
      </c>
      <c r="L5" s="12" t="s">
        <v>6213</v>
      </c>
      <c r="M5" s="10">
        <v>223809890</v>
      </c>
      <c r="N5" s="10">
        <v>26321</v>
      </c>
      <c r="O5" s="12">
        <v>2</v>
      </c>
    </row>
    <row r="6" spans="1:15" ht="15" customHeight="1" x14ac:dyDescent="0.3">
      <c r="A6" s="9">
        <v>43573</v>
      </c>
      <c r="B6" s="12">
        <v>585</v>
      </c>
      <c r="C6" s="11">
        <v>8.8999999999999996E-2</v>
      </c>
      <c r="D6" s="10">
        <v>2505</v>
      </c>
      <c r="E6" s="11">
        <v>0.153</v>
      </c>
      <c r="F6" s="10">
        <v>475763</v>
      </c>
      <c r="G6" s="11">
        <v>0.182</v>
      </c>
      <c r="H6" s="11">
        <v>4.2000000000000003E-2</v>
      </c>
      <c r="I6" s="10">
        <v>169992450</v>
      </c>
      <c r="J6" s="12" t="s">
        <v>6214</v>
      </c>
      <c r="K6" s="10">
        <v>20208</v>
      </c>
      <c r="L6" s="12" t="s">
        <v>6215</v>
      </c>
      <c r="M6" s="10">
        <v>393802340</v>
      </c>
      <c r="N6" s="10">
        <v>46529</v>
      </c>
      <c r="O6" s="12">
        <v>2</v>
      </c>
    </row>
    <row r="7" spans="1:15" ht="15" customHeight="1" x14ac:dyDescent="0.3">
      <c r="A7" s="9">
        <v>43574</v>
      </c>
      <c r="B7" s="12">
        <v>590</v>
      </c>
      <c r="C7" s="11">
        <v>8.5999999999999993E-2</v>
      </c>
      <c r="D7" s="10">
        <v>2589</v>
      </c>
      <c r="E7" s="11">
        <v>0.14899999999999999</v>
      </c>
      <c r="F7" s="10">
        <v>489608</v>
      </c>
      <c r="G7" s="11">
        <v>0.17799999999999999</v>
      </c>
      <c r="H7" s="11">
        <v>5.8000000000000003E-2</v>
      </c>
      <c r="I7" s="10">
        <v>257045425</v>
      </c>
      <c r="J7" s="12" t="s">
        <v>6216</v>
      </c>
      <c r="K7" s="10">
        <v>28242</v>
      </c>
      <c r="L7" s="12" t="s">
        <v>6217</v>
      </c>
      <c r="M7" s="10">
        <v>650847765</v>
      </c>
      <c r="N7" s="10">
        <v>74771</v>
      </c>
      <c r="O7" s="12">
        <v>2</v>
      </c>
    </row>
    <row r="8" spans="1:15" ht="15" customHeight="1" x14ac:dyDescent="0.3">
      <c r="A8" s="9">
        <v>43575</v>
      </c>
      <c r="B8" s="12">
        <v>620</v>
      </c>
      <c r="C8" s="11">
        <v>8.2000000000000003E-2</v>
      </c>
      <c r="D8" s="10">
        <v>2678</v>
      </c>
      <c r="E8" s="11">
        <v>0.14000000000000001</v>
      </c>
      <c r="F8" s="10">
        <v>491415</v>
      </c>
      <c r="G8" s="11">
        <v>0.16300000000000001</v>
      </c>
      <c r="H8" s="11">
        <v>9.9000000000000005E-2</v>
      </c>
      <c r="I8" s="10">
        <v>444486726</v>
      </c>
      <c r="J8" s="12" t="s">
        <v>6218</v>
      </c>
      <c r="K8" s="10">
        <v>48637</v>
      </c>
      <c r="L8" s="12" t="s">
        <v>6219</v>
      </c>
      <c r="M8" s="10">
        <v>1095334491</v>
      </c>
      <c r="N8" s="10">
        <v>123408</v>
      </c>
      <c r="O8" s="12">
        <v>2</v>
      </c>
    </row>
    <row r="9" spans="1:15" ht="15" customHeight="1" x14ac:dyDescent="0.3">
      <c r="A9" s="9">
        <v>43576</v>
      </c>
      <c r="B9" s="12">
        <v>587</v>
      </c>
      <c r="C9" s="11">
        <v>7.9000000000000001E-2</v>
      </c>
      <c r="D9" s="10">
        <v>2546</v>
      </c>
      <c r="E9" s="11">
        <v>0.13700000000000001</v>
      </c>
      <c r="F9" s="10">
        <v>465733</v>
      </c>
      <c r="G9" s="11">
        <v>0.16</v>
      </c>
      <c r="H9" s="11">
        <v>8.1000000000000003E-2</v>
      </c>
      <c r="I9" s="10">
        <v>345731960</v>
      </c>
      <c r="J9" s="12" t="s">
        <v>6220</v>
      </c>
      <c r="K9" s="10">
        <v>37652</v>
      </c>
      <c r="L9" s="12" t="s">
        <v>6221</v>
      </c>
      <c r="M9" s="10">
        <v>1441066451</v>
      </c>
      <c r="N9" s="10">
        <v>161060</v>
      </c>
      <c r="O9" s="12">
        <v>2</v>
      </c>
    </row>
    <row r="10" spans="1:15" ht="15" customHeight="1" x14ac:dyDescent="0.3">
      <c r="A10" s="9">
        <v>43577</v>
      </c>
      <c r="B10" s="12">
        <v>557</v>
      </c>
      <c r="C10" s="11">
        <v>8.7999999999999995E-2</v>
      </c>
      <c r="D10" s="10">
        <v>2098</v>
      </c>
      <c r="E10" s="11">
        <v>0.13500000000000001</v>
      </c>
      <c r="F10" s="10">
        <v>391082</v>
      </c>
      <c r="G10" s="11">
        <v>0.157</v>
      </c>
      <c r="H10" s="11">
        <v>3.3000000000000002E-2</v>
      </c>
      <c r="I10" s="10">
        <v>106221370</v>
      </c>
      <c r="J10" s="12" t="s">
        <v>6222</v>
      </c>
      <c r="K10" s="10">
        <v>12805</v>
      </c>
      <c r="L10" s="12" t="s">
        <v>6223</v>
      </c>
      <c r="M10" s="10">
        <v>1547287821</v>
      </c>
      <c r="N10" s="10">
        <v>173865</v>
      </c>
      <c r="O10" s="12">
        <v>2</v>
      </c>
    </row>
    <row r="11" spans="1:15" ht="15" customHeight="1" x14ac:dyDescent="0.3">
      <c r="A11" s="9">
        <v>43578</v>
      </c>
      <c r="B11" s="12">
        <v>557</v>
      </c>
      <c r="C11" s="11">
        <v>8.5999999999999993E-2</v>
      </c>
      <c r="D11" s="10">
        <v>1980</v>
      </c>
      <c r="E11" s="11">
        <v>0.128</v>
      </c>
      <c r="F11" s="10">
        <v>367024</v>
      </c>
      <c r="G11" s="11">
        <v>0.14899999999999999</v>
      </c>
      <c r="H11" s="11">
        <v>2.9000000000000001E-2</v>
      </c>
      <c r="I11" s="10">
        <v>89977110</v>
      </c>
      <c r="J11" s="12" t="s">
        <v>6224</v>
      </c>
      <c r="K11" s="10">
        <v>10738</v>
      </c>
      <c r="L11" s="12" t="s">
        <v>6225</v>
      </c>
      <c r="M11" s="10">
        <v>1637264931</v>
      </c>
      <c r="N11" s="10">
        <v>184603</v>
      </c>
      <c r="O11" s="12">
        <v>2</v>
      </c>
    </row>
    <row r="12" spans="1:15" ht="15" customHeight="1" x14ac:dyDescent="0.3">
      <c r="A12" s="9">
        <v>43579</v>
      </c>
      <c r="B12" s="12">
        <v>183</v>
      </c>
      <c r="C12" s="11">
        <v>3.7999999999999999E-2</v>
      </c>
      <c r="D12" s="12">
        <v>275</v>
      </c>
      <c r="E12" s="11">
        <v>1.7999999999999999E-2</v>
      </c>
      <c r="F12" s="10">
        <v>33036</v>
      </c>
      <c r="G12" s="11">
        <v>1.4E-2</v>
      </c>
      <c r="H12" s="11">
        <v>9.0999999999999998E-2</v>
      </c>
      <c r="I12" s="10">
        <v>20137550</v>
      </c>
      <c r="J12" s="12" t="s">
        <v>6226</v>
      </c>
      <c r="K12" s="10">
        <v>3013</v>
      </c>
      <c r="L12" s="12" t="s">
        <v>6227</v>
      </c>
      <c r="M12" s="10">
        <v>1657402481</v>
      </c>
      <c r="N12" s="10">
        <v>187616</v>
      </c>
      <c r="O12" s="12">
        <v>5</v>
      </c>
    </row>
    <row r="13" spans="1:15" ht="15" customHeight="1" x14ac:dyDescent="0.3">
      <c r="A13" s="9">
        <v>43580</v>
      </c>
      <c r="B13" s="12">
        <v>160</v>
      </c>
      <c r="C13" s="11">
        <v>3.2000000000000001E-2</v>
      </c>
      <c r="D13" s="12">
        <v>234</v>
      </c>
      <c r="E13" s="11">
        <v>1.4999999999999999E-2</v>
      </c>
      <c r="F13" s="10">
        <v>27037</v>
      </c>
      <c r="G13" s="11">
        <v>1.0999999999999999E-2</v>
      </c>
      <c r="H13" s="11">
        <v>7.6999999999999999E-2</v>
      </c>
      <c r="I13" s="10">
        <v>17530920</v>
      </c>
      <c r="J13" s="12" t="s">
        <v>6228</v>
      </c>
      <c r="K13" s="10">
        <v>2081</v>
      </c>
      <c r="L13" s="12" t="s">
        <v>6229</v>
      </c>
      <c r="M13" s="10">
        <v>1674933401</v>
      </c>
      <c r="N13" s="10">
        <v>189697</v>
      </c>
      <c r="O13" s="12">
        <v>4</v>
      </c>
    </row>
    <row r="14" spans="1:15" ht="15" customHeight="1" x14ac:dyDescent="0.3">
      <c r="A14" s="9">
        <v>43581</v>
      </c>
      <c r="B14" s="12">
        <v>158</v>
      </c>
      <c r="C14" s="11">
        <v>3.2000000000000001E-2</v>
      </c>
      <c r="D14" s="12">
        <v>222</v>
      </c>
      <c r="E14" s="11">
        <v>1.4E-2</v>
      </c>
      <c r="F14" s="10">
        <v>26153</v>
      </c>
      <c r="G14" s="11">
        <v>1.0999999999999999E-2</v>
      </c>
      <c r="H14" s="11">
        <v>0.107</v>
      </c>
      <c r="I14" s="10">
        <v>25696740</v>
      </c>
      <c r="J14" s="12" t="s">
        <v>6230</v>
      </c>
      <c r="K14" s="10">
        <v>2805</v>
      </c>
      <c r="L14" s="12" t="s">
        <v>6231</v>
      </c>
      <c r="M14" s="10">
        <v>1700630141</v>
      </c>
      <c r="N14" s="10">
        <v>192502</v>
      </c>
      <c r="O14" s="12">
        <v>4</v>
      </c>
    </row>
    <row r="15" spans="1:15" ht="15" customHeight="1" x14ac:dyDescent="0.3">
      <c r="A15" s="9">
        <v>43582</v>
      </c>
      <c r="B15" s="12">
        <v>128</v>
      </c>
      <c r="C15" s="11">
        <v>2.5000000000000001E-2</v>
      </c>
      <c r="D15" s="12">
        <v>150</v>
      </c>
      <c r="E15" s="11">
        <v>8.9999999999999993E-3</v>
      </c>
      <c r="F15" s="10">
        <v>17482</v>
      </c>
      <c r="G15" s="11">
        <v>7.0000000000000001E-3</v>
      </c>
      <c r="H15" s="11">
        <v>0.156</v>
      </c>
      <c r="I15" s="10">
        <v>24038490</v>
      </c>
      <c r="J15" s="12" t="s">
        <v>6232</v>
      </c>
      <c r="K15" s="10">
        <v>2723</v>
      </c>
      <c r="L15" s="12" t="s">
        <v>6233</v>
      </c>
      <c r="M15" s="10">
        <v>1724668631</v>
      </c>
      <c r="N15" s="10">
        <v>195225</v>
      </c>
      <c r="O15" s="12">
        <v>5</v>
      </c>
    </row>
    <row r="16" spans="1:15" ht="15" customHeight="1" x14ac:dyDescent="0.3">
      <c r="A16" s="9">
        <v>43583</v>
      </c>
      <c r="B16" s="12">
        <v>125</v>
      </c>
      <c r="C16" s="11">
        <v>2.5000000000000001E-2</v>
      </c>
      <c r="D16" s="12">
        <v>140</v>
      </c>
      <c r="E16" s="11">
        <v>8.0000000000000002E-3</v>
      </c>
      <c r="F16" s="10">
        <v>16651</v>
      </c>
      <c r="G16" s="11">
        <v>7.0000000000000001E-3</v>
      </c>
      <c r="H16" s="11">
        <v>0.114</v>
      </c>
      <c r="I16" s="10">
        <v>16249170</v>
      </c>
      <c r="J16" s="12" t="s">
        <v>6234</v>
      </c>
      <c r="K16" s="10">
        <v>1900</v>
      </c>
      <c r="L16" s="12" t="s">
        <v>6235</v>
      </c>
      <c r="M16" s="10">
        <v>1740917801</v>
      </c>
      <c r="N16" s="10">
        <v>197125</v>
      </c>
      <c r="O16" s="12">
        <v>7</v>
      </c>
    </row>
    <row r="17" spans="1:15" ht="15" customHeight="1" x14ac:dyDescent="0.3">
      <c r="A17" s="9">
        <v>43584</v>
      </c>
      <c r="B17" s="12">
        <v>117</v>
      </c>
      <c r="C17" s="11">
        <v>2.4E-2</v>
      </c>
      <c r="D17" s="12">
        <v>143</v>
      </c>
      <c r="E17" s="11">
        <v>8.9999999999999993E-3</v>
      </c>
      <c r="F17" s="10">
        <v>16571</v>
      </c>
      <c r="G17" s="11">
        <v>7.0000000000000001E-3</v>
      </c>
      <c r="H17" s="11">
        <v>6.3E-2</v>
      </c>
      <c r="I17" s="10">
        <v>8376810</v>
      </c>
      <c r="J17" s="12" t="s">
        <v>6236</v>
      </c>
      <c r="K17" s="10">
        <v>1052</v>
      </c>
      <c r="L17" s="12" t="s">
        <v>6237</v>
      </c>
      <c r="M17" s="10">
        <v>1749294611</v>
      </c>
      <c r="N17" s="10">
        <v>198177</v>
      </c>
      <c r="O17" s="12">
        <v>11</v>
      </c>
    </row>
    <row r="18" spans="1:15" ht="15" customHeight="1" x14ac:dyDescent="0.3">
      <c r="A18" s="9">
        <v>43585</v>
      </c>
      <c r="B18" s="12">
        <v>123</v>
      </c>
      <c r="C18" s="11">
        <v>2.5000000000000001E-2</v>
      </c>
      <c r="D18" s="12">
        <v>151</v>
      </c>
      <c r="E18" s="11">
        <v>0.01</v>
      </c>
      <c r="F18" s="10">
        <v>17994</v>
      </c>
      <c r="G18" s="11">
        <v>7.0000000000000001E-3</v>
      </c>
      <c r="H18" s="11">
        <v>7.4999999999999997E-2</v>
      </c>
      <c r="I18" s="10">
        <v>10221650</v>
      </c>
      <c r="J18" s="12" t="s">
        <v>6238</v>
      </c>
      <c r="K18" s="10">
        <v>1353</v>
      </c>
      <c r="L18" s="12" t="s">
        <v>6239</v>
      </c>
      <c r="M18" s="10">
        <v>1759516261</v>
      </c>
      <c r="N18" s="10">
        <v>199530</v>
      </c>
      <c r="O18" s="12">
        <v>9</v>
      </c>
    </row>
    <row r="19" spans="1:15" ht="15" customHeight="1" x14ac:dyDescent="0.3">
      <c r="A19" s="9">
        <v>43586</v>
      </c>
      <c r="B19" s="12">
        <v>15</v>
      </c>
      <c r="C19" s="11">
        <v>3.0000000000000001E-3</v>
      </c>
      <c r="D19" s="12">
        <v>17</v>
      </c>
      <c r="E19" s="11">
        <v>1E-3</v>
      </c>
      <c r="F19" s="10">
        <v>2131</v>
      </c>
      <c r="G19" s="11">
        <v>1E-3</v>
      </c>
      <c r="H19" s="11">
        <v>8.5000000000000006E-2</v>
      </c>
      <c r="I19" s="10">
        <v>1425600</v>
      </c>
      <c r="J19" s="12" t="s">
        <v>6240</v>
      </c>
      <c r="K19" s="12">
        <v>181</v>
      </c>
      <c r="L19" s="12" t="s">
        <v>6241</v>
      </c>
      <c r="M19" s="10">
        <v>1760941861</v>
      </c>
      <c r="N19" s="10">
        <v>199711</v>
      </c>
      <c r="O19" s="12">
        <v>38</v>
      </c>
    </row>
    <row r="20" spans="1:15" ht="15" customHeight="1" x14ac:dyDescent="0.3">
      <c r="A20" s="9">
        <v>43587</v>
      </c>
      <c r="B20" s="12">
        <v>15</v>
      </c>
      <c r="C20" s="11">
        <v>3.0000000000000001E-3</v>
      </c>
      <c r="D20" s="12">
        <v>17</v>
      </c>
      <c r="E20" s="11">
        <v>1E-3</v>
      </c>
      <c r="F20" s="10">
        <v>1697</v>
      </c>
      <c r="G20" s="11">
        <v>1E-3</v>
      </c>
      <c r="H20" s="11">
        <v>0.186</v>
      </c>
      <c r="I20" s="10">
        <v>1956560</v>
      </c>
      <c r="J20" s="12" t="s">
        <v>6242</v>
      </c>
      <c r="K20" s="12">
        <v>316</v>
      </c>
      <c r="L20" s="12" t="s">
        <v>6243</v>
      </c>
      <c r="M20" s="10">
        <v>1762898421</v>
      </c>
      <c r="N20" s="10">
        <v>200027</v>
      </c>
      <c r="O20" s="12">
        <v>25</v>
      </c>
    </row>
    <row r="21" spans="1:15" ht="15" customHeight="1" x14ac:dyDescent="0.3">
      <c r="A21" s="9">
        <v>43588</v>
      </c>
      <c r="B21" s="12">
        <v>12</v>
      </c>
      <c r="C21" s="11">
        <v>2E-3</v>
      </c>
      <c r="D21" s="12">
        <v>15</v>
      </c>
      <c r="E21" s="11">
        <v>1E-3</v>
      </c>
      <c r="F21" s="10">
        <v>1553</v>
      </c>
      <c r="G21" s="11">
        <v>1E-3</v>
      </c>
      <c r="H21" s="11">
        <v>0.13700000000000001</v>
      </c>
      <c r="I21" s="10">
        <v>1586600</v>
      </c>
      <c r="J21" s="12" t="s">
        <v>6244</v>
      </c>
      <c r="K21" s="12">
        <v>213</v>
      </c>
      <c r="L21" s="12" t="s">
        <v>6245</v>
      </c>
      <c r="M21" s="10">
        <v>1764485021</v>
      </c>
      <c r="N21" s="10">
        <v>200240</v>
      </c>
      <c r="O21" s="12">
        <v>29</v>
      </c>
    </row>
    <row r="22" spans="1:15" ht="15" customHeight="1" x14ac:dyDescent="0.3">
      <c r="A22" s="9">
        <v>43589</v>
      </c>
      <c r="B22" s="12">
        <v>9</v>
      </c>
      <c r="C22" s="11">
        <v>2E-3</v>
      </c>
      <c r="D22" s="12">
        <v>10</v>
      </c>
      <c r="E22" s="11">
        <v>1E-3</v>
      </c>
      <c r="F22" s="10">
        <v>1058</v>
      </c>
      <c r="G22" s="11">
        <v>0</v>
      </c>
      <c r="H22" s="11">
        <v>8.8999999999999996E-2</v>
      </c>
      <c r="I22" s="10">
        <v>793500</v>
      </c>
      <c r="J22" s="12" t="s">
        <v>6246</v>
      </c>
      <c r="K22" s="12">
        <v>94</v>
      </c>
      <c r="L22" s="12" t="s">
        <v>6247</v>
      </c>
      <c r="M22" s="10">
        <v>1765278521</v>
      </c>
      <c r="N22" s="10">
        <v>200334</v>
      </c>
      <c r="O22" s="12">
        <v>39</v>
      </c>
    </row>
    <row r="23" spans="1:15" ht="15" customHeight="1" x14ac:dyDescent="0.3">
      <c r="A23" s="9">
        <v>43590</v>
      </c>
      <c r="B23" s="12">
        <v>10</v>
      </c>
      <c r="C23" s="11">
        <v>2E-3</v>
      </c>
      <c r="D23" s="12">
        <v>12</v>
      </c>
      <c r="E23" s="11">
        <v>1E-3</v>
      </c>
      <c r="F23" s="10">
        <v>1358</v>
      </c>
      <c r="G23" s="11">
        <v>0</v>
      </c>
      <c r="H23" s="11">
        <v>8.5000000000000006E-2</v>
      </c>
      <c r="I23" s="10">
        <v>972000</v>
      </c>
      <c r="J23" s="12" t="s">
        <v>6248</v>
      </c>
      <c r="K23" s="12">
        <v>116</v>
      </c>
      <c r="L23" s="12" t="s">
        <v>6249</v>
      </c>
      <c r="M23" s="10">
        <v>1766250521</v>
      </c>
      <c r="N23" s="10">
        <v>200450</v>
      </c>
      <c r="O23" s="12">
        <v>36</v>
      </c>
    </row>
    <row r="24" spans="1:15" ht="15" customHeight="1" x14ac:dyDescent="0.3">
      <c r="A24" s="9">
        <v>43591</v>
      </c>
      <c r="B24" s="12">
        <v>10</v>
      </c>
      <c r="C24" s="11">
        <v>2E-3</v>
      </c>
      <c r="D24" s="12">
        <v>11</v>
      </c>
      <c r="E24" s="11">
        <v>1E-3</v>
      </c>
      <c r="F24" s="10">
        <v>1186</v>
      </c>
      <c r="G24" s="11">
        <v>0</v>
      </c>
      <c r="H24" s="11">
        <v>7.0999999999999994E-2</v>
      </c>
      <c r="I24" s="10">
        <v>698300</v>
      </c>
      <c r="J24" s="12" t="s">
        <v>6250</v>
      </c>
      <c r="K24" s="12">
        <v>84</v>
      </c>
      <c r="L24" s="12" t="s">
        <v>6251</v>
      </c>
      <c r="M24" s="10">
        <v>1766948821</v>
      </c>
      <c r="N24" s="10">
        <v>200534</v>
      </c>
      <c r="O24" s="12">
        <v>43</v>
      </c>
    </row>
    <row r="25" spans="1:15" ht="15" customHeight="1" x14ac:dyDescent="0.3">
      <c r="A25" s="9">
        <v>43592</v>
      </c>
      <c r="B25" s="12">
        <v>15</v>
      </c>
      <c r="C25" s="11">
        <v>3.0000000000000001E-3</v>
      </c>
      <c r="D25" s="12">
        <v>16</v>
      </c>
      <c r="E25" s="11">
        <v>1E-3</v>
      </c>
      <c r="F25" s="10">
        <v>1778</v>
      </c>
      <c r="G25" s="11">
        <v>1E-3</v>
      </c>
      <c r="H25" s="11">
        <v>5.5E-2</v>
      </c>
      <c r="I25" s="10">
        <v>790100</v>
      </c>
      <c r="J25" s="12" t="s">
        <v>6252</v>
      </c>
      <c r="K25" s="12">
        <v>98</v>
      </c>
      <c r="L25" s="12" t="s">
        <v>6253</v>
      </c>
      <c r="M25" s="10">
        <v>1767738921</v>
      </c>
      <c r="N25" s="10">
        <v>200632</v>
      </c>
      <c r="O25" s="12">
        <v>36</v>
      </c>
    </row>
    <row r="26" spans="1:15" ht="15" customHeight="1" x14ac:dyDescent="0.3">
      <c r="A26" s="9">
        <v>43593</v>
      </c>
      <c r="B26" s="12">
        <v>12</v>
      </c>
      <c r="C26" s="11">
        <v>3.0000000000000001E-3</v>
      </c>
      <c r="D26" s="12">
        <v>13</v>
      </c>
      <c r="E26" s="11">
        <v>1E-3</v>
      </c>
      <c r="F26" s="10">
        <v>1502</v>
      </c>
      <c r="G26" s="11">
        <v>1E-3</v>
      </c>
      <c r="H26" s="11">
        <v>3.9E-2</v>
      </c>
      <c r="I26" s="10">
        <v>477000</v>
      </c>
      <c r="J26" s="12" t="s">
        <v>6254</v>
      </c>
      <c r="K26" s="12">
        <v>59</v>
      </c>
      <c r="L26" s="12" t="s">
        <v>6255</v>
      </c>
      <c r="M26" s="10">
        <v>1768215921</v>
      </c>
      <c r="N26" s="10">
        <v>200691</v>
      </c>
      <c r="O26" s="12">
        <v>55</v>
      </c>
    </row>
    <row r="27" spans="1:15" ht="15" customHeight="1" x14ac:dyDescent="0.3">
      <c r="A27" s="9">
        <v>43594</v>
      </c>
      <c r="B27" s="12">
        <v>1</v>
      </c>
      <c r="C27" s="11">
        <v>0</v>
      </c>
      <c r="D27" s="12">
        <v>1</v>
      </c>
      <c r="E27" s="11">
        <v>0</v>
      </c>
      <c r="F27" s="12">
        <v>81</v>
      </c>
      <c r="G27" s="11">
        <v>0</v>
      </c>
      <c r="H27" s="11">
        <v>9.9000000000000005E-2</v>
      </c>
      <c r="I27" s="10">
        <v>60000</v>
      </c>
      <c r="J27" s="12" t="s">
        <v>6256</v>
      </c>
      <c r="K27" s="12">
        <v>8</v>
      </c>
      <c r="L27" s="12" t="s">
        <v>6257</v>
      </c>
      <c r="M27" s="10">
        <v>1768275921</v>
      </c>
      <c r="N27" s="10">
        <v>200699</v>
      </c>
      <c r="O27" s="12">
        <v>83</v>
      </c>
    </row>
    <row r="28" spans="1:15" ht="15" customHeight="1" x14ac:dyDescent="0.3">
      <c r="A28" s="9">
        <v>43595</v>
      </c>
      <c r="B28" s="12">
        <v>2</v>
      </c>
      <c r="C28" s="11">
        <v>0</v>
      </c>
      <c r="D28" s="12">
        <v>2</v>
      </c>
      <c r="E28" s="11">
        <v>0</v>
      </c>
      <c r="F28" s="12">
        <v>184</v>
      </c>
      <c r="G28" s="11">
        <v>0</v>
      </c>
      <c r="H28" s="11">
        <v>5.3999999999999999E-2</v>
      </c>
      <c r="I28" s="10">
        <v>85500</v>
      </c>
      <c r="J28" s="12" t="s">
        <v>6258</v>
      </c>
      <c r="K28" s="12">
        <v>10</v>
      </c>
      <c r="L28" s="12" t="s">
        <v>6259</v>
      </c>
      <c r="M28" s="10">
        <v>1768361421</v>
      </c>
      <c r="N28" s="10">
        <v>200709</v>
      </c>
      <c r="O28" s="12">
        <v>80</v>
      </c>
    </row>
    <row r="29" spans="1:15" ht="15" customHeight="1" x14ac:dyDescent="0.3">
      <c r="A29" s="9">
        <v>43596</v>
      </c>
      <c r="B29" s="12">
        <v>2</v>
      </c>
      <c r="C29" s="11">
        <v>0</v>
      </c>
      <c r="D29" s="12">
        <v>2</v>
      </c>
      <c r="E29" s="11">
        <v>0</v>
      </c>
      <c r="F29" s="12">
        <v>184</v>
      </c>
      <c r="G29" s="11">
        <v>0</v>
      </c>
      <c r="H29" s="11">
        <v>8.6999999999999994E-2</v>
      </c>
      <c r="I29" s="10">
        <v>152800</v>
      </c>
      <c r="J29" s="12" t="s">
        <v>6260</v>
      </c>
      <c r="K29" s="12">
        <v>16</v>
      </c>
      <c r="L29" s="12" t="s">
        <v>6261</v>
      </c>
      <c r="M29" s="10">
        <v>1768514221</v>
      </c>
      <c r="N29" s="10">
        <v>200725</v>
      </c>
      <c r="O29" s="12">
        <v>76</v>
      </c>
    </row>
    <row r="30" spans="1:15" ht="15" customHeight="1" x14ac:dyDescent="0.3">
      <c r="A30" s="9">
        <v>43597</v>
      </c>
      <c r="B30" s="12">
        <v>2</v>
      </c>
      <c r="C30" s="11">
        <v>0</v>
      </c>
      <c r="D30" s="12">
        <v>2</v>
      </c>
      <c r="E30" s="11">
        <v>0</v>
      </c>
      <c r="F30" s="12">
        <v>184</v>
      </c>
      <c r="G30" s="11">
        <v>0</v>
      </c>
      <c r="H30" s="11">
        <v>8.6999999999999994E-2</v>
      </c>
      <c r="I30" s="10">
        <v>140000</v>
      </c>
      <c r="J30" s="12" t="s">
        <v>6262</v>
      </c>
      <c r="K30" s="12">
        <v>16</v>
      </c>
      <c r="L30" s="12" t="s">
        <v>292</v>
      </c>
      <c r="M30" s="10">
        <v>1768654221</v>
      </c>
      <c r="N30" s="10">
        <v>200741</v>
      </c>
      <c r="O30" s="12">
        <v>74</v>
      </c>
    </row>
    <row r="31" spans="1:15" ht="15" customHeight="1" x14ac:dyDescent="0.3">
      <c r="A31" s="9">
        <v>43598</v>
      </c>
      <c r="B31" s="12">
        <v>1</v>
      </c>
      <c r="C31" s="11">
        <v>0</v>
      </c>
      <c r="D31" s="12">
        <v>1</v>
      </c>
      <c r="E31" s="11">
        <v>0</v>
      </c>
      <c r="F31" s="12">
        <v>81</v>
      </c>
      <c r="G31" s="11">
        <v>0</v>
      </c>
      <c r="H31" s="11">
        <v>8.5999999999999993E-2</v>
      </c>
      <c r="I31" s="10">
        <v>51000</v>
      </c>
      <c r="J31" s="12" t="s">
        <v>6263</v>
      </c>
      <c r="K31" s="12">
        <v>7</v>
      </c>
      <c r="L31" s="12" t="s">
        <v>6264</v>
      </c>
      <c r="M31" s="10">
        <v>1768705221</v>
      </c>
      <c r="N31" s="10">
        <v>200748</v>
      </c>
      <c r="O31" s="12">
        <v>77</v>
      </c>
    </row>
    <row r="32" spans="1:15" ht="15" customHeight="1" x14ac:dyDescent="0.3">
      <c r="A32" s="9">
        <v>43599</v>
      </c>
      <c r="B32" s="12">
        <v>1</v>
      </c>
      <c r="C32" s="11">
        <v>0</v>
      </c>
      <c r="D32" s="12">
        <v>1</v>
      </c>
      <c r="E32" s="11">
        <v>0</v>
      </c>
      <c r="F32" s="12">
        <v>81</v>
      </c>
      <c r="G32" s="11">
        <v>0</v>
      </c>
      <c r="H32" s="11">
        <v>4.9000000000000002E-2</v>
      </c>
      <c r="I32" s="10">
        <v>36000</v>
      </c>
      <c r="J32" s="12" t="s">
        <v>6265</v>
      </c>
      <c r="K32" s="12">
        <v>4</v>
      </c>
      <c r="L32" s="12" t="s">
        <v>5960</v>
      </c>
      <c r="M32" s="10">
        <v>1768741221</v>
      </c>
      <c r="N32" s="10">
        <v>200752</v>
      </c>
      <c r="O32" s="12">
        <v>83</v>
      </c>
    </row>
    <row r="33" spans="1:15" ht="15" customHeight="1" x14ac:dyDescent="0.3">
      <c r="A33" s="9">
        <v>43601</v>
      </c>
      <c r="B33" s="12">
        <v>1</v>
      </c>
      <c r="C33" s="11">
        <v>0</v>
      </c>
      <c r="D33" s="12">
        <v>1</v>
      </c>
      <c r="E33" s="11">
        <v>0</v>
      </c>
      <c r="F33" s="12">
        <v>164</v>
      </c>
      <c r="G33" s="11">
        <v>0</v>
      </c>
      <c r="H33" s="11">
        <v>6.0000000000000001E-3</v>
      </c>
      <c r="I33" s="10">
        <v>5000</v>
      </c>
      <c r="J33" s="12" t="s">
        <v>584</v>
      </c>
      <c r="K33" s="12">
        <v>1</v>
      </c>
      <c r="L33" s="12" t="s">
        <v>312</v>
      </c>
      <c r="M33" s="10">
        <v>1768746221</v>
      </c>
      <c r="N33" s="10">
        <v>200753</v>
      </c>
      <c r="O33" s="12">
        <v>98</v>
      </c>
    </row>
    <row r="34" spans="1:15" ht="15" customHeight="1" x14ac:dyDescent="0.3">
      <c r="A34" s="9">
        <v>43602</v>
      </c>
      <c r="B34" s="12">
        <v>1</v>
      </c>
      <c r="C34" s="11">
        <v>0</v>
      </c>
      <c r="D34" s="12">
        <v>1</v>
      </c>
      <c r="E34" s="11">
        <v>0</v>
      </c>
      <c r="F34" s="12">
        <v>164</v>
      </c>
      <c r="G34" s="11">
        <v>0</v>
      </c>
      <c r="H34" s="11">
        <v>6.0000000000000001E-3</v>
      </c>
      <c r="I34" s="10">
        <v>5000</v>
      </c>
      <c r="J34" s="12" t="s">
        <v>292</v>
      </c>
      <c r="K34" s="12">
        <v>1</v>
      </c>
      <c r="L34" s="12" t="s">
        <v>292</v>
      </c>
      <c r="M34" s="10">
        <v>1768751221</v>
      </c>
      <c r="N34" s="10">
        <v>200754</v>
      </c>
      <c r="O34" s="12">
        <v>113</v>
      </c>
    </row>
    <row r="35" spans="1:15" ht="15" customHeight="1" x14ac:dyDescent="0.3">
      <c r="A35" s="9">
        <v>43603</v>
      </c>
      <c r="B35" s="12">
        <v>1</v>
      </c>
      <c r="C35" s="11">
        <v>0</v>
      </c>
      <c r="D35" s="12">
        <v>1</v>
      </c>
      <c r="E35" s="11">
        <v>0</v>
      </c>
      <c r="F35" s="12">
        <v>164</v>
      </c>
      <c r="G35" s="11">
        <v>0</v>
      </c>
      <c r="H35" s="11">
        <v>6.0000000000000001E-3</v>
      </c>
      <c r="I35" s="10">
        <v>5000</v>
      </c>
      <c r="J35" s="12" t="s">
        <v>292</v>
      </c>
      <c r="K35" s="12">
        <v>1</v>
      </c>
      <c r="L35" s="12" t="s">
        <v>292</v>
      </c>
      <c r="M35" s="10">
        <v>1768756221</v>
      </c>
      <c r="N35" s="10">
        <v>200755</v>
      </c>
      <c r="O35" s="12">
        <v>100</v>
      </c>
    </row>
    <row r="36" spans="1:15" ht="15" customHeight="1" x14ac:dyDescent="0.3">
      <c r="A36" s="9">
        <v>43604</v>
      </c>
      <c r="B36" s="12">
        <v>1</v>
      </c>
      <c r="C36" s="11">
        <v>0</v>
      </c>
      <c r="D36" s="12">
        <v>1</v>
      </c>
      <c r="E36" s="11">
        <v>0</v>
      </c>
      <c r="F36" s="12">
        <v>164</v>
      </c>
      <c r="G36" s="11">
        <v>0</v>
      </c>
      <c r="H36" s="11">
        <v>6.0000000000000001E-3</v>
      </c>
      <c r="I36" s="10">
        <v>5000</v>
      </c>
      <c r="J36" s="12" t="s">
        <v>292</v>
      </c>
      <c r="K36" s="12">
        <v>1</v>
      </c>
      <c r="L36" s="12" t="s">
        <v>292</v>
      </c>
      <c r="M36" s="10">
        <v>1768761221</v>
      </c>
      <c r="N36" s="10">
        <v>200756</v>
      </c>
      <c r="O36" s="12">
        <v>95</v>
      </c>
    </row>
    <row r="37" spans="1:15" ht="15" customHeight="1" x14ac:dyDescent="0.3">
      <c r="A37" s="9">
        <v>43621</v>
      </c>
      <c r="B37" s="12">
        <v>3</v>
      </c>
      <c r="C37" s="11">
        <v>1E-3</v>
      </c>
      <c r="D37" s="12">
        <v>3</v>
      </c>
      <c r="E37" s="11">
        <v>0</v>
      </c>
      <c r="F37" s="10">
        <v>1049</v>
      </c>
      <c r="G37" s="11">
        <v>0</v>
      </c>
      <c r="H37" s="11">
        <v>0.95299999999999996</v>
      </c>
      <c r="I37" s="10">
        <v>8174000</v>
      </c>
      <c r="J37" s="12" t="s">
        <v>6266</v>
      </c>
      <c r="K37" s="10">
        <v>1000</v>
      </c>
      <c r="L37" s="12" t="s">
        <v>6267</v>
      </c>
      <c r="M37" s="10">
        <v>1776935221</v>
      </c>
      <c r="N37" s="10">
        <v>201756</v>
      </c>
      <c r="O37" s="12">
        <v>12</v>
      </c>
    </row>
    <row r="38" spans="1:15" ht="15" customHeight="1" x14ac:dyDescent="0.3">
      <c r="A38" s="9">
        <v>43626</v>
      </c>
      <c r="B38" s="12">
        <v>4</v>
      </c>
      <c r="C38" s="11">
        <v>1E-3</v>
      </c>
      <c r="D38" s="12">
        <v>4</v>
      </c>
      <c r="E38" s="11">
        <v>0</v>
      </c>
      <c r="F38" s="10">
        <v>1058</v>
      </c>
      <c r="G38" s="11">
        <v>0</v>
      </c>
      <c r="H38" s="11">
        <v>0.94499999999999995</v>
      </c>
      <c r="I38" s="10">
        <v>8000000</v>
      </c>
      <c r="J38" s="12" t="s">
        <v>6268</v>
      </c>
      <c r="K38" s="10">
        <v>1000</v>
      </c>
      <c r="L38" s="12" t="s">
        <v>6267</v>
      </c>
      <c r="M38" s="10">
        <v>1784935221</v>
      </c>
      <c r="N38" s="10">
        <v>202756</v>
      </c>
      <c r="O38" s="12">
        <v>10</v>
      </c>
    </row>
    <row r="39" spans="1:15" ht="15" customHeight="1" x14ac:dyDescent="0.3"/>
    <row r="40" spans="1:15" ht="15" customHeight="1" x14ac:dyDescent="0.3"/>
    <row r="41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C9108-D632-466C-B4B8-E655E40EB365}">
  <dimension ref="A1:O56"/>
  <sheetViews>
    <sheetView showGridLines="0" workbookViewId="0">
      <selection activeCell="A5" sqref="A5:O13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6.37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6453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43566</v>
      </c>
      <c r="B5" s="12">
        <v>227</v>
      </c>
      <c r="C5" s="11">
        <v>3.6999999999999998E-2</v>
      </c>
      <c r="D5" s="12">
        <v>938</v>
      </c>
      <c r="E5" s="11">
        <v>5.3999999999999999E-2</v>
      </c>
      <c r="F5" s="10">
        <v>168008</v>
      </c>
      <c r="G5" s="11">
        <v>6.2E-2</v>
      </c>
      <c r="H5" s="11">
        <v>6.6000000000000003E-2</v>
      </c>
      <c r="I5" s="10">
        <v>86503500</v>
      </c>
      <c r="J5" s="12" t="s">
        <v>6454</v>
      </c>
      <c r="K5" s="10">
        <v>11016</v>
      </c>
      <c r="L5" s="12" t="s">
        <v>6455</v>
      </c>
      <c r="M5" s="10">
        <v>176717300</v>
      </c>
      <c r="N5" s="10">
        <v>21621</v>
      </c>
      <c r="O5" s="12">
        <v>6</v>
      </c>
    </row>
    <row r="6" spans="1:15" ht="15" customHeight="1" x14ac:dyDescent="0.3">
      <c r="A6" s="9">
        <v>43567</v>
      </c>
      <c r="B6" s="12">
        <v>235</v>
      </c>
      <c r="C6" s="11">
        <v>3.6999999999999998E-2</v>
      </c>
      <c r="D6" s="12">
        <v>944</v>
      </c>
      <c r="E6" s="11">
        <v>5.2999999999999999E-2</v>
      </c>
      <c r="F6" s="10">
        <v>168016</v>
      </c>
      <c r="G6" s="11">
        <v>0.06</v>
      </c>
      <c r="H6" s="11">
        <v>0.08</v>
      </c>
      <c r="I6" s="10">
        <v>114939300</v>
      </c>
      <c r="J6" s="12" t="s">
        <v>6456</v>
      </c>
      <c r="K6" s="10">
        <v>13494</v>
      </c>
      <c r="L6" s="12" t="s">
        <v>6457</v>
      </c>
      <c r="M6" s="10">
        <v>291656600</v>
      </c>
      <c r="N6" s="10">
        <v>35115</v>
      </c>
      <c r="O6" s="12">
        <v>6</v>
      </c>
    </row>
    <row r="7" spans="1:15" ht="15" customHeight="1" x14ac:dyDescent="0.3">
      <c r="A7" s="9">
        <v>43568</v>
      </c>
      <c r="B7" s="12">
        <v>241</v>
      </c>
      <c r="C7" s="11">
        <v>3.5000000000000003E-2</v>
      </c>
      <c r="D7" s="12">
        <v>949</v>
      </c>
      <c r="E7" s="11">
        <v>4.9000000000000002E-2</v>
      </c>
      <c r="F7" s="10">
        <v>165361</v>
      </c>
      <c r="G7" s="11">
        <v>5.5E-2</v>
      </c>
      <c r="H7" s="11">
        <v>0.13400000000000001</v>
      </c>
      <c r="I7" s="10">
        <v>195826300</v>
      </c>
      <c r="J7" s="12" t="s">
        <v>6458</v>
      </c>
      <c r="K7" s="10">
        <v>22198</v>
      </c>
      <c r="L7" s="12" t="s">
        <v>6459</v>
      </c>
      <c r="M7" s="10">
        <v>487482900</v>
      </c>
      <c r="N7" s="10">
        <v>57313</v>
      </c>
      <c r="O7" s="12">
        <v>6</v>
      </c>
    </row>
    <row r="8" spans="1:15" ht="15" customHeight="1" x14ac:dyDescent="0.3">
      <c r="A8" s="9">
        <v>43569</v>
      </c>
      <c r="B8" s="12">
        <v>238</v>
      </c>
      <c r="C8" s="11">
        <v>3.4000000000000002E-2</v>
      </c>
      <c r="D8" s="12">
        <v>915</v>
      </c>
      <c r="E8" s="11">
        <v>4.9000000000000002E-2</v>
      </c>
      <c r="F8" s="10">
        <v>158989</v>
      </c>
      <c r="G8" s="11">
        <v>5.3999999999999999E-2</v>
      </c>
      <c r="H8" s="11">
        <v>0.126</v>
      </c>
      <c r="I8" s="10">
        <v>177924600</v>
      </c>
      <c r="J8" s="12" t="s">
        <v>6460</v>
      </c>
      <c r="K8" s="10">
        <v>20075</v>
      </c>
      <c r="L8" s="12" t="s">
        <v>6461</v>
      </c>
      <c r="M8" s="10">
        <v>665407500</v>
      </c>
      <c r="N8" s="10">
        <v>77388</v>
      </c>
      <c r="O8" s="12">
        <v>6</v>
      </c>
    </row>
    <row r="9" spans="1:15" ht="15" customHeight="1" x14ac:dyDescent="0.3">
      <c r="A9" s="9">
        <v>43570</v>
      </c>
      <c r="B9" s="12">
        <v>225</v>
      </c>
      <c r="C9" s="11">
        <v>3.7999999999999999E-2</v>
      </c>
      <c r="D9" s="12">
        <v>811</v>
      </c>
      <c r="E9" s="11">
        <v>0.05</v>
      </c>
      <c r="F9" s="10">
        <v>143809</v>
      </c>
      <c r="G9" s="11">
        <v>5.6000000000000001E-2</v>
      </c>
      <c r="H9" s="11">
        <v>4.4999999999999998E-2</v>
      </c>
      <c r="I9" s="10">
        <v>52250000</v>
      </c>
      <c r="J9" s="12" t="s">
        <v>6462</v>
      </c>
      <c r="K9" s="10">
        <v>6494</v>
      </c>
      <c r="L9" s="12" t="s">
        <v>6463</v>
      </c>
      <c r="M9" s="10">
        <v>717657500</v>
      </c>
      <c r="N9" s="10">
        <v>83882</v>
      </c>
      <c r="O9" s="12">
        <v>6</v>
      </c>
    </row>
    <row r="10" spans="1:15" ht="15" customHeight="1" x14ac:dyDescent="0.3">
      <c r="A10" s="9">
        <v>43571</v>
      </c>
      <c r="B10" s="12">
        <v>226</v>
      </c>
      <c r="C10" s="11">
        <v>3.7999999999999999E-2</v>
      </c>
      <c r="D10" s="12">
        <v>796</v>
      </c>
      <c r="E10" s="11">
        <v>0.05</v>
      </c>
      <c r="F10" s="10">
        <v>141274</v>
      </c>
      <c r="G10" s="11">
        <v>5.6000000000000001E-2</v>
      </c>
      <c r="H10" s="11">
        <v>4.2000000000000003E-2</v>
      </c>
      <c r="I10" s="10">
        <v>48050500</v>
      </c>
      <c r="J10" s="12" t="s">
        <v>6464</v>
      </c>
      <c r="K10" s="10">
        <v>5891</v>
      </c>
      <c r="L10" s="12" t="s">
        <v>6465</v>
      </c>
      <c r="M10" s="10">
        <v>765708000</v>
      </c>
      <c r="N10" s="10">
        <v>89773</v>
      </c>
      <c r="O10" s="12">
        <v>7</v>
      </c>
    </row>
    <row r="11" spans="1:15" ht="15" customHeight="1" x14ac:dyDescent="0.3">
      <c r="A11" s="9">
        <v>43572</v>
      </c>
      <c r="B11" s="12">
        <v>193</v>
      </c>
      <c r="C11" s="11">
        <v>3.3000000000000002E-2</v>
      </c>
      <c r="D11" s="12">
        <v>638</v>
      </c>
      <c r="E11" s="11">
        <v>3.7999999999999999E-2</v>
      </c>
      <c r="F11" s="10">
        <v>112524</v>
      </c>
      <c r="G11" s="11">
        <v>4.2999999999999997E-2</v>
      </c>
      <c r="H11" s="11">
        <v>4.8000000000000001E-2</v>
      </c>
      <c r="I11" s="10">
        <v>43458300</v>
      </c>
      <c r="J11" s="12" t="s">
        <v>6466</v>
      </c>
      <c r="K11" s="10">
        <v>5363</v>
      </c>
      <c r="L11" s="12" t="s">
        <v>6467</v>
      </c>
      <c r="M11" s="10">
        <v>809166300</v>
      </c>
      <c r="N11" s="10">
        <v>95136</v>
      </c>
      <c r="O11" s="12">
        <v>7</v>
      </c>
    </row>
    <row r="12" spans="1:15" ht="15" customHeight="1" x14ac:dyDescent="0.3">
      <c r="A12" s="9">
        <v>43573</v>
      </c>
      <c r="B12" s="12">
        <v>182</v>
      </c>
      <c r="C12" s="11">
        <v>2.8000000000000001E-2</v>
      </c>
      <c r="D12" s="12">
        <v>516</v>
      </c>
      <c r="E12" s="11">
        <v>3.1E-2</v>
      </c>
      <c r="F12" s="10">
        <v>92684</v>
      </c>
      <c r="G12" s="11">
        <v>3.5000000000000003E-2</v>
      </c>
      <c r="H12" s="11">
        <v>4.2000000000000003E-2</v>
      </c>
      <c r="I12" s="10">
        <v>31218900</v>
      </c>
      <c r="J12" s="12" t="s">
        <v>6468</v>
      </c>
      <c r="K12" s="10">
        <v>3906</v>
      </c>
      <c r="L12" s="12" t="s">
        <v>6469</v>
      </c>
      <c r="M12" s="10">
        <v>840385200</v>
      </c>
      <c r="N12" s="10">
        <v>99042</v>
      </c>
      <c r="O12" s="12">
        <v>9</v>
      </c>
    </row>
    <row r="13" spans="1:15" ht="15" customHeight="1" x14ac:dyDescent="0.3">
      <c r="A13" s="9">
        <v>43574</v>
      </c>
      <c r="B13" s="12">
        <v>184</v>
      </c>
      <c r="C13" s="11">
        <v>2.7E-2</v>
      </c>
      <c r="D13" s="12">
        <v>543</v>
      </c>
      <c r="E13" s="11">
        <v>3.1E-2</v>
      </c>
      <c r="F13" s="10">
        <v>95516</v>
      </c>
      <c r="G13" s="11">
        <v>3.5000000000000003E-2</v>
      </c>
      <c r="H13" s="11">
        <v>5.7000000000000002E-2</v>
      </c>
      <c r="I13" s="10">
        <v>46930300</v>
      </c>
      <c r="J13" s="12" t="s">
        <v>6470</v>
      </c>
      <c r="K13" s="10">
        <v>5429</v>
      </c>
      <c r="L13" s="12" t="s">
        <v>6471</v>
      </c>
      <c r="M13" s="10">
        <v>887315500</v>
      </c>
      <c r="N13" s="10">
        <v>104471</v>
      </c>
      <c r="O13" s="12">
        <v>9</v>
      </c>
    </row>
    <row r="14" spans="1:15" ht="15" customHeight="1" x14ac:dyDescent="0.3">
      <c r="A14" s="9">
        <v>43575</v>
      </c>
      <c r="B14" s="12">
        <v>192</v>
      </c>
      <c r="C14" s="11">
        <v>2.5000000000000001E-2</v>
      </c>
      <c r="D14" s="12">
        <v>557</v>
      </c>
      <c r="E14" s="11">
        <v>2.9000000000000001E-2</v>
      </c>
      <c r="F14" s="10">
        <v>96363</v>
      </c>
      <c r="G14" s="11">
        <v>3.2000000000000001E-2</v>
      </c>
      <c r="H14" s="11">
        <v>9.6000000000000002E-2</v>
      </c>
      <c r="I14" s="10">
        <v>80318100</v>
      </c>
      <c r="J14" s="12" t="s">
        <v>6472</v>
      </c>
      <c r="K14" s="10">
        <v>9272</v>
      </c>
      <c r="L14" s="12" t="s">
        <v>6473</v>
      </c>
      <c r="M14" s="10">
        <v>967633600</v>
      </c>
      <c r="N14" s="10">
        <v>113743</v>
      </c>
      <c r="O14" s="12">
        <v>10</v>
      </c>
    </row>
    <row r="15" spans="1:15" ht="15" customHeight="1" x14ac:dyDescent="0.3">
      <c r="A15" s="9">
        <v>43576</v>
      </c>
      <c r="B15" s="12">
        <v>192</v>
      </c>
      <c r="C15" s="11">
        <v>2.5999999999999999E-2</v>
      </c>
      <c r="D15" s="12">
        <v>535</v>
      </c>
      <c r="E15" s="11">
        <v>2.9000000000000001E-2</v>
      </c>
      <c r="F15" s="10">
        <v>93381</v>
      </c>
      <c r="G15" s="11">
        <v>3.2000000000000001E-2</v>
      </c>
      <c r="H15" s="11">
        <v>8.4000000000000005E-2</v>
      </c>
      <c r="I15" s="10">
        <v>67217600</v>
      </c>
      <c r="J15" s="12" t="s">
        <v>6474</v>
      </c>
      <c r="K15" s="10">
        <v>7840</v>
      </c>
      <c r="L15" s="12" t="s">
        <v>6475</v>
      </c>
      <c r="M15" s="10">
        <v>1034851200</v>
      </c>
      <c r="N15" s="10">
        <v>121583</v>
      </c>
      <c r="O15" s="12">
        <v>10</v>
      </c>
    </row>
    <row r="16" spans="1:15" ht="15" customHeight="1" x14ac:dyDescent="0.3">
      <c r="A16" s="9">
        <v>43577</v>
      </c>
      <c r="B16" s="12">
        <v>179</v>
      </c>
      <c r="C16" s="11">
        <v>2.8000000000000001E-2</v>
      </c>
      <c r="D16" s="12">
        <v>467</v>
      </c>
      <c r="E16" s="11">
        <v>0.03</v>
      </c>
      <c r="F16" s="10">
        <v>83788</v>
      </c>
      <c r="G16" s="11">
        <v>3.4000000000000002E-2</v>
      </c>
      <c r="H16" s="11">
        <v>3.1E-2</v>
      </c>
      <c r="I16" s="10">
        <v>21215000</v>
      </c>
      <c r="J16" s="12" t="s">
        <v>6476</v>
      </c>
      <c r="K16" s="10">
        <v>2629</v>
      </c>
      <c r="L16" s="12" t="s">
        <v>6477</v>
      </c>
      <c r="M16" s="10">
        <v>1056066200</v>
      </c>
      <c r="N16" s="10">
        <v>124212</v>
      </c>
      <c r="O16" s="12">
        <v>11</v>
      </c>
    </row>
    <row r="17" spans="1:15" ht="15" customHeight="1" x14ac:dyDescent="0.3">
      <c r="A17" s="9">
        <v>43578</v>
      </c>
      <c r="B17" s="12">
        <v>174</v>
      </c>
      <c r="C17" s="11">
        <v>2.7E-2</v>
      </c>
      <c r="D17" s="12">
        <v>460</v>
      </c>
      <c r="E17" s="11">
        <v>0.03</v>
      </c>
      <c r="F17" s="10">
        <v>82352</v>
      </c>
      <c r="G17" s="11">
        <v>3.3000000000000002E-2</v>
      </c>
      <c r="H17" s="11">
        <v>0.03</v>
      </c>
      <c r="I17" s="10">
        <v>20282800</v>
      </c>
      <c r="J17" s="12" t="s">
        <v>6478</v>
      </c>
      <c r="K17" s="10">
        <v>2502</v>
      </c>
      <c r="L17" s="12" t="s">
        <v>6479</v>
      </c>
      <c r="M17" s="10">
        <v>1076349000</v>
      </c>
      <c r="N17" s="10">
        <v>126714</v>
      </c>
      <c r="O17" s="12">
        <v>12</v>
      </c>
    </row>
    <row r="18" spans="1:15" ht="15" customHeight="1" x14ac:dyDescent="0.3">
      <c r="A18" s="9">
        <v>43579</v>
      </c>
      <c r="B18" s="12">
        <v>62</v>
      </c>
      <c r="C18" s="11">
        <v>1.2999999999999999E-2</v>
      </c>
      <c r="D18" s="12">
        <v>91</v>
      </c>
      <c r="E18" s="11">
        <v>6.0000000000000001E-3</v>
      </c>
      <c r="F18" s="10">
        <v>11399</v>
      </c>
      <c r="G18" s="11">
        <v>5.0000000000000001E-3</v>
      </c>
      <c r="H18" s="11">
        <v>0.125</v>
      </c>
      <c r="I18" s="10">
        <v>9332500</v>
      </c>
      <c r="J18" s="12" t="s">
        <v>6480</v>
      </c>
      <c r="K18" s="10">
        <v>1421</v>
      </c>
      <c r="L18" s="12" t="s">
        <v>6481</v>
      </c>
      <c r="M18" s="10">
        <v>1085681500</v>
      </c>
      <c r="N18" s="10">
        <v>128135</v>
      </c>
      <c r="O18" s="12">
        <v>8</v>
      </c>
    </row>
    <row r="19" spans="1:15" ht="15" customHeight="1" x14ac:dyDescent="0.3">
      <c r="A19" s="9">
        <v>43580</v>
      </c>
      <c r="B19" s="12">
        <v>53</v>
      </c>
      <c r="C19" s="11">
        <v>1.0999999999999999E-2</v>
      </c>
      <c r="D19" s="12">
        <v>79</v>
      </c>
      <c r="E19" s="11">
        <v>5.0000000000000001E-3</v>
      </c>
      <c r="F19" s="10">
        <v>9647</v>
      </c>
      <c r="G19" s="11">
        <v>4.0000000000000001E-3</v>
      </c>
      <c r="H19" s="11">
        <v>5.2999999999999999E-2</v>
      </c>
      <c r="I19" s="10">
        <v>4168500</v>
      </c>
      <c r="J19" s="12" t="s">
        <v>6482</v>
      </c>
      <c r="K19" s="12">
        <v>514</v>
      </c>
      <c r="L19" s="12" t="s">
        <v>6483</v>
      </c>
      <c r="M19" s="10">
        <v>1089850000</v>
      </c>
      <c r="N19" s="10">
        <v>128649</v>
      </c>
      <c r="O19" s="12">
        <v>13</v>
      </c>
    </row>
    <row r="20" spans="1:15" ht="15" customHeight="1" x14ac:dyDescent="0.3">
      <c r="A20" s="9">
        <v>43581</v>
      </c>
      <c r="B20" s="12">
        <v>53</v>
      </c>
      <c r="C20" s="11">
        <v>1.0999999999999999E-2</v>
      </c>
      <c r="D20" s="12">
        <v>72</v>
      </c>
      <c r="E20" s="11">
        <v>4.0000000000000001E-3</v>
      </c>
      <c r="F20" s="10">
        <v>8697</v>
      </c>
      <c r="G20" s="11">
        <v>4.0000000000000001E-3</v>
      </c>
      <c r="H20" s="11">
        <v>9.8000000000000004E-2</v>
      </c>
      <c r="I20" s="10">
        <v>7799984</v>
      </c>
      <c r="J20" s="12" t="s">
        <v>6484</v>
      </c>
      <c r="K20" s="12">
        <v>855</v>
      </c>
      <c r="L20" s="12" t="s">
        <v>6485</v>
      </c>
      <c r="M20" s="10">
        <v>1097649984</v>
      </c>
      <c r="N20" s="10">
        <v>129504</v>
      </c>
      <c r="O20" s="12">
        <v>10</v>
      </c>
    </row>
    <row r="21" spans="1:15" ht="15" customHeight="1" x14ac:dyDescent="0.3">
      <c r="A21" s="9">
        <v>43582</v>
      </c>
      <c r="B21" s="12">
        <v>44</v>
      </c>
      <c r="C21" s="11">
        <v>8.9999999999999993E-3</v>
      </c>
      <c r="D21" s="12">
        <v>64</v>
      </c>
      <c r="E21" s="11">
        <v>4.0000000000000001E-3</v>
      </c>
      <c r="F21" s="10">
        <v>7587</v>
      </c>
      <c r="G21" s="11">
        <v>3.0000000000000001E-3</v>
      </c>
      <c r="H21" s="11">
        <v>0.156</v>
      </c>
      <c r="I21" s="10">
        <v>10840500</v>
      </c>
      <c r="J21" s="12" t="s">
        <v>6486</v>
      </c>
      <c r="K21" s="10">
        <v>1182</v>
      </c>
      <c r="L21" s="12" t="s">
        <v>6487</v>
      </c>
      <c r="M21" s="10">
        <v>1108490484</v>
      </c>
      <c r="N21" s="10">
        <v>130686</v>
      </c>
      <c r="O21" s="12">
        <v>11</v>
      </c>
    </row>
    <row r="22" spans="1:15" ht="15" customHeight="1" x14ac:dyDescent="0.3">
      <c r="A22" s="9">
        <v>43583</v>
      </c>
      <c r="B22" s="12">
        <v>45</v>
      </c>
      <c r="C22" s="11">
        <v>8.9999999999999993E-3</v>
      </c>
      <c r="D22" s="12">
        <v>63</v>
      </c>
      <c r="E22" s="11">
        <v>4.0000000000000001E-3</v>
      </c>
      <c r="F22" s="10">
        <v>7619</v>
      </c>
      <c r="G22" s="11">
        <v>3.0000000000000001E-3</v>
      </c>
      <c r="H22" s="11">
        <v>0.13300000000000001</v>
      </c>
      <c r="I22" s="10">
        <v>9026200</v>
      </c>
      <c r="J22" s="12" t="s">
        <v>6488</v>
      </c>
      <c r="K22" s="10">
        <v>1012</v>
      </c>
      <c r="L22" s="12" t="s">
        <v>6489</v>
      </c>
      <c r="M22" s="10">
        <v>1117516684</v>
      </c>
      <c r="N22" s="10">
        <v>131698</v>
      </c>
      <c r="O22" s="12">
        <v>10</v>
      </c>
    </row>
    <row r="23" spans="1:15" ht="15" customHeight="1" x14ac:dyDescent="0.3">
      <c r="A23" s="9">
        <v>43584</v>
      </c>
      <c r="B23" s="12">
        <v>35</v>
      </c>
      <c r="C23" s="11">
        <v>7.0000000000000001E-3</v>
      </c>
      <c r="D23" s="12">
        <v>44</v>
      </c>
      <c r="E23" s="11">
        <v>3.0000000000000001E-3</v>
      </c>
      <c r="F23" s="10">
        <v>5552</v>
      </c>
      <c r="G23" s="11">
        <v>2E-3</v>
      </c>
      <c r="H23" s="11">
        <v>8.8999999999999996E-2</v>
      </c>
      <c r="I23" s="10">
        <v>3740000</v>
      </c>
      <c r="J23" s="12" t="s">
        <v>6490</v>
      </c>
      <c r="K23" s="12">
        <v>495</v>
      </c>
      <c r="L23" s="12" t="s">
        <v>6491</v>
      </c>
      <c r="M23" s="10">
        <v>1121256684</v>
      </c>
      <c r="N23" s="10">
        <v>132193</v>
      </c>
      <c r="O23" s="12">
        <v>19</v>
      </c>
    </row>
    <row r="24" spans="1:15" ht="15" customHeight="1" x14ac:dyDescent="0.3">
      <c r="A24" s="9">
        <v>43585</v>
      </c>
      <c r="B24" s="12">
        <v>38</v>
      </c>
      <c r="C24" s="11">
        <v>8.0000000000000002E-3</v>
      </c>
      <c r="D24" s="12">
        <v>58</v>
      </c>
      <c r="E24" s="11">
        <v>4.0000000000000001E-3</v>
      </c>
      <c r="F24" s="10">
        <v>7815</v>
      </c>
      <c r="G24" s="11">
        <v>3.0000000000000001E-3</v>
      </c>
      <c r="H24" s="11">
        <v>0.10100000000000001</v>
      </c>
      <c r="I24" s="10">
        <v>6383100</v>
      </c>
      <c r="J24" s="12" t="s">
        <v>6492</v>
      </c>
      <c r="K24" s="12">
        <v>788</v>
      </c>
      <c r="L24" s="12" t="s">
        <v>6493</v>
      </c>
      <c r="M24" s="10">
        <v>1127639784</v>
      </c>
      <c r="N24" s="10">
        <v>132981</v>
      </c>
      <c r="O24" s="12">
        <v>12</v>
      </c>
    </row>
    <row r="25" spans="1:15" ht="15" customHeight="1" x14ac:dyDescent="0.3">
      <c r="A25" s="9">
        <v>43586</v>
      </c>
      <c r="B25" s="12">
        <v>25</v>
      </c>
      <c r="C25" s="11">
        <v>5.0000000000000001E-3</v>
      </c>
      <c r="D25" s="12">
        <v>29</v>
      </c>
      <c r="E25" s="11">
        <v>2E-3</v>
      </c>
      <c r="F25" s="10">
        <v>3196</v>
      </c>
      <c r="G25" s="11">
        <v>1E-3</v>
      </c>
      <c r="H25" s="11">
        <v>0.20100000000000001</v>
      </c>
      <c r="I25" s="10">
        <v>5333500</v>
      </c>
      <c r="J25" s="12" t="s">
        <v>6494</v>
      </c>
      <c r="K25" s="12">
        <v>642</v>
      </c>
      <c r="L25" s="12" t="s">
        <v>6495</v>
      </c>
      <c r="M25" s="10">
        <v>1132973284</v>
      </c>
      <c r="N25" s="10">
        <v>133623</v>
      </c>
      <c r="O25" s="12">
        <v>13</v>
      </c>
    </row>
    <row r="26" spans="1:15" ht="15" customHeight="1" x14ac:dyDescent="0.3">
      <c r="A26" s="9">
        <v>43587</v>
      </c>
      <c r="B26" s="12">
        <v>14</v>
      </c>
      <c r="C26" s="11">
        <v>3.0000000000000001E-3</v>
      </c>
      <c r="D26" s="12">
        <v>15</v>
      </c>
      <c r="E26" s="11">
        <v>1E-3</v>
      </c>
      <c r="F26" s="10">
        <v>1811</v>
      </c>
      <c r="G26" s="11">
        <v>1E-3</v>
      </c>
      <c r="H26" s="11">
        <v>6.8000000000000005E-2</v>
      </c>
      <c r="I26" s="10">
        <v>970000</v>
      </c>
      <c r="J26" s="12" t="s">
        <v>6496</v>
      </c>
      <c r="K26" s="12">
        <v>124</v>
      </c>
      <c r="L26" s="12" t="s">
        <v>6497</v>
      </c>
      <c r="M26" s="10">
        <v>1133943284</v>
      </c>
      <c r="N26" s="10">
        <v>133747</v>
      </c>
      <c r="O26" s="12">
        <v>41</v>
      </c>
    </row>
    <row r="27" spans="1:15" ht="15" customHeight="1" x14ac:dyDescent="0.3">
      <c r="A27" s="9">
        <v>43588</v>
      </c>
      <c r="B27" s="12">
        <v>18</v>
      </c>
      <c r="C27" s="11">
        <v>4.0000000000000001E-3</v>
      </c>
      <c r="D27" s="12">
        <v>18</v>
      </c>
      <c r="E27" s="11">
        <v>1E-3</v>
      </c>
      <c r="F27" s="10">
        <v>2117</v>
      </c>
      <c r="G27" s="11">
        <v>1E-3</v>
      </c>
      <c r="H27" s="11">
        <v>0.112</v>
      </c>
      <c r="I27" s="10">
        <v>1992500</v>
      </c>
      <c r="J27" s="12" t="s">
        <v>6498</v>
      </c>
      <c r="K27" s="12">
        <v>237</v>
      </c>
      <c r="L27" s="12" t="s">
        <v>6499</v>
      </c>
      <c r="M27" s="10">
        <v>1135935784</v>
      </c>
      <c r="N27" s="10">
        <v>133984</v>
      </c>
      <c r="O27" s="12">
        <v>27</v>
      </c>
    </row>
    <row r="28" spans="1:15" ht="15" customHeight="1" x14ac:dyDescent="0.3">
      <c r="A28" s="9">
        <v>43589</v>
      </c>
      <c r="B28" s="12">
        <v>17</v>
      </c>
      <c r="C28" s="11">
        <v>3.0000000000000001E-3</v>
      </c>
      <c r="D28" s="12">
        <v>18</v>
      </c>
      <c r="E28" s="11">
        <v>1E-3</v>
      </c>
      <c r="F28" s="10">
        <v>2230</v>
      </c>
      <c r="G28" s="11">
        <v>1E-3</v>
      </c>
      <c r="H28" s="11">
        <v>0.17799999999999999</v>
      </c>
      <c r="I28" s="10">
        <v>3586200</v>
      </c>
      <c r="J28" s="12" t="s">
        <v>6500</v>
      </c>
      <c r="K28" s="12">
        <v>398</v>
      </c>
      <c r="L28" s="12" t="s">
        <v>6501</v>
      </c>
      <c r="M28" s="10">
        <v>1139521984</v>
      </c>
      <c r="N28" s="10">
        <v>134382</v>
      </c>
      <c r="O28" s="12">
        <v>16</v>
      </c>
    </row>
    <row r="29" spans="1:15" ht="15" customHeight="1" x14ac:dyDescent="0.3">
      <c r="A29" s="9">
        <v>43590</v>
      </c>
      <c r="B29" s="12">
        <v>17</v>
      </c>
      <c r="C29" s="11">
        <v>3.0000000000000001E-3</v>
      </c>
      <c r="D29" s="12">
        <v>17</v>
      </c>
      <c r="E29" s="11">
        <v>1E-3</v>
      </c>
      <c r="F29" s="10">
        <v>2170</v>
      </c>
      <c r="G29" s="11">
        <v>1E-3</v>
      </c>
      <c r="H29" s="11">
        <v>0.156</v>
      </c>
      <c r="I29" s="10">
        <v>2999000</v>
      </c>
      <c r="J29" s="12" t="s">
        <v>6502</v>
      </c>
      <c r="K29" s="12">
        <v>338</v>
      </c>
      <c r="L29" s="12" t="s">
        <v>6503</v>
      </c>
      <c r="M29" s="10">
        <v>1142520984</v>
      </c>
      <c r="N29" s="10">
        <v>134720</v>
      </c>
      <c r="O29" s="12">
        <v>19</v>
      </c>
    </row>
    <row r="30" spans="1:15" ht="15" customHeight="1" x14ac:dyDescent="0.3">
      <c r="A30" s="9">
        <v>43591</v>
      </c>
      <c r="B30" s="12">
        <v>14</v>
      </c>
      <c r="C30" s="11">
        <v>3.0000000000000001E-3</v>
      </c>
      <c r="D30" s="12">
        <v>14</v>
      </c>
      <c r="E30" s="11">
        <v>1E-3</v>
      </c>
      <c r="F30" s="10">
        <v>1879</v>
      </c>
      <c r="G30" s="11">
        <v>1E-3</v>
      </c>
      <c r="H30" s="11">
        <v>0.215</v>
      </c>
      <c r="I30" s="10">
        <v>3610000</v>
      </c>
      <c r="J30" s="12" t="s">
        <v>6504</v>
      </c>
      <c r="K30" s="12">
        <v>404</v>
      </c>
      <c r="L30" s="12" t="s">
        <v>6505</v>
      </c>
      <c r="M30" s="10">
        <v>1146130984</v>
      </c>
      <c r="N30" s="10">
        <v>135124</v>
      </c>
      <c r="O30" s="12">
        <v>17</v>
      </c>
    </row>
    <row r="31" spans="1:15" ht="15" customHeight="1" x14ac:dyDescent="0.3">
      <c r="A31" s="9">
        <v>43592</v>
      </c>
      <c r="B31" s="12">
        <v>13</v>
      </c>
      <c r="C31" s="11">
        <v>3.0000000000000001E-3</v>
      </c>
      <c r="D31" s="12">
        <v>14</v>
      </c>
      <c r="E31" s="11">
        <v>1E-3</v>
      </c>
      <c r="F31" s="10">
        <v>1883</v>
      </c>
      <c r="G31" s="11">
        <v>1E-3</v>
      </c>
      <c r="H31" s="11">
        <v>0.17</v>
      </c>
      <c r="I31" s="10">
        <v>3087500</v>
      </c>
      <c r="J31" s="12" t="s">
        <v>6506</v>
      </c>
      <c r="K31" s="12">
        <v>320</v>
      </c>
      <c r="L31" s="12" t="s">
        <v>6507</v>
      </c>
      <c r="M31" s="10">
        <v>1149218484</v>
      </c>
      <c r="N31" s="10">
        <v>135444</v>
      </c>
      <c r="O31" s="12">
        <v>22</v>
      </c>
    </row>
    <row r="32" spans="1:15" ht="15" customHeight="1" x14ac:dyDescent="0.3">
      <c r="A32" s="9">
        <v>43593</v>
      </c>
      <c r="B32" s="12">
        <v>17</v>
      </c>
      <c r="C32" s="11">
        <v>4.0000000000000001E-3</v>
      </c>
      <c r="D32" s="12">
        <v>18</v>
      </c>
      <c r="E32" s="11">
        <v>1E-3</v>
      </c>
      <c r="F32" s="10">
        <v>2199</v>
      </c>
      <c r="G32" s="11">
        <v>1E-3</v>
      </c>
      <c r="H32" s="11">
        <v>7.0000000000000007E-2</v>
      </c>
      <c r="I32" s="10">
        <v>1215500</v>
      </c>
      <c r="J32" s="12" t="s">
        <v>6508</v>
      </c>
      <c r="K32" s="12">
        <v>153</v>
      </c>
      <c r="L32" s="12" t="s">
        <v>6509</v>
      </c>
      <c r="M32" s="10">
        <v>1150433984</v>
      </c>
      <c r="N32" s="10">
        <v>135597</v>
      </c>
      <c r="O32" s="12">
        <v>37</v>
      </c>
    </row>
    <row r="33" spans="1:15" ht="15" customHeight="1" x14ac:dyDescent="0.3">
      <c r="A33" s="9">
        <v>43594</v>
      </c>
      <c r="B33" s="12">
        <v>7</v>
      </c>
      <c r="C33" s="11">
        <v>1E-3</v>
      </c>
      <c r="D33" s="12">
        <v>7</v>
      </c>
      <c r="E33" s="11">
        <v>0</v>
      </c>
      <c r="F33" s="12">
        <v>799</v>
      </c>
      <c r="G33" s="11">
        <v>0</v>
      </c>
      <c r="H33" s="11">
        <v>7.8E-2</v>
      </c>
      <c r="I33" s="10">
        <v>520000</v>
      </c>
      <c r="J33" s="12" t="s">
        <v>6510</v>
      </c>
      <c r="K33" s="12">
        <v>62</v>
      </c>
      <c r="L33" s="12" t="s">
        <v>6511</v>
      </c>
      <c r="M33" s="10">
        <v>1150953984</v>
      </c>
      <c r="N33" s="10">
        <v>135659</v>
      </c>
      <c r="O33" s="12">
        <v>48</v>
      </c>
    </row>
    <row r="34" spans="1:15" ht="15" customHeight="1" x14ac:dyDescent="0.3">
      <c r="A34" s="9">
        <v>43595</v>
      </c>
      <c r="B34" s="12">
        <v>11</v>
      </c>
      <c r="C34" s="11">
        <v>2E-3</v>
      </c>
      <c r="D34" s="12">
        <v>11</v>
      </c>
      <c r="E34" s="11">
        <v>1E-3</v>
      </c>
      <c r="F34" s="10">
        <v>1121</v>
      </c>
      <c r="G34" s="11">
        <v>0</v>
      </c>
      <c r="H34" s="11">
        <v>7.0000000000000007E-2</v>
      </c>
      <c r="I34" s="10">
        <v>684000</v>
      </c>
      <c r="J34" s="12" t="s">
        <v>6512</v>
      </c>
      <c r="K34" s="12">
        <v>78</v>
      </c>
      <c r="L34" s="12" t="s">
        <v>6513</v>
      </c>
      <c r="M34" s="10">
        <v>1151637984</v>
      </c>
      <c r="N34" s="10">
        <v>135737</v>
      </c>
      <c r="O34" s="12">
        <v>43</v>
      </c>
    </row>
    <row r="35" spans="1:15" ht="15" customHeight="1" x14ac:dyDescent="0.3">
      <c r="A35" s="9">
        <v>43596</v>
      </c>
      <c r="B35" s="12">
        <v>8</v>
      </c>
      <c r="C35" s="11">
        <v>1E-3</v>
      </c>
      <c r="D35" s="12">
        <v>8</v>
      </c>
      <c r="E35" s="11">
        <v>0</v>
      </c>
      <c r="F35" s="12">
        <v>678</v>
      </c>
      <c r="G35" s="11">
        <v>0</v>
      </c>
      <c r="H35" s="11">
        <v>0.23300000000000001</v>
      </c>
      <c r="I35" s="10">
        <v>1443000</v>
      </c>
      <c r="J35" s="12" t="s">
        <v>6514</v>
      </c>
      <c r="K35" s="12">
        <v>158</v>
      </c>
      <c r="L35" s="12" t="s">
        <v>6515</v>
      </c>
      <c r="M35" s="10">
        <v>1153080984</v>
      </c>
      <c r="N35" s="10">
        <v>135895</v>
      </c>
      <c r="O35" s="12">
        <v>32</v>
      </c>
    </row>
    <row r="36" spans="1:15" ht="15" customHeight="1" x14ac:dyDescent="0.3">
      <c r="A36" s="9">
        <v>43597</v>
      </c>
      <c r="B36" s="12">
        <v>9</v>
      </c>
      <c r="C36" s="11">
        <v>2E-3</v>
      </c>
      <c r="D36" s="12">
        <v>9</v>
      </c>
      <c r="E36" s="11">
        <v>1E-3</v>
      </c>
      <c r="F36" s="12">
        <v>868</v>
      </c>
      <c r="G36" s="11">
        <v>0</v>
      </c>
      <c r="H36" s="11">
        <v>0.22700000000000001</v>
      </c>
      <c r="I36" s="10">
        <v>1825000</v>
      </c>
      <c r="J36" s="12" t="s">
        <v>6516</v>
      </c>
      <c r="K36" s="12">
        <v>197</v>
      </c>
      <c r="L36" s="12" t="s">
        <v>6517</v>
      </c>
      <c r="M36" s="10">
        <v>1154905984</v>
      </c>
      <c r="N36" s="10">
        <v>136092</v>
      </c>
      <c r="O36" s="12">
        <v>27</v>
      </c>
    </row>
    <row r="37" spans="1:15" ht="15" customHeight="1" x14ac:dyDescent="0.3">
      <c r="A37" s="9">
        <v>43598</v>
      </c>
      <c r="B37" s="12">
        <v>7</v>
      </c>
      <c r="C37" s="11">
        <v>1E-3</v>
      </c>
      <c r="D37" s="12">
        <v>7</v>
      </c>
      <c r="E37" s="11">
        <v>0</v>
      </c>
      <c r="F37" s="12">
        <v>856</v>
      </c>
      <c r="G37" s="11">
        <v>0</v>
      </c>
      <c r="H37" s="11">
        <v>5.8000000000000003E-2</v>
      </c>
      <c r="I37" s="10">
        <v>419000</v>
      </c>
      <c r="J37" s="12" t="s">
        <v>6518</v>
      </c>
      <c r="K37" s="12">
        <v>50</v>
      </c>
      <c r="L37" s="12" t="s">
        <v>6519</v>
      </c>
      <c r="M37" s="10">
        <v>1155324984</v>
      </c>
      <c r="N37" s="10">
        <v>136142</v>
      </c>
      <c r="O37" s="12">
        <v>47</v>
      </c>
    </row>
    <row r="38" spans="1:15" ht="15" customHeight="1" x14ac:dyDescent="0.3">
      <c r="A38" s="9">
        <v>43599</v>
      </c>
      <c r="B38" s="12">
        <v>5</v>
      </c>
      <c r="C38" s="11">
        <v>1E-3</v>
      </c>
      <c r="D38" s="12">
        <v>5</v>
      </c>
      <c r="E38" s="11">
        <v>0</v>
      </c>
      <c r="F38" s="12">
        <v>476</v>
      </c>
      <c r="G38" s="11">
        <v>0</v>
      </c>
      <c r="H38" s="11">
        <v>9.9000000000000005E-2</v>
      </c>
      <c r="I38" s="10">
        <v>428000</v>
      </c>
      <c r="J38" s="12" t="s">
        <v>6520</v>
      </c>
      <c r="K38" s="12">
        <v>47</v>
      </c>
      <c r="L38" s="12" t="s">
        <v>6521</v>
      </c>
      <c r="M38" s="10">
        <v>1155752984</v>
      </c>
      <c r="N38" s="10">
        <v>136189</v>
      </c>
      <c r="O38" s="12">
        <v>53</v>
      </c>
    </row>
    <row r="39" spans="1:15" ht="15" customHeight="1" x14ac:dyDescent="0.3">
      <c r="A39" s="9">
        <v>43600</v>
      </c>
      <c r="B39" s="12">
        <v>5</v>
      </c>
      <c r="C39" s="11">
        <v>1E-3</v>
      </c>
      <c r="D39" s="12">
        <v>5</v>
      </c>
      <c r="E39" s="11">
        <v>0</v>
      </c>
      <c r="F39" s="12">
        <v>697</v>
      </c>
      <c r="G39" s="11">
        <v>0</v>
      </c>
      <c r="H39" s="11">
        <v>7.5999999999999998E-2</v>
      </c>
      <c r="I39" s="10">
        <v>427500</v>
      </c>
      <c r="J39" s="12" t="s">
        <v>6522</v>
      </c>
      <c r="K39" s="12">
        <v>53</v>
      </c>
      <c r="L39" s="12" t="s">
        <v>6523</v>
      </c>
      <c r="M39" s="10">
        <v>1156180484</v>
      </c>
      <c r="N39" s="10">
        <v>136242</v>
      </c>
      <c r="O39" s="12">
        <v>49</v>
      </c>
    </row>
    <row r="40" spans="1:15" ht="15" customHeight="1" x14ac:dyDescent="0.3">
      <c r="A40" s="9">
        <v>43601</v>
      </c>
      <c r="B40" s="12">
        <v>2</v>
      </c>
      <c r="C40" s="11">
        <v>0</v>
      </c>
      <c r="D40" s="12">
        <v>2</v>
      </c>
      <c r="E40" s="11">
        <v>0</v>
      </c>
      <c r="F40" s="12">
        <v>166</v>
      </c>
      <c r="G40" s="11">
        <v>0</v>
      </c>
      <c r="H40" s="11">
        <v>0.114</v>
      </c>
      <c r="I40" s="10">
        <v>163000</v>
      </c>
      <c r="J40" s="12" t="s">
        <v>6524</v>
      </c>
      <c r="K40" s="12">
        <v>19</v>
      </c>
      <c r="L40" s="12" t="s">
        <v>6525</v>
      </c>
      <c r="M40" s="10">
        <v>1156343484</v>
      </c>
      <c r="N40" s="10">
        <v>136261</v>
      </c>
      <c r="O40" s="12">
        <v>71</v>
      </c>
    </row>
    <row r="41" spans="1:15" ht="15" customHeight="1" x14ac:dyDescent="0.3">
      <c r="A41" s="9">
        <v>43602</v>
      </c>
      <c r="B41" s="12">
        <v>3</v>
      </c>
      <c r="C41" s="11">
        <v>1E-3</v>
      </c>
      <c r="D41" s="12">
        <v>3</v>
      </c>
      <c r="E41" s="11">
        <v>0</v>
      </c>
      <c r="F41" s="12">
        <v>318</v>
      </c>
      <c r="G41" s="11">
        <v>0</v>
      </c>
      <c r="H41" s="11">
        <v>9.4E-2</v>
      </c>
      <c r="I41" s="10">
        <v>251000</v>
      </c>
      <c r="J41" s="12" t="s">
        <v>6526</v>
      </c>
      <c r="K41" s="12">
        <v>30</v>
      </c>
      <c r="L41" s="12" t="s">
        <v>6527</v>
      </c>
      <c r="M41" s="10">
        <v>1156594484</v>
      </c>
      <c r="N41" s="10">
        <v>136291</v>
      </c>
      <c r="O41" s="12">
        <v>72</v>
      </c>
    </row>
    <row r="42" spans="1:15" ht="15" customHeight="1" x14ac:dyDescent="0.3">
      <c r="A42" s="9">
        <v>43603</v>
      </c>
      <c r="B42" s="12">
        <v>1</v>
      </c>
      <c r="C42" s="11">
        <v>0</v>
      </c>
      <c r="D42" s="12">
        <v>1</v>
      </c>
      <c r="E42" s="11">
        <v>0</v>
      </c>
      <c r="F42" s="12">
        <v>72</v>
      </c>
      <c r="G42" s="11">
        <v>0</v>
      </c>
      <c r="H42" s="11">
        <v>0.77800000000000002</v>
      </c>
      <c r="I42" s="10">
        <v>525000</v>
      </c>
      <c r="J42" s="12" t="s">
        <v>6528</v>
      </c>
      <c r="K42" s="12">
        <v>56</v>
      </c>
      <c r="L42" s="12" t="s">
        <v>6529</v>
      </c>
      <c r="M42" s="10">
        <v>1157119484</v>
      </c>
      <c r="N42" s="10">
        <v>136347</v>
      </c>
      <c r="O42" s="12">
        <v>55</v>
      </c>
    </row>
    <row r="43" spans="1:15" ht="15" customHeight="1" x14ac:dyDescent="0.3">
      <c r="A43" s="9">
        <v>43604</v>
      </c>
      <c r="B43" s="12">
        <v>2</v>
      </c>
      <c r="C43" s="11">
        <v>0</v>
      </c>
      <c r="D43" s="12">
        <v>2</v>
      </c>
      <c r="E43" s="11">
        <v>0</v>
      </c>
      <c r="F43" s="12">
        <v>166</v>
      </c>
      <c r="G43" s="11">
        <v>0</v>
      </c>
      <c r="H43" s="11">
        <v>0.373</v>
      </c>
      <c r="I43" s="10">
        <v>562000</v>
      </c>
      <c r="J43" s="12" t="s">
        <v>6530</v>
      </c>
      <c r="K43" s="12">
        <v>62</v>
      </c>
      <c r="L43" s="12" t="s">
        <v>6531</v>
      </c>
      <c r="M43" s="10">
        <v>1157681484</v>
      </c>
      <c r="N43" s="10">
        <v>136409</v>
      </c>
      <c r="O43" s="12">
        <v>41</v>
      </c>
    </row>
    <row r="44" spans="1:15" ht="15" customHeight="1" x14ac:dyDescent="0.3">
      <c r="A44" s="9">
        <v>43605</v>
      </c>
      <c r="B44" s="12">
        <v>1</v>
      </c>
      <c r="C44" s="11">
        <v>0</v>
      </c>
      <c r="D44" s="12">
        <v>1</v>
      </c>
      <c r="E44" s="11">
        <v>0</v>
      </c>
      <c r="F44" s="12">
        <v>108</v>
      </c>
      <c r="G44" s="11">
        <v>0</v>
      </c>
      <c r="H44" s="11">
        <v>1.9E-2</v>
      </c>
      <c r="I44" s="10">
        <v>16000</v>
      </c>
      <c r="J44" s="12" t="s">
        <v>6532</v>
      </c>
      <c r="K44" s="12">
        <v>2</v>
      </c>
      <c r="L44" s="12" t="s">
        <v>6533</v>
      </c>
      <c r="M44" s="10">
        <v>1157697484</v>
      </c>
      <c r="N44" s="10">
        <v>136411</v>
      </c>
      <c r="O44" s="12">
        <v>79</v>
      </c>
    </row>
    <row r="45" spans="1:15" ht="15" customHeight="1" x14ac:dyDescent="0.3">
      <c r="A45" s="9">
        <v>43606</v>
      </c>
      <c r="B45" s="12">
        <v>3</v>
      </c>
      <c r="C45" s="11">
        <v>1E-3</v>
      </c>
      <c r="D45" s="12">
        <v>3</v>
      </c>
      <c r="E45" s="11">
        <v>0</v>
      </c>
      <c r="F45" s="12">
        <v>231</v>
      </c>
      <c r="G45" s="11">
        <v>0</v>
      </c>
      <c r="H45" s="11">
        <v>6.5000000000000002E-2</v>
      </c>
      <c r="I45" s="10">
        <v>130500</v>
      </c>
      <c r="J45" s="12" t="s">
        <v>6534</v>
      </c>
      <c r="K45" s="12">
        <v>15</v>
      </c>
      <c r="L45" s="12" t="s">
        <v>6535</v>
      </c>
      <c r="M45" s="10">
        <v>1157827984</v>
      </c>
      <c r="N45" s="10">
        <v>136426</v>
      </c>
      <c r="O45" s="12">
        <v>68</v>
      </c>
    </row>
    <row r="46" spans="1:15" ht="15" customHeight="1" x14ac:dyDescent="0.3">
      <c r="A46" s="9">
        <v>43607</v>
      </c>
      <c r="B46" s="12">
        <v>1</v>
      </c>
      <c r="C46" s="11">
        <v>0</v>
      </c>
      <c r="D46" s="12">
        <v>1</v>
      </c>
      <c r="E46" s="11">
        <v>0</v>
      </c>
      <c r="F46" s="12">
        <v>108</v>
      </c>
      <c r="G46" s="11">
        <v>0</v>
      </c>
      <c r="H46" s="11">
        <v>0.111</v>
      </c>
      <c r="I46" s="10">
        <v>115000</v>
      </c>
      <c r="J46" s="12" t="s">
        <v>6536</v>
      </c>
      <c r="K46" s="12">
        <v>12</v>
      </c>
      <c r="L46" s="12" t="s">
        <v>6537</v>
      </c>
      <c r="M46" s="10">
        <v>1157942984</v>
      </c>
      <c r="N46" s="10">
        <v>136438</v>
      </c>
      <c r="O46" s="12">
        <v>66</v>
      </c>
    </row>
    <row r="47" spans="1:15" ht="15" customHeight="1" x14ac:dyDescent="0.3">
      <c r="A47" s="9">
        <v>43610</v>
      </c>
      <c r="B47" s="12">
        <v>1</v>
      </c>
      <c r="C47" s="11">
        <v>0</v>
      </c>
      <c r="D47" s="12">
        <v>1</v>
      </c>
      <c r="E47" s="11">
        <v>0</v>
      </c>
      <c r="F47" s="12">
        <v>72</v>
      </c>
      <c r="G47" s="11">
        <v>0</v>
      </c>
      <c r="H47" s="11">
        <v>0.625</v>
      </c>
      <c r="I47" s="10">
        <v>429000</v>
      </c>
      <c r="J47" s="12" t="s">
        <v>6538</v>
      </c>
      <c r="K47" s="12">
        <v>45</v>
      </c>
      <c r="L47" s="12" t="s">
        <v>6539</v>
      </c>
      <c r="M47" s="10">
        <v>1158371984</v>
      </c>
      <c r="N47" s="10">
        <v>136483</v>
      </c>
      <c r="O47" s="12">
        <v>57</v>
      </c>
    </row>
    <row r="48" spans="1:15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8716F-816A-4AF4-BB46-9CE257115045}">
  <dimension ref="A1:O30"/>
  <sheetViews>
    <sheetView showGridLines="0" workbookViewId="0">
      <selection activeCell="A5" sqref="A5:O6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6269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43565</v>
      </c>
      <c r="B5" s="12">
        <v>564</v>
      </c>
      <c r="C5" s="11">
        <v>0.1</v>
      </c>
      <c r="D5" s="10">
        <v>2013</v>
      </c>
      <c r="E5" s="11">
        <v>0.11899999999999999</v>
      </c>
      <c r="F5" s="10">
        <v>335382</v>
      </c>
      <c r="G5" s="11">
        <v>0.127</v>
      </c>
      <c r="H5" s="11">
        <v>5.6000000000000001E-2</v>
      </c>
      <c r="I5" s="10">
        <v>156593270</v>
      </c>
      <c r="J5" s="12" t="s">
        <v>6272</v>
      </c>
      <c r="K5" s="10">
        <v>18905</v>
      </c>
      <c r="L5" s="12" t="s">
        <v>6273</v>
      </c>
      <c r="M5" s="10">
        <v>162072270</v>
      </c>
      <c r="N5" s="10">
        <v>19512</v>
      </c>
      <c r="O5" s="12">
        <v>4</v>
      </c>
    </row>
    <row r="6" spans="1:15" ht="15" customHeight="1" x14ac:dyDescent="0.3">
      <c r="A6" s="9">
        <v>43566</v>
      </c>
      <c r="B6" s="12">
        <v>529</v>
      </c>
      <c r="C6" s="11">
        <v>8.6999999999999994E-2</v>
      </c>
      <c r="D6" s="10">
        <v>1655</v>
      </c>
      <c r="E6" s="11">
        <v>9.6000000000000002E-2</v>
      </c>
      <c r="F6" s="10">
        <v>274142</v>
      </c>
      <c r="G6" s="11">
        <v>0.10100000000000001</v>
      </c>
      <c r="H6" s="11">
        <v>4.5999999999999999E-2</v>
      </c>
      <c r="I6" s="10">
        <v>105640250</v>
      </c>
      <c r="J6" s="12" t="s">
        <v>6274</v>
      </c>
      <c r="K6" s="10">
        <v>12690</v>
      </c>
      <c r="L6" s="12" t="s">
        <v>6275</v>
      </c>
      <c r="M6" s="10">
        <v>267712520</v>
      </c>
      <c r="N6" s="10">
        <v>32202</v>
      </c>
      <c r="O6" s="12">
        <v>5</v>
      </c>
    </row>
    <row r="7" spans="1:15" ht="15" customHeight="1" x14ac:dyDescent="0.3">
      <c r="A7" s="9">
        <v>43567</v>
      </c>
      <c r="B7" s="12">
        <v>548</v>
      </c>
      <c r="C7" s="11">
        <v>8.6999999999999994E-2</v>
      </c>
      <c r="D7" s="10">
        <v>1626</v>
      </c>
      <c r="E7" s="11">
        <v>9.0999999999999998E-2</v>
      </c>
      <c r="F7" s="10">
        <v>268849</v>
      </c>
      <c r="G7" s="11">
        <v>9.6000000000000002E-2</v>
      </c>
      <c r="H7" s="11">
        <v>5.6000000000000001E-2</v>
      </c>
      <c r="I7" s="10">
        <v>135208577</v>
      </c>
      <c r="J7" s="12" t="s">
        <v>6276</v>
      </c>
      <c r="K7" s="10">
        <v>14977</v>
      </c>
      <c r="L7" s="12" t="s">
        <v>6277</v>
      </c>
      <c r="M7" s="10">
        <v>402921097</v>
      </c>
      <c r="N7" s="10">
        <v>47179</v>
      </c>
      <c r="O7" s="12">
        <v>5</v>
      </c>
    </row>
    <row r="8" spans="1:15" ht="15" customHeight="1" x14ac:dyDescent="0.3">
      <c r="A8" s="9">
        <v>43568</v>
      </c>
      <c r="B8" s="12">
        <v>516</v>
      </c>
      <c r="C8" s="11">
        <v>7.3999999999999996E-2</v>
      </c>
      <c r="D8" s="10">
        <v>1514</v>
      </c>
      <c r="E8" s="11">
        <v>7.8E-2</v>
      </c>
      <c r="F8" s="10">
        <v>233323</v>
      </c>
      <c r="G8" s="11">
        <v>7.8E-2</v>
      </c>
      <c r="H8" s="11">
        <v>9.5000000000000001E-2</v>
      </c>
      <c r="I8" s="10">
        <v>198862379</v>
      </c>
      <c r="J8" s="12" t="s">
        <v>6278</v>
      </c>
      <c r="K8" s="10">
        <v>22097</v>
      </c>
      <c r="L8" s="12" t="s">
        <v>6279</v>
      </c>
      <c r="M8" s="10">
        <v>601783476</v>
      </c>
      <c r="N8" s="10">
        <v>69276</v>
      </c>
      <c r="O8" s="12">
        <v>7</v>
      </c>
    </row>
    <row r="9" spans="1:15" ht="15" customHeight="1" x14ac:dyDescent="0.3">
      <c r="A9" s="9">
        <v>43569</v>
      </c>
      <c r="B9" s="12">
        <v>498</v>
      </c>
      <c r="C9" s="11">
        <v>7.1999999999999995E-2</v>
      </c>
      <c r="D9" s="10">
        <v>1384</v>
      </c>
      <c r="E9" s="11">
        <v>7.2999999999999995E-2</v>
      </c>
      <c r="F9" s="10">
        <v>211576</v>
      </c>
      <c r="G9" s="11">
        <v>7.1999999999999995E-2</v>
      </c>
      <c r="H9" s="11">
        <v>8.4000000000000005E-2</v>
      </c>
      <c r="I9" s="10">
        <v>161764200</v>
      </c>
      <c r="J9" s="12" t="s">
        <v>6280</v>
      </c>
      <c r="K9" s="10">
        <v>17858</v>
      </c>
      <c r="L9" s="12" t="s">
        <v>6281</v>
      </c>
      <c r="M9" s="10">
        <v>763547676</v>
      </c>
      <c r="N9" s="10">
        <v>87134</v>
      </c>
      <c r="O9" s="12">
        <v>7</v>
      </c>
    </row>
    <row r="10" spans="1:15" ht="15" customHeight="1" x14ac:dyDescent="0.3">
      <c r="A10" s="9">
        <v>43570</v>
      </c>
      <c r="B10" s="12">
        <v>442</v>
      </c>
      <c r="C10" s="11">
        <v>7.4999999999999997E-2</v>
      </c>
      <c r="D10" s="10">
        <v>1086</v>
      </c>
      <c r="E10" s="11">
        <v>6.7000000000000004E-2</v>
      </c>
      <c r="F10" s="10">
        <v>169517</v>
      </c>
      <c r="G10" s="11">
        <v>6.6000000000000003E-2</v>
      </c>
      <c r="H10" s="11">
        <v>3.2000000000000001E-2</v>
      </c>
      <c r="I10" s="10">
        <v>46108760</v>
      </c>
      <c r="J10" s="12" t="s">
        <v>6282</v>
      </c>
      <c r="K10" s="10">
        <v>5508</v>
      </c>
      <c r="L10" s="12" t="s">
        <v>6283</v>
      </c>
      <c r="M10" s="10">
        <v>809656436</v>
      </c>
      <c r="N10" s="10">
        <v>92642</v>
      </c>
      <c r="O10" s="12">
        <v>8</v>
      </c>
    </row>
    <row r="11" spans="1:15" ht="15" customHeight="1" x14ac:dyDescent="0.3">
      <c r="A11" s="9">
        <v>43571</v>
      </c>
      <c r="B11" s="12">
        <v>421</v>
      </c>
      <c r="C11" s="11">
        <v>7.0999999999999994E-2</v>
      </c>
      <c r="D11" s="12">
        <v>970</v>
      </c>
      <c r="E11" s="11">
        <v>6.0999999999999999E-2</v>
      </c>
      <c r="F11" s="10">
        <v>148658</v>
      </c>
      <c r="G11" s="11">
        <v>5.8999999999999997E-2</v>
      </c>
      <c r="H11" s="11">
        <v>2.7E-2</v>
      </c>
      <c r="I11" s="10">
        <v>33475580</v>
      </c>
      <c r="J11" s="12" t="s">
        <v>6284</v>
      </c>
      <c r="K11" s="10">
        <v>4034</v>
      </c>
      <c r="L11" s="12" t="s">
        <v>6285</v>
      </c>
      <c r="M11" s="10">
        <v>843132016</v>
      </c>
      <c r="N11" s="10">
        <v>96676</v>
      </c>
      <c r="O11" s="12">
        <v>11</v>
      </c>
    </row>
    <row r="12" spans="1:15" ht="15" customHeight="1" x14ac:dyDescent="0.3">
      <c r="A12" s="9">
        <v>43572</v>
      </c>
      <c r="B12" s="12">
        <v>186</v>
      </c>
      <c r="C12" s="11">
        <v>3.1E-2</v>
      </c>
      <c r="D12" s="12">
        <v>303</v>
      </c>
      <c r="E12" s="11">
        <v>1.7999999999999999E-2</v>
      </c>
      <c r="F12" s="10">
        <v>42896</v>
      </c>
      <c r="G12" s="11">
        <v>1.6E-2</v>
      </c>
      <c r="H12" s="11">
        <v>2.5999999999999999E-2</v>
      </c>
      <c r="I12" s="10">
        <v>9077240</v>
      </c>
      <c r="J12" s="12" t="s">
        <v>6286</v>
      </c>
      <c r="K12" s="10">
        <v>1109</v>
      </c>
      <c r="L12" s="12" t="s">
        <v>6287</v>
      </c>
      <c r="M12" s="10">
        <v>852209256</v>
      </c>
      <c r="N12" s="10">
        <v>97785</v>
      </c>
      <c r="O12" s="12">
        <v>17</v>
      </c>
    </row>
    <row r="13" spans="1:15" ht="15" customHeight="1" x14ac:dyDescent="0.3">
      <c r="A13" s="9">
        <v>43573</v>
      </c>
      <c r="B13" s="12">
        <v>121</v>
      </c>
      <c r="C13" s="11">
        <v>1.7999999999999999E-2</v>
      </c>
      <c r="D13" s="12">
        <v>177</v>
      </c>
      <c r="E13" s="11">
        <v>1.0999999999999999E-2</v>
      </c>
      <c r="F13" s="10">
        <v>26917</v>
      </c>
      <c r="G13" s="11">
        <v>0.01</v>
      </c>
      <c r="H13" s="11">
        <v>2.1000000000000001E-2</v>
      </c>
      <c r="I13" s="10">
        <v>4566050</v>
      </c>
      <c r="J13" s="12" t="s">
        <v>6288</v>
      </c>
      <c r="K13" s="12">
        <v>562</v>
      </c>
      <c r="L13" s="12" t="s">
        <v>6289</v>
      </c>
      <c r="M13" s="10">
        <v>856775306</v>
      </c>
      <c r="N13" s="10">
        <v>98347</v>
      </c>
      <c r="O13" s="12">
        <v>26</v>
      </c>
    </row>
    <row r="14" spans="1:15" ht="15" customHeight="1" x14ac:dyDescent="0.3">
      <c r="A14" s="9">
        <v>43574</v>
      </c>
      <c r="B14" s="12">
        <v>147</v>
      </c>
      <c r="C14" s="11">
        <v>2.1000000000000001E-2</v>
      </c>
      <c r="D14" s="12">
        <v>197</v>
      </c>
      <c r="E14" s="11">
        <v>1.0999999999999999E-2</v>
      </c>
      <c r="F14" s="10">
        <v>28944</v>
      </c>
      <c r="G14" s="11">
        <v>1.0999999999999999E-2</v>
      </c>
      <c r="H14" s="11">
        <v>3.1E-2</v>
      </c>
      <c r="I14" s="10">
        <v>7568740</v>
      </c>
      <c r="J14" s="12" t="s">
        <v>6290</v>
      </c>
      <c r="K14" s="12">
        <v>884</v>
      </c>
      <c r="L14" s="12" t="s">
        <v>6291</v>
      </c>
      <c r="M14" s="10">
        <v>864344046</v>
      </c>
      <c r="N14" s="10">
        <v>99231</v>
      </c>
      <c r="O14" s="12">
        <v>21</v>
      </c>
    </row>
    <row r="15" spans="1:15" ht="15" customHeight="1" x14ac:dyDescent="0.3">
      <c r="A15" s="9">
        <v>43575</v>
      </c>
      <c r="B15" s="12">
        <v>138</v>
      </c>
      <c r="C15" s="11">
        <v>1.7999999999999999E-2</v>
      </c>
      <c r="D15" s="12">
        <v>186</v>
      </c>
      <c r="E15" s="11">
        <v>0.01</v>
      </c>
      <c r="F15" s="10">
        <v>27053</v>
      </c>
      <c r="G15" s="11">
        <v>8.9999999999999993E-3</v>
      </c>
      <c r="H15" s="11">
        <v>3.7999999999999999E-2</v>
      </c>
      <c r="I15" s="10">
        <v>9059420</v>
      </c>
      <c r="J15" s="12" t="s">
        <v>6292</v>
      </c>
      <c r="K15" s="10">
        <v>1018</v>
      </c>
      <c r="L15" s="12" t="s">
        <v>6293</v>
      </c>
      <c r="M15" s="10">
        <v>873403466</v>
      </c>
      <c r="N15" s="10">
        <v>100249</v>
      </c>
      <c r="O15" s="12">
        <v>25</v>
      </c>
    </row>
    <row r="16" spans="1:15" ht="15" customHeight="1" x14ac:dyDescent="0.3">
      <c r="A16" s="9">
        <v>43576</v>
      </c>
      <c r="B16" s="12">
        <v>122</v>
      </c>
      <c r="C16" s="11">
        <v>1.6E-2</v>
      </c>
      <c r="D16" s="12">
        <v>160</v>
      </c>
      <c r="E16" s="11">
        <v>8.9999999999999993E-3</v>
      </c>
      <c r="F16" s="10">
        <v>23006</v>
      </c>
      <c r="G16" s="11">
        <v>8.0000000000000002E-3</v>
      </c>
      <c r="H16" s="11">
        <v>3.6999999999999998E-2</v>
      </c>
      <c r="I16" s="10">
        <v>7244130</v>
      </c>
      <c r="J16" s="12" t="s">
        <v>6294</v>
      </c>
      <c r="K16" s="12">
        <v>843</v>
      </c>
      <c r="L16" s="12" t="s">
        <v>6295</v>
      </c>
      <c r="M16" s="10">
        <v>880647596</v>
      </c>
      <c r="N16" s="10">
        <v>101092</v>
      </c>
      <c r="O16" s="12">
        <v>25</v>
      </c>
    </row>
    <row r="17" spans="1:15" ht="15" customHeight="1" x14ac:dyDescent="0.3">
      <c r="A17" s="9">
        <v>43577</v>
      </c>
      <c r="B17" s="12">
        <v>100</v>
      </c>
      <c r="C17" s="11">
        <v>1.6E-2</v>
      </c>
      <c r="D17" s="12">
        <v>128</v>
      </c>
      <c r="E17" s="11">
        <v>8.0000000000000002E-3</v>
      </c>
      <c r="F17" s="10">
        <v>19781</v>
      </c>
      <c r="G17" s="11">
        <v>8.0000000000000002E-3</v>
      </c>
      <c r="H17" s="11">
        <v>1.6E-2</v>
      </c>
      <c r="I17" s="10">
        <v>2594340</v>
      </c>
      <c r="J17" s="12" t="s">
        <v>6296</v>
      </c>
      <c r="K17" s="12">
        <v>317</v>
      </c>
      <c r="L17" s="12" t="s">
        <v>6297</v>
      </c>
      <c r="M17" s="10">
        <v>883241936</v>
      </c>
      <c r="N17" s="10">
        <v>101409</v>
      </c>
      <c r="O17" s="12">
        <v>28</v>
      </c>
    </row>
    <row r="18" spans="1:15" ht="15" customHeight="1" x14ac:dyDescent="0.3">
      <c r="A18" s="9">
        <v>43578</v>
      </c>
      <c r="B18" s="12">
        <v>93</v>
      </c>
      <c r="C18" s="11">
        <v>1.4E-2</v>
      </c>
      <c r="D18" s="12">
        <v>122</v>
      </c>
      <c r="E18" s="11">
        <v>8.0000000000000002E-3</v>
      </c>
      <c r="F18" s="10">
        <v>17758</v>
      </c>
      <c r="G18" s="11">
        <v>7.0000000000000001E-3</v>
      </c>
      <c r="H18" s="11">
        <v>2.3E-2</v>
      </c>
      <c r="I18" s="10">
        <v>3254500</v>
      </c>
      <c r="J18" s="12" t="s">
        <v>6298</v>
      </c>
      <c r="K18" s="12">
        <v>404</v>
      </c>
      <c r="L18" s="12" t="s">
        <v>6299</v>
      </c>
      <c r="M18" s="10">
        <v>886496436</v>
      </c>
      <c r="N18" s="10">
        <v>101813</v>
      </c>
      <c r="O18" s="12">
        <v>30</v>
      </c>
    </row>
    <row r="19" spans="1:15" ht="15" customHeight="1" x14ac:dyDescent="0.3">
      <c r="A19" s="9">
        <v>43579</v>
      </c>
      <c r="B19" s="12">
        <v>6</v>
      </c>
      <c r="C19" s="11">
        <v>1E-3</v>
      </c>
      <c r="D19" s="12">
        <v>8</v>
      </c>
      <c r="E19" s="11">
        <v>1E-3</v>
      </c>
      <c r="F19" s="10">
        <v>1030</v>
      </c>
      <c r="G19" s="11">
        <v>0</v>
      </c>
      <c r="H19" s="11">
        <v>2.8000000000000001E-2</v>
      </c>
      <c r="I19" s="10">
        <v>170000</v>
      </c>
      <c r="J19" s="12" t="s">
        <v>6300</v>
      </c>
      <c r="K19" s="12">
        <v>29</v>
      </c>
      <c r="L19" s="12" t="s">
        <v>6301</v>
      </c>
      <c r="M19" s="10">
        <v>886666436</v>
      </c>
      <c r="N19" s="10">
        <v>101842</v>
      </c>
      <c r="O19" s="12">
        <v>70</v>
      </c>
    </row>
    <row r="20" spans="1:15" ht="15" customHeight="1" x14ac:dyDescent="0.3">
      <c r="A20" s="9">
        <v>43580</v>
      </c>
      <c r="B20" s="12">
        <v>4</v>
      </c>
      <c r="C20" s="11">
        <v>1E-3</v>
      </c>
      <c r="D20" s="12">
        <v>4</v>
      </c>
      <c r="E20" s="11">
        <v>0</v>
      </c>
      <c r="F20" s="12">
        <v>532</v>
      </c>
      <c r="G20" s="11">
        <v>0</v>
      </c>
      <c r="H20" s="11">
        <v>3.7999999999999999E-2</v>
      </c>
      <c r="I20" s="10">
        <v>173300</v>
      </c>
      <c r="J20" s="12" t="s">
        <v>6302</v>
      </c>
      <c r="K20" s="12">
        <v>20</v>
      </c>
      <c r="L20" s="12" t="s">
        <v>3197</v>
      </c>
      <c r="M20" s="10">
        <v>886839736</v>
      </c>
      <c r="N20" s="10">
        <v>101862</v>
      </c>
      <c r="O20" s="12">
        <v>81</v>
      </c>
    </row>
    <row r="21" spans="1:15" ht="15" customHeight="1" x14ac:dyDescent="0.3">
      <c r="A21" s="9">
        <v>43581</v>
      </c>
      <c r="B21" s="12">
        <v>3</v>
      </c>
      <c r="C21" s="11">
        <v>1E-3</v>
      </c>
      <c r="D21" s="12">
        <v>3</v>
      </c>
      <c r="E21" s="11">
        <v>0</v>
      </c>
      <c r="F21" s="12">
        <v>460</v>
      </c>
      <c r="G21" s="11">
        <v>0</v>
      </c>
      <c r="H21" s="11">
        <v>3.6999999999999998E-2</v>
      </c>
      <c r="I21" s="10">
        <v>165000</v>
      </c>
      <c r="J21" s="12" t="s">
        <v>6303</v>
      </c>
      <c r="K21" s="12">
        <v>17</v>
      </c>
      <c r="L21" s="12" t="s">
        <v>6304</v>
      </c>
      <c r="M21" s="10">
        <v>887004736</v>
      </c>
      <c r="N21" s="10">
        <v>101879</v>
      </c>
      <c r="O21" s="12">
        <v>73</v>
      </c>
    </row>
    <row r="22" spans="1:15" ht="15" customHeight="1" x14ac:dyDescent="0.3">
      <c r="A22" s="9">
        <v>43582</v>
      </c>
      <c r="B22" s="12">
        <v>3</v>
      </c>
      <c r="C22" s="11">
        <v>1E-3</v>
      </c>
      <c r="D22" s="12">
        <v>3</v>
      </c>
      <c r="E22" s="11">
        <v>0</v>
      </c>
      <c r="F22" s="12">
        <v>486</v>
      </c>
      <c r="G22" s="11">
        <v>0</v>
      </c>
      <c r="H22" s="11">
        <v>2.3E-2</v>
      </c>
      <c r="I22" s="10">
        <v>108000</v>
      </c>
      <c r="J22" s="12" t="s">
        <v>6305</v>
      </c>
      <c r="K22" s="12">
        <v>11</v>
      </c>
      <c r="L22" s="12" t="s">
        <v>5404</v>
      </c>
      <c r="M22" s="10">
        <v>887112736</v>
      </c>
      <c r="N22" s="10">
        <v>101890</v>
      </c>
      <c r="O22" s="12">
        <v>87</v>
      </c>
    </row>
    <row r="23" spans="1:15" ht="15" customHeight="1" x14ac:dyDescent="0.3">
      <c r="A23" s="9">
        <v>43583</v>
      </c>
      <c r="B23" s="12">
        <v>3</v>
      </c>
      <c r="C23" s="11">
        <v>1E-3</v>
      </c>
      <c r="D23" s="12">
        <v>3</v>
      </c>
      <c r="E23" s="11">
        <v>0</v>
      </c>
      <c r="F23" s="12">
        <v>431</v>
      </c>
      <c r="G23" s="11">
        <v>0</v>
      </c>
      <c r="H23" s="11">
        <v>1.2E-2</v>
      </c>
      <c r="I23" s="10">
        <v>38300</v>
      </c>
      <c r="J23" s="12" t="s">
        <v>6306</v>
      </c>
      <c r="K23" s="12">
        <v>5</v>
      </c>
      <c r="L23" s="12" t="s">
        <v>3098</v>
      </c>
      <c r="M23" s="10">
        <v>887151036</v>
      </c>
      <c r="N23" s="10">
        <v>101895</v>
      </c>
      <c r="O23" s="12">
        <v>84</v>
      </c>
    </row>
    <row r="24" spans="1:15" ht="15" customHeight="1" x14ac:dyDescent="0.3">
      <c r="A24" s="9">
        <v>43584</v>
      </c>
      <c r="B24" s="12">
        <v>3</v>
      </c>
      <c r="C24" s="11">
        <v>1E-3</v>
      </c>
      <c r="D24" s="12">
        <v>3</v>
      </c>
      <c r="E24" s="11">
        <v>0</v>
      </c>
      <c r="F24" s="12">
        <v>460</v>
      </c>
      <c r="G24" s="11">
        <v>0</v>
      </c>
      <c r="H24" s="11">
        <v>1.0999999999999999E-2</v>
      </c>
      <c r="I24" s="10">
        <v>36500</v>
      </c>
      <c r="J24" s="12" t="s">
        <v>6307</v>
      </c>
      <c r="K24" s="12">
        <v>5</v>
      </c>
      <c r="L24" s="12" t="s">
        <v>292</v>
      </c>
      <c r="M24" s="10">
        <v>887187536</v>
      </c>
      <c r="N24" s="10">
        <v>101900</v>
      </c>
      <c r="O24" s="12">
        <v>87</v>
      </c>
    </row>
    <row r="25" spans="1:15" ht="15" customHeight="1" x14ac:dyDescent="0.3">
      <c r="A25" s="9">
        <v>43585</v>
      </c>
      <c r="B25" s="12">
        <v>4</v>
      </c>
      <c r="C25" s="11">
        <v>1E-3</v>
      </c>
      <c r="D25" s="12">
        <v>4</v>
      </c>
      <c r="E25" s="11">
        <v>0</v>
      </c>
      <c r="F25" s="12">
        <v>546</v>
      </c>
      <c r="G25" s="11">
        <v>0</v>
      </c>
      <c r="H25" s="11">
        <v>2.7E-2</v>
      </c>
      <c r="I25" s="10">
        <v>123000</v>
      </c>
      <c r="J25" s="12" t="s">
        <v>6308</v>
      </c>
      <c r="K25" s="12">
        <v>15</v>
      </c>
      <c r="L25" s="12" t="s">
        <v>6309</v>
      </c>
      <c r="M25" s="10">
        <v>887310536</v>
      </c>
      <c r="N25" s="10">
        <v>101915</v>
      </c>
      <c r="O25" s="12">
        <v>92</v>
      </c>
    </row>
    <row r="26" spans="1:15" ht="15" customHeight="1" x14ac:dyDescent="0.3">
      <c r="A26" s="9">
        <v>43593</v>
      </c>
      <c r="B26" s="12">
        <v>19</v>
      </c>
      <c r="C26" s="11">
        <v>4.0000000000000001E-3</v>
      </c>
      <c r="D26" s="12">
        <v>19</v>
      </c>
      <c r="E26" s="11">
        <v>1E-3</v>
      </c>
      <c r="F26" s="10">
        <v>3018</v>
      </c>
      <c r="G26" s="11">
        <v>1E-3</v>
      </c>
      <c r="H26" s="11">
        <v>0.13200000000000001</v>
      </c>
      <c r="I26" s="10">
        <v>3097300</v>
      </c>
      <c r="J26" s="12" t="s">
        <v>6310</v>
      </c>
      <c r="K26" s="12">
        <v>398</v>
      </c>
      <c r="L26" s="12" t="s">
        <v>6311</v>
      </c>
      <c r="M26" s="10">
        <v>890407836</v>
      </c>
      <c r="N26" s="10">
        <v>102313</v>
      </c>
      <c r="O26" s="12">
        <v>23</v>
      </c>
    </row>
    <row r="27" spans="1:15" ht="15" customHeight="1" x14ac:dyDescent="0.3">
      <c r="A27" s="9">
        <v>43594</v>
      </c>
      <c r="B27" s="12">
        <v>5</v>
      </c>
      <c r="C27" s="11">
        <v>1E-3</v>
      </c>
      <c r="D27" s="12">
        <v>5</v>
      </c>
      <c r="E27" s="11">
        <v>0</v>
      </c>
      <c r="F27" s="10">
        <v>1010</v>
      </c>
      <c r="G27" s="11">
        <v>0</v>
      </c>
      <c r="H27" s="11">
        <v>0.17599999999999999</v>
      </c>
      <c r="I27" s="10">
        <v>1389000</v>
      </c>
      <c r="J27" s="12" t="s">
        <v>6312</v>
      </c>
      <c r="K27" s="12">
        <v>178</v>
      </c>
      <c r="L27" s="12" t="s">
        <v>6313</v>
      </c>
      <c r="M27" s="10">
        <v>891796836</v>
      </c>
      <c r="N27" s="10">
        <v>102491</v>
      </c>
      <c r="O27" s="12">
        <v>31</v>
      </c>
    </row>
    <row r="28" spans="1:15" ht="15" customHeight="1" x14ac:dyDescent="0.3">
      <c r="A28" s="9">
        <v>43620</v>
      </c>
      <c r="B28" s="12">
        <v>1</v>
      </c>
      <c r="C28" s="11">
        <v>0</v>
      </c>
      <c r="D28" s="12">
        <v>1</v>
      </c>
      <c r="E28" s="11">
        <v>0</v>
      </c>
      <c r="F28" s="12">
        <v>360</v>
      </c>
      <c r="G28" s="11">
        <v>0</v>
      </c>
      <c r="H28" s="11">
        <v>0.93100000000000005</v>
      </c>
      <c r="I28" s="10">
        <v>2613000</v>
      </c>
      <c r="J28" s="12" t="s">
        <v>6314</v>
      </c>
      <c r="K28" s="12">
        <v>335</v>
      </c>
      <c r="L28" s="12" t="s">
        <v>6315</v>
      </c>
      <c r="M28" s="10">
        <v>894409836</v>
      </c>
      <c r="N28" s="10">
        <v>102826</v>
      </c>
      <c r="O28" s="12">
        <v>18</v>
      </c>
    </row>
    <row r="29" spans="1:15" ht="15" customHeight="1" x14ac:dyDescent="0.3"/>
    <row r="30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7F914-FE33-49E9-A6FC-E07E03C905F0}">
  <dimension ref="A1:O64"/>
  <sheetViews>
    <sheetView showGridLines="0" workbookViewId="0">
      <selection activeCell="A5" sqref="A5:O8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19.7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6540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43608</v>
      </c>
      <c r="B5" s="10">
        <v>1008</v>
      </c>
      <c r="C5" s="11">
        <v>0.17399999999999999</v>
      </c>
      <c r="D5" s="10">
        <v>4265</v>
      </c>
      <c r="E5" s="11">
        <v>0.23499999999999999</v>
      </c>
      <c r="F5" s="10">
        <v>770298</v>
      </c>
      <c r="G5" s="11">
        <v>0.27200000000000002</v>
      </c>
      <c r="H5" s="11">
        <v>9.4E-2</v>
      </c>
      <c r="I5" s="10">
        <v>616644460</v>
      </c>
      <c r="J5" s="12" t="s">
        <v>6541</v>
      </c>
      <c r="K5" s="10">
        <v>72736</v>
      </c>
      <c r="L5" s="12" t="s">
        <v>6542</v>
      </c>
      <c r="M5" s="10">
        <v>640791760</v>
      </c>
      <c r="N5" s="10">
        <v>75054</v>
      </c>
      <c r="O5" s="12">
        <v>2</v>
      </c>
    </row>
    <row r="6" spans="1:15" ht="15" customHeight="1" x14ac:dyDescent="0.3">
      <c r="A6" s="9">
        <v>43609</v>
      </c>
      <c r="B6" s="10">
        <v>1061</v>
      </c>
      <c r="C6" s="11">
        <v>0.17499999999999999</v>
      </c>
      <c r="D6" s="10">
        <v>4420</v>
      </c>
      <c r="E6" s="11">
        <v>0.23699999999999999</v>
      </c>
      <c r="F6" s="10">
        <v>799264</v>
      </c>
      <c r="G6" s="11">
        <v>0.27600000000000002</v>
      </c>
      <c r="H6" s="11">
        <v>0.13800000000000001</v>
      </c>
      <c r="I6" s="10">
        <v>1016129643</v>
      </c>
      <c r="J6" s="12" t="s">
        <v>6543</v>
      </c>
      <c r="K6" s="10">
        <v>109949</v>
      </c>
      <c r="L6" s="12" t="s">
        <v>6544</v>
      </c>
      <c r="M6" s="10">
        <v>1656921403</v>
      </c>
      <c r="N6" s="10">
        <v>185003</v>
      </c>
      <c r="O6" s="12">
        <v>2</v>
      </c>
    </row>
    <row r="7" spans="1:15" ht="15" customHeight="1" x14ac:dyDescent="0.3">
      <c r="A7" s="9">
        <v>43610</v>
      </c>
      <c r="B7" s="10">
        <v>1261</v>
      </c>
      <c r="C7" s="11">
        <v>0.193</v>
      </c>
      <c r="D7" s="10">
        <v>5311</v>
      </c>
      <c r="E7" s="11">
        <v>0.27100000000000002</v>
      </c>
      <c r="F7" s="10">
        <v>937947</v>
      </c>
      <c r="G7" s="11">
        <v>0.31</v>
      </c>
      <c r="H7" s="11">
        <v>0.35199999999999998</v>
      </c>
      <c r="I7" s="10">
        <v>2965798107</v>
      </c>
      <c r="J7" s="12" t="s">
        <v>6545</v>
      </c>
      <c r="K7" s="10">
        <v>330019</v>
      </c>
      <c r="L7" s="12" t="s">
        <v>6546</v>
      </c>
      <c r="M7" s="10">
        <v>4622719510</v>
      </c>
      <c r="N7" s="10">
        <v>515022</v>
      </c>
      <c r="O7" s="12">
        <v>1</v>
      </c>
    </row>
    <row r="8" spans="1:15" ht="15" customHeight="1" x14ac:dyDescent="0.3">
      <c r="A8" s="9">
        <v>43611</v>
      </c>
      <c r="B8" s="10">
        <v>1311</v>
      </c>
      <c r="C8" s="11">
        <v>0.19900000000000001</v>
      </c>
      <c r="D8" s="10">
        <v>5390</v>
      </c>
      <c r="E8" s="11">
        <v>0.28000000000000003</v>
      </c>
      <c r="F8" s="10">
        <v>946258</v>
      </c>
      <c r="G8" s="11">
        <v>0.318</v>
      </c>
      <c r="H8" s="11">
        <v>0.379</v>
      </c>
      <c r="I8" s="10">
        <v>3181109250</v>
      </c>
      <c r="J8" s="12" t="s">
        <v>6547</v>
      </c>
      <c r="K8" s="10">
        <v>358995</v>
      </c>
      <c r="L8" s="12" t="s">
        <v>6548</v>
      </c>
      <c r="M8" s="10">
        <v>7803828760</v>
      </c>
      <c r="N8" s="10">
        <v>874017</v>
      </c>
      <c r="O8" s="12">
        <v>1</v>
      </c>
    </row>
    <row r="9" spans="1:15" ht="15" customHeight="1" x14ac:dyDescent="0.3">
      <c r="A9" s="9">
        <v>43612</v>
      </c>
      <c r="B9" s="10">
        <v>1090</v>
      </c>
      <c r="C9" s="11">
        <v>0.191</v>
      </c>
      <c r="D9" s="10">
        <v>4663</v>
      </c>
      <c r="E9" s="11">
        <v>0.26300000000000001</v>
      </c>
      <c r="F9" s="10">
        <v>844480</v>
      </c>
      <c r="G9" s="11">
        <v>0.30399999999999999</v>
      </c>
      <c r="H9" s="11">
        <v>0.13</v>
      </c>
      <c r="I9" s="10">
        <v>931032930</v>
      </c>
      <c r="J9" s="12" t="s">
        <v>6549</v>
      </c>
      <c r="K9" s="10">
        <v>109658</v>
      </c>
      <c r="L9" s="12" t="s">
        <v>6550</v>
      </c>
      <c r="M9" s="10">
        <v>8734861690</v>
      </c>
      <c r="N9" s="10">
        <v>983675</v>
      </c>
      <c r="O9" s="12">
        <v>1</v>
      </c>
    </row>
    <row r="10" spans="1:15" ht="15" customHeight="1" x14ac:dyDescent="0.3">
      <c r="A10" s="9">
        <v>43613</v>
      </c>
      <c r="B10" s="10">
        <v>1121</v>
      </c>
      <c r="C10" s="11">
        <v>0.19</v>
      </c>
      <c r="D10" s="10">
        <v>4677</v>
      </c>
      <c r="E10" s="11">
        <v>0.26500000000000001</v>
      </c>
      <c r="F10" s="10">
        <v>838216</v>
      </c>
      <c r="G10" s="11">
        <v>0.30399999999999999</v>
      </c>
      <c r="H10" s="11">
        <v>0.129</v>
      </c>
      <c r="I10" s="10">
        <v>913023310</v>
      </c>
      <c r="J10" s="12" t="s">
        <v>6551</v>
      </c>
      <c r="K10" s="10">
        <v>108339</v>
      </c>
      <c r="L10" s="12" t="s">
        <v>6552</v>
      </c>
      <c r="M10" s="10">
        <v>9647885000</v>
      </c>
      <c r="N10" s="10">
        <v>1092014</v>
      </c>
      <c r="O10" s="12">
        <v>1</v>
      </c>
    </row>
    <row r="11" spans="1:15" ht="15" customHeight="1" x14ac:dyDescent="0.3">
      <c r="A11" s="9">
        <v>43614</v>
      </c>
      <c r="B11" s="10">
        <v>1146</v>
      </c>
      <c r="C11" s="11">
        <v>0.19800000000000001</v>
      </c>
      <c r="D11" s="10">
        <v>4460</v>
      </c>
      <c r="E11" s="11">
        <v>0.248</v>
      </c>
      <c r="F11" s="10">
        <v>750607</v>
      </c>
      <c r="G11" s="11">
        <v>0.26900000000000002</v>
      </c>
      <c r="H11" s="11">
        <v>0.32800000000000001</v>
      </c>
      <c r="I11" s="10">
        <v>1458929880</v>
      </c>
      <c r="J11" s="12" t="s">
        <v>6553</v>
      </c>
      <c r="K11" s="10">
        <v>245992</v>
      </c>
      <c r="L11" s="12" t="s">
        <v>6554</v>
      </c>
      <c r="M11" s="10">
        <v>11106814880</v>
      </c>
      <c r="N11" s="10">
        <v>1338006</v>
      </c>
      <c r="O11" s="12">
        <v>1</v>
      </c>
    </row>
    <row r="12" spans="1:15" ht="15" customHeight="1" x14ac:dyDescent="0.3">
      <c r="A12" s="9">
        <v>43615</v>
      </c>
      <c r="B12" s="12">
        <v>754</v>
      </c>
      <c r="C12" s="11">
        <v>0.13300000000000001</v>
      </c>
      <c r="D12" s="10">
        <v>2493</v>
      </c>
      <c r="E12" s="11">
        <v>0.14000000000000001</v>
      </c>
      <c r="F12" s="10">
        <v>340979</v>
      </c>
      <c r="G12" s="11">
        <v>0.123</v>
      </c>
      <c r="H12" s="11">
        <v>0.22</v>
      </c>
      <c r="I12" s="10">
        <v>614078440</v>
      </c>
      <c r="J12" s="12" t="s">
        <v>6555</v>
      </c>
      <c r="K12" s="10">
        <v>74962</v>
      </c>
      <c r="L12" s="12" t="s">
        <v>6556</v>
      </c>
      <c r="M12" s="10">
        <v>11720893320</v>
      </c>
      <c r="N12" s="10">
        <v>1412968</v>
      </c>
      <c r="O12" s="12">
        <v>2</v>
      </c>
    </row>
    <row r="13" spans="1:15" ht="15" customHeight="1" x14ac:dyDescent="0.3">
      <c r="A13" s="9">
        <v>43616</v>
      </c>
      <c r="B13" s="12">
        <v>791</v>
      </c>
      <c r="C13" s="11">
        <v>0.14099999999999999</v>
      </c>
      <c r="D13" s="10">
        <v>2724</v>
      </c>
      <c r="E13" s="11">
        <v>0.14899999999999999</v>
      </c>
      <c r="F13" s="10">
        <v>366962</v>
      </c>
      <c r="G13" s="11">
        <v>0.13100000000000001</v>
      </c>
      <c r="H13" s="11">
        <v>0.33600000000000002</v>
      </c>
      <c r="I13" s="10">
        <v>1084122725</v>
      </c>
      <c r="J13" s="12" t="s">
        <v>6557</v>
      </c>
      <c r="K13" s="10">
        <v>123266</v>
      </c>
      <c r="L13" s="12" t="s">
        <v>6558</v>
      </c>
      <c r="M13" s="10">
        <v>12805016045</v>
      </c>
      <c r="N13" s="10">
        <v>1536234</v>
      </c>
      <c r="O13" s="12">
        <v>2</v>
      </c>
    </row>
    <row r="14" spans="1:15" ht="15" customHeight="1" x14ac:dyDescent="0.3">
      <c r="A14" s="9">
        <v>43617</v>
      </c>
      <c r="B14" s="12">
        <v>965</v>
      </c>
      <c r="C14" s="11">
        <v>0.16600000000000001</v>
      </c>
      <c r="D14" s="10">
        <v>3451</v>
      </c>
      <c r="E14" s="11">
        <v>0.182</v>
      </c>
      <c r="F14" s="10">
        <v>463615</v>
      </c>
      <c r="G14" s="11">
        <v>0.16</v>
      </c>
      <c r="H14" s="11">
        <v>0.66</v>
      </c>
      <c r="I14" s="10">
        <v>2610680127</v>
      </c>
      <c r="J14" s="12" t="s">
        <v>6559</v>
      </c>
      <c r="K14" s="10">
        <v>306026</v>
      </c>
      <c r="L14" s="12" t="s">
        <v>6560</v>
      </c>
      <c r="M14" s="10">
        <v>15415696172</v>
      </c>
      <c r="N14" s="10">
        <v>1842260</v>
      </c>
      <c r="O14" s="12">
        <v>2</v>
      </c>
    </row>
    <row r="15" spans="1:15" ht="15" customHeight="1" x14ac:dyDescent="0.3">
      <c r="A15" s="9">
        <v>43618</v>
      </c>
      <c r="B15" s="12">
        <v>994</v>
      </c>
      <c r="C15" s="11">
        <v>0.17100000000000001</v>
      </c>
      <c r="D15" s="10">
        <v>3499</v>
      </c>
      <c r="E15" s="11">
        <v>0.189</v>
      </c>
      <c r="F15" s="10">
        <v>471681</v>
      </c>
      <c r="G15" s="11">
        <v>0.16600000000000001</v>
      </c>
      <c r="H15" s="11">
        <v>0.65200000000000002</v>
      </c>
      <c r="I15" s="10">
        <v>2601771060</v>
      </c>
      <c r="J15" s="12" t="s">
        <v>6561</v>
      </c>
      <c r="K15" s="10">
        <v>307739</v>
      </c>
      <c r="L15" s="12" t="s">
        <v>6562</v>
      </c>
      <c r="M15" s="10">
        <v>18017467232</v>
      </c>
      <c r="N15" s="10">
        <v>2149999</v>
      </c>
      <c r="O15" s="12">
        <v>2</v>
      </c>
    </row>
    <row r="16" spans="1:15" ht="15" customHeight="1" x14ac:dyDescent="0.3">
      <c r="A16" s="9">
        <v>43619</v>
      </c>
      <c r="B16" s="12">
        <v>796</v>
      </c>
      <c r="C16" s="11">
        <v>0.152</v>
      </c>
      <c r="D16" s="10">
        <v>3038</v>
      </c>
      <c r="E16" s="11">
        <v>0.17499999999999999</v>
      </c>
      <c r="F16" s="10">
        <v>425515</v>
      </c>
      <c r="G16" s="11">
        <v>0.157</v>
      </c>
      <c r="H16" s="11">
        <v>0.192</v>
      </c>
      <c r="I16" s="10">
        <v>671525860</v>
      </c>
      <c r="J16" s="12" t="s">
        <v>6563</v>
      </c>
      <c r="K16" s="10">
        <v>81613</v>
      </c>
      <c r="L16" s="12" t="s">
        <v>6564</v>
      </c>
      <c r="M16" s="10">
        <v>18688993092</v>
      </c>
      <c r="N16" s="10">
        <v>2231612</v>
      </c>
      <c r="O16" s="12">
        <v>2</v>
      </c>
    </row>
    <row r="17" spans="1:15" ht="15" customHeight="1" x14ac:dyDescent="0.3">
      <c r="A17" s="9">
        <v>43620</v>
      </c>
      <c r="B17" s="12">
        <v>818</v>
      </c>
      <c r="C17" s="11">
        <v>0.152</v>
      </c>
      <c r="D17" s="10">
        <v>3063</v>
      </c>
      <c r="E17" s="11">
        <v>0.17599999999999999</v>
      </c>
      <c r="F17" s="10">
        <v>426623</v>
      </c>
      <c r="G17" s="11">
        <v>0.158</v>
      </c>
      <c r="H17" s="11">
        <v>0.19900000000000001</v>
      </c>
      <c r="I17" s="10">
        <v>693901620</v>
      </c>
      <c r="J17" s="12" t="s">
        <v>6565</v>
      </c>
      <c r="K17" s="10">
        <v>84798</v>
      </c>
      <c r="L17" s="12" t="s">
        <v>6566</v>
      </c>
      <c r="M17" s="10">
        <v>19382894712</v>
      </c>
      <c r="N17" s="10">
        <v>2316410</v>
      </c>
      <c r="O17" s="12">
        <v>2</v>
      </c>
    </row>
    <row r="18" spans="1:15" ht="15" customHeight="1" x14ac:dyDescent="0.3">
      <c r="A18" s="9">
        <v>43621</v>
      </c>
      <c r="B18" s="12">
        <v>937</v>
      </c>
      <c r="C18" s="11">
        <v>0.16400000000000001</v>
      </c>
      <c r="D18" s="10">
        <v>2770</v>
      </c>
      <c r="E18" s="11">
        <v>0.153</v>
      </c>
      <c r="F18" s="10">
        <v>373155</v>
      </c>
      <c r="G18" s="11">
        <v>0.13200000000000001</v>
      </c>
      <c r="H18" s="11">
        <v>0.30299999999999999</v>
      </c>
      <c r="I18" s="10">
        <v>903254870</v>
      </c>
      <c r="J18" s="12" t="s">
        <v>6567</v>
      </c>
      <c r="K18" s="10">
        <v>113165</v>
      </c>
      <c r="L18" s="12" t="s">
        <v>6568</v>
      </c>
      <c r="M18" s="10">
        <v>20286149582</v>
      </c>
      <c r="N18" s="10">
        <v>2429575</v>
      </c>
      <c r="O18" s="12">
        <v>3</v>
      </c>
    </row>
    <row r="19" spans="1:15" ht="15" customHeight="1" x14ac:dyDescent="0.3">
      <c r="A19" s="9">
        <v>43622</v>
      </c>
      <c r="B19" s="10">
        <v>1120</v>
      </c>
      <c r="C19" s="11">
        <v>0.19</v>
      </c>
      <c r="D19" s="10">
        <v>3738</v>
      </c>
      <c r="E19" s="11">
        <v>0.192</v>
      </c>
      <c r="F19" s="10">
        <v>493898</v>
      </c>
      <c r="G19" s="11">
        <v>0.16400000000000001</v>
      </c>
      <c r="H19" s="11">
        <v>0.75600000000000001</v>
      </c>
      <c r="I19" s="10">
        <v>3146433260</v>
      </c>
      <c r="J19" s="12" t="s">
        <v>6569</v>
      </c>
      <c r="K19" s="10">
        <v>373559</v>
      </c>
      <c r="L19" s="12" t="s">
        <v>6570</v>
      </c>
      <c r="M19" s="10">
        <v>23432582842</v>
      </c>
      <c r="N19" s="10">
        <v>2803134</v>
      </c>
      <c r="O19" s="12">
        <v>2</v>
      </c>
    </row>
    <row r="20" spans="1:15" ht="15" customHeight="1" x14ac:dyDescent="0.3">
      <c r="A20" s="9">
        <v>43623</v>
      </c>
      <c r="B20" s="10">
        <v>1151</v>
      </c>
      <c r="C20" s="11">
        <v>0.19500000000000001</v>
      </c>
      <c r="D20" s="10">
        <v>4132</v>
      </c>
      <c r="E20" s="11">
        <v>0.214</v>
      </c>
      <c r="F20" s="10">
        <v>558074</v>
      </c>
      <c r="G20" s="11">
        <v>0.187</v>
      </c>
      <c r="H20" s="11">
        <v>0.51100000000000001</v>
      </c>
      <c r="I20" s="10">
        <v>2428722874</v>
      </c>
      <c r="J20" s="12" t="s">
        <v>6571</v>
      </c>
      <c r="K20" s="10">
        <v>284945</v>
      </c>
      <c r="L20" s="12" t="s">
        <v>6572</v>
      </c>
      <c r="M20" s="10">
        <v>25861305716</v>
      </c>
      <c r="N20" s="10">
        <v>3088079</v>
      </c>
      <c r="O20" s="12">
        <v>2</v>
      </c>
    </row>
    <row r="21" spans="1:15" ht="15" customHeight="1" x14ac:dyDescent="0.3">
      <c r="A21" s="9">
        <v>43624</v>
      </c>
      <c r="B21" s="10">
        <v>1356</v>
      </c>
      <c r="C21" s="11">
        <v>0.22700000000000001</v>
      </c>
      <c r="D21" s="10">
        <v>5241</v>
      </c>
      <c r="E21" s="11">
        <v>0.26700000000000002</v>
      </c>
      <c r="F21" s="10">
        <v>746940</v>
      </c>
      <c r="G21" s="11">
        <v>0.245</v>
      </c>
      <c r="H21" s="11">
        <v>0.55600000000000005</v>
      </c>
      <c r="I21" s="10">
        <v>3618669583</v>
      </c>
      <c r="J21" s="12" t="s">
        <v>6573</v>
      </c>
      <c r="K21" s="10">
        <v>415310</v>
      </c>
      <c r="L21" s="12" t="s">
        <v>6574</v>
      </c>
      <c r="M21" s="10">
        <v>29479975299</v>
      </c>
      <c r="N21" s="10">
        <v>3503389</v>
      </c>
      <c r="O21" s="12">
        <v>2</v>
      </c>
    </row>
    <row r="22" spans="1:15" ht="15" customHeight="1" x14ac:dyDescent="0.3">
      <c r="A22" s="9">
        <v>43625</v>
      </c>
      <c r="B22" s="10">
        <v>1371</v>
      </c>
      <c r="C22" s="11">
        <v>0.23200000000000001</v>
      </c>
      <c r="D22" s="10">
        <v>5263</v>
      </c>
      <c r="E22" s="11">
        <v>0.27600000000000002</v>
      </c>
      <c r="F22" s="10">
        <v>760334</v>
      </c>
      <c r="G22" s="11">
        <v>0.25700000000000001</v>
      </c>
      <c r="H22" s="11">
        <v>0.52100000000000002</v>
      </c>
      <c r="I22" s="10">
        <v>3456183040</v>
      </c>
      <c r="J22" s="12" t="s">
        <v>6575</v>
      </c>
      <c r="K22" s="10">
        <v>396151</v>
      </c>
      <c r="L22" s="12" t="s">
        <v>6576</v>
      </c>
      <c r="M22" s="10">
        <v>32936158339</v>
      </c>
      <c r="N22" s="10">
        <v>3899540</v>
      </c>
      <c r="O22" s="12">
        <v>2</v>
      </c>
    </row>
    <row r="23" spans="1:15" ht="15" customHeight="1" x14ac:dyDescent="0.3">
      <c r="A23" s="9">
        <v>43626</v>
      </c>
      <c r="B23" s="10">
        <v>1068</v>
      </c>
      <c r="C23" s="11">
        <v>0.20899999999999999</v>
      </c>
      <c r="D23" s="10">
        <v>4366</v>
      </c>
      <c r="E23" s="11">
        <v>0.251</v>
      </c>
      <c r="F23" s="10">
        <v>667237</v>
      </c>
      <c r="G23" s="11">
        <v>0.247</v>
      </c>
      <c r="H23" s="11">
        <v>0.16400000000000001</v>
      </c>
      <c r="I23" s="10">
        <v>926042240</v>
      </c>
      <c r="J23" s="12" t="s">
        <v>6577</v>
      </c>
      <c r="K23" s="10">
        <v>109402</v>
      </c>
      <c r="L23" s="12" t="s">
        <v>6578</v>
      </c>
      <c r="M23" s="10">
        <v>33862200579</v>
      </c>
      <c r="N23" s="10">
        <v>4008942</v>
      </c>
      <c r="O23" s="12">
        <v>2</v>
      </c>
    </row>
    <row r="24" spans="1:15" ht="15" customHeight="1" x14ac:dyDescent="0.3">
      <c r="A24" s="9">
        <v>43627</v>
      </c>
      <c r="B24" s="10">
        <v>1092</v>
      </c>
      <c r="C24" s="11">
        <v>0.21199999999999999</v>
      </c>
      <c r="D24" s="10">
        <v>4422</v>
      </c>
      <c r="E24" s="11">
        <v>0.255</v>
      </c>
      <c r="F24" s="10">
        <v>672007</v>
      </c>
      <c r="G24" s="11">
        <v>0.249</v>
      </c>
      <c r="H24" s="11">
        <v>0.155</v>
      </c>
      <c r="I24" s="10">
        <v>876638740</v>
      </c>
      <c r="J24" s="12" t="s">
        <v>6579</v>
      </c>
      <c r="K24" s="10">
        <v>104428</v>
      </c>
      <c r="L24" s="12" t="s">
        <v>6580</v>
      </c>
      <c r="M24" s="10">
        <v>34738839319</v>
      </c>
      <c r="N24" s="10">
        <v>4113370</v>
      </c>
      <c r="O24" s="12">
        <v>2</v>
      </c>
    </row>
    <row r="25" spans="1:15" ht="15" customHeight="1" x14ac:dyDescent="0.3">
      <c r="A25" s="9">
        <v>43628</v>
      </c>
      <c r="B25" s="12">
        <v>973</v>
      </c>
      <c r="C25" s="11">
        <v>0.19500000000000001</v>
      </c>
      <c r="D25" s="10">
        <v>3849</v>
      </c>
      <c r="E25" s="11">
        <v>0.215</v>
      </c>
      <c r="F25" s="10">
        <v>572800</v>
      </c>
      <c r="G25" s="11">
        <v>0.20499999999999999</v>
      </c>
      <c r="H25" s="11">
        <v>0.17899999999999999</v>
      </c>
      <c r="I25" s="10">
        <v>841904820</v>
      </c>
      <c r="J25" s="12" t="s">
        <v>6581</v>
      </c>
      <c r="K25" s="10">
        <v>102436</v>
      </c>
      <c r="L25" s="12" t="s">
        <v>6582</v>
      </c>
      <c r="M25" s="10">
        <v>35580744139</v>
      </c>
      <c r="N25" s="10">
        <v>4215806</v>
      </c>
      <c r="O25" s="12">
        <v>3</v>
      </c>
    </row>
    <row r="26" spans="1:15" ht="15" customHeight="1" x14ac:dyDescent="0.3">
      <c r="A26" s="9">
        <v>43629</v>
      </c>
      <c r="B26" s="12">
        <v>947</v>
      </c>
      <c r="C26" s="11">
        <v>0.17499999999999999</v>
      </c>
      <c r="D26" s="10">
        <v>3701</v>
      </c>
      <c r="E26" s="11">
        <v>0.20799999999999999</v>
      </c>
      <c r="F26" s="10">
        <v>561141</v>
      </c>
      <c r="G26" s="11">
        <v>0.20200000000000001</v>
      </c>
      <c r="H26" s="11">
        <v>0.185</v>
      </c>
      <c r="I26" s="10">
        <v>858827730</v>
      </c>
      <c r="J26" s="12" t="s">
        <v>6583</v>
      </c>
      <c r="K26" s="10">
        <v>103618</v>
      </c>
      <c r="L26" s="12" t="s">
        <v>6584</v>
      </c>
      <c r="M26" s="10">
        <v>36439571869</v>
      </c>
      <c r="N26" s="10">
        <v>4319424</v>
      </c>
      <c r="O26" s="12">
        <v>2</v>
      </c>
    </row>
    <row r="27" spans="1:15" ht="15" customHeight="1" x14ac:dyDescent="0.3">
      <c r="A27" s="9">
        <v>43630</v>
      </c>
      <c r="B27" s="10">
        <v>1075</v>
      </c>
      <c r="C27" s="11">
        <v>0.192</v>
      </c>
      <c r="D27" s="10">
        <v>4286</v>
      </c>
      <c r="E27" s="11">
        <v>0.23400000000000001</v>
      </c>
      <c r="F27" s="10">
        <v>653230</v>
      </c>
      <c r="G27" s="11">
        <v>0.22900000000000001</v>
      </c>
      <c r="H27" s="11">
        <v>0.253</v>
      </c>
      <c r="I27" s="10">
        <v>1499530210</v>
      </c>
      <c r="J27" s="12" t="s">
        <v>6585</v>
      </c>
      <c r="K27" s="10">
        <v>165074</v>
      </c>
      <c r="L27" s="12" t="s">
        <v>6586</v>
      </c>
      <c r="M27" s="10">
        <v>37939102079</v>
      </c>
      <c r="N27" s="10">
        <v>4484498</v>
      </c>
      <c r="O27" s="12">
        <v>2</v>
      </c>
    </row>
    <row r="28" spans="1:15" ht="15" customHeight="1" x14ac:dyDescent="0.3">
      <c r="A28" s="9">
        <v>43631</v>
      </c>
      <c r="B28" s="10">
        <v>1384</v>
      </c>
      <c r="C28" s="11">
        <v>0.22800000000000001</v>
      </c>
      <c r="D28" s="10">
        <v>5635</v>
      </c>
      <c r="E28" s="11">
        <v>0.29599999999999999</v>
      </c>
      <c r="F28" s="10">
        <v>903647</v>
      </c>
      <c r="G28" s="11">
        <v>0.308</v>
      </c>
      <c r="H28" s="11">
        <v>0.47399999999999998</v>
      </c>
      <c r="I28" s="10">
        <v>3807068740</v>
      </c>
      <c r="J28" s="12" t="s">
        <v>6587</v>
      </c>
      <c r="K28" s="10">
        <v>427943</v>
      </c>
      <c r="L28" s="12" t="s">
        <v>6588</v>
      </c>
      <c r="M28" s="10">
        <v>41746170819</v>
      </c>
      <c r="N28" s="10">
        <v>4912441</v>
      </c>
      <c r="O28" s="12">
        <v>1</v>
      </c>
    </row>
    <row r="29" spans="1:15" ht="15" customHeight="1" x14ac:dyDescent="0.3">
      <c r="A29" s="9">
        <v>43632</v>
      </c>
      <c r="B29" s="10">
        <v>1409</v>
      </c>
      <c r="C29" s="11">
        <v>0.23400000000000001</v>
      </c>
      <c r="D29" s="10">
        <v>5737</v>
      </c>
      <c r="E29" s="11">
        <v>0.30599999999999999</v>
      </c>
      <c r="F29" s="10">
        <v>926631</v>
      </c>
      <c r="G29" s="11">
        <v>0.32</v>
      </c>
      <c r="H29" s="11">
        <v>0.44600000000000001</v>
      </c>
      <c r="I29" s="10">
        <v>3671179210</v>
      </c>
      <c r="J29" s="12" t="s">
        <v>6589</v>
      </c>
      <c r="K29" s="10">
        <v>413326</v>
      </c>
      <c r="L29" s="12" t="s">
        <v>6590</v>
      </c>
      <c r="M29" s="10">
        <v>45417350029</v>
      </c>
      <c r="N29" s="10">
        <v>5325767</v>
      </c>
      <c r="O29" s="12">
        <v>1</v>
      </c>
    </row>
    <row r="30" spans="1:15" ht="15" customHeight="1" x14ac:dyDescent="0.3">
      <c r="A30" s="9">
        <v>43633</v>
      </c>
      <c r="B30" s="10">
        <v>1168</v>
      </c>
      <c r="C30" s="11">
        <v>0.222</v>
      </c>
      <c r="D30" s="10">
        <v>4908</v>
      </c>
      <c r="E30" s="11">
        <v>0.28199999999999997</v>
      </c>
      <c r="F30" s="10">
        <v>810066</v>
      </c>
      <c r="G30" s="11">
        <v>0.29899999999999999</v>
      </c>
      <c r="H30" s="11">
        <v>0.16200000000000001</v>
      </c>
      <c r="I30" s="10">
        <v>1106625600</v>
      </c>
      <c r="J30" s="12" t="s">
        <v>6591</v>
      </c>
      <c r="K30" s="10">
        <v>131239</v>
      </c>
      <c r="L30" s="12" t="s">
        <v>6592</v>
      </c>
      <c r="M30" s="10">
        <v>46523975629</v>
      </c>
      <c r="N30" s="10">
        <v>5457006</v>
      </c>
      <c r="O30" s="12">
        <v>1</v>
      </c>
    </row>
    <row r="31" spans="1:15" ht="15" customHeight="1" x14ac:dyDescent="0.3">
      <c r="A31" s="9">
        <v>43634</v>
      </c>
      <c r="B31" s="10">
        <v>1198</v>
      </c>
      <c r="C31" s="11">
        <v>0.22</v>
      </c>
      <c r="D31" s="10">
        <v>4968</v>
      </c>
      <c r="E31" s="11">
        <v>0.28699999999999998</v>
      </c>
      <c r="F31" s="10">
        <v>818721</v>
      </c>
      <c r="G31" s="11">
        <v>0.30399999999999999</v>
      </c>
      <c r="H31" s="11">
        <v>0.16200000000000001</v>
      </c>
      <c r="I31" s="10">
        <v>1110765950</v>
      </c>
      <c r="J31" s="12" t="s">
        <v>6593</v>
      </c>
      <c r="K31" s="10">
        <v>132540</v>
      </c>
      <c r="L31" s="12" t="s">
        <v>6594</v>
      </c>
      <c r="M31" s="10">
        <v>47634741579</v>
      </c>
      <c r="N31" s="10">
        <v>5589546</v>
      </c>
      <c r="O31" s="12">
        <v>1</v>
      </c>
    </row>
    <row r="32" spans="1:15" ht="15" customHeight="1" x14ac:dyDescent="0.3">
      <c r="A32" s="9">
        <v>43635</v>
      </c>
      <c r="B32" s="10">
        <v>1027</v>
      </c>
      <c r="C32" s="11">
        <v>0.20200000000000001</v>
      </c>
      <c r="D32" s="10">
        <v>4435</v>
      </c>
      <c r="E32" s="11">
        <v>0.249</v>
      </c>
      <c r="F32" s="10">
        <v>748910</v>
      </c>
      <c r="G32" s="11">
        <v>0.27100000000000002</v>
      </c>
      <c r="H32" s="11">
        <v>0.182</v>
      </c>
      <c r="I32" s="10">
        <v>1153558190</v>
      </c>
      <c r="J32" s="12" t="s">
        <v>6595</v>
      </c>
      <c r="K32" s="10">
        <v>136650</v>
      </c>
      <c r="L32" s="12" t="s">
        <v>6596</v>
      </c>
      <c r="M32" s="10">
        <v>48788299769</v>
      </c>
      <c r="N32" s="10">
        <v>5726196</v>
      </c>
      <c r="O32" s="12">
        <v>1</v>
      </c>
    </row>
    <row r="33" spans="1:15" ht="15" customHeight="1" x14ac:dyDescent="0.3">
      <c r="A33" s="9">
        <v>43636</v>
      </c>
      <c r="B33" s="12">
        <v>875</v>
      </c>
      <c r="C33" s="11">
        <v>0.154</v>
      </c>
      <c r="D33" s="10">
        <v>3204</v>
      </c>
      <c r="E33" s="11">
        <v>0.17</v>
      </c>
      <c r="F33" s="10">
        <v>515106</v>
      </c>
      <c r="G33" s="11">
        <v>0.17399999999999999</v>
      </c>
      <c r="H33" s="11">
        <v>0.23699999999999999</v>
      </c>
      <c r="I33" s="10">
        <v>1012960770</v>
      </c>
      <c r="J33" s="12" t="s">
        <v>6597</v>
      </c>
      <c r="K33" s="10">
        <v>122023</v>
      </c>
      <c r="L33" s="12" t="s">
        <v>6598</v>
      </c>
      <c r="M33" s="10">
        <v>49801260539</v>
      </c>
      <c r="N33" s="10">
        <v>5848219</v>
      </c>
      <c r="O33" s="12">
        <v>2</v>
      </c>
    </row>
    <row r="34" spans="1:15" ht="15" customHeight="1" x14ac:dyDescent="0.3">
      <c r="A34" s="9">
        <v>43637</v>
      </c>
      <c r="B34" s="12">
        <v>977</v>
      </c>
      <c r="C34" s="11">
        <v>0.16900000000000001</v>
      </c>
      <c r="D34" s="10">
        <v>3626</v>
      </c>
      <c r="E34" s="11">
        <v>0.189</v>
      </c>
      <c r="F34" s="10">
        <v>576526</v>
      </c>
      <c r="G34" s="11">
        <v>0.192</v>
      </c>
      <c r="H34" s="11">
        <v>0.3</v>
      </c>
      <c r="I34" s="10">
        <v>1584330080</v>
      </c>
      <c r="J34" s="12" t="s">
        <v>6599</v>
      </c>
      <c r="K34" s="10">
        <v>172890</v>
      </c>
      <c r="L34" s="12" t="s">
        <v>6600</v>
      </c>
      <c r="M34" s="10">
        <v>51385590619</v>
      </c>
      <c r="N34" s="10">
        <v>6021109</v>
      </c>
      <c r="O34" s="12">
        <v>1</v>
      </c>
    </row>
    <row r="35" spans="1:15" ht="15" customHeight="1" x14ac:dyDescent="0.3">
      <c r="A35" s="9">
        <v>43638</v>
      </c>
      <c r="B35" s="10">
        <v>1174</v>
      </c>
      <c r="C35" s="11">
        <v>0.183</v>
      </c>
      <c r="D35" s="10">
        <v>4515</v>
      </c>
      <c r="E35" s="11">
        <v>0.22500000000000001</v>
      </c>
      <c r="F35" s="10">
        <v>717196</v>
      </c>
      <c r="G35" s="11">
        <v>0.22900000000000001</v>
      </c>
      <c r="H35" s="11">
        <v>0.56000000000000005</v>
      </c>
      <c r="I35" s="10">
        <v>3562347560</v>
      </c>
      <c r="J35" s="12" t="s">
        <v>6601</v>
      </c>
      <c r="K35" s="10">
        <v>401926</v>
      </c>
      <c r="L35" s="12" t="s">
        <v>6602</v>
      </c>
      <c r="M35" s="10">
        <v>54947938179</v>
      </c>
      <c r="N35" s="10">
        <v>6423035</v>
      </c>
      <c r="O35" s="12">
        <v>2</v>
      </c>
    </row>
    <row r="36" spans="1:15" ht="15" customHeight="1" x14ac:dyDescent="0.3">
      <c r="A36" s="9">
        <v>43639</v>
      </c>
      <c r="B36" s="10">
        <v>1226</v>
      </c>
      <c r="C36" s="11">
        <v>0.19</v>
      </c>
      <c r="D36" s="10">
        <v>4577</v>
      </c>
      <c r="E36" s="11">
        <v>0.23300000000000001</v>
      </c>
      <c r="F36" s="10">
        <v>725312</v>
      </c>
      <c r="G36" s="11">
        <v>0.23599999999999999</v>
      </c>
      <c r="H36" s="11">
        <v>0.51900000000000002</v>
      </c>
      <c r="I36" s="10">
        <v>3304901600</v>
      </c>
      <c r="J36" s="12" t="s">
        <v>6603</v>
      </c>
      <c r="K36" s="10">
        <v>376622</v>
      </c>
      <c r="L36" s="12" t="s">
        <v>6604</v>
      </c>
      <c r="M36" s="10">
        <v>58252839779</v>
      </c>
      <c r="N36" s="10">
        <v>6799657</v>
      </c>
      <c r="O36" s="12">
        <v>2</v>
      </c>
    </row>
    <row r="37" spans="1:15" ht="15" customHeight="1" x14ac:dyDescent="0.3">
      <c r="A37" s="9">
        <v>43640</v>
      </c>
      <c r="B37" s="10">
        <v>1036</v>
      </c>
      <c r="C37" s="11">
        <v>0.19</v>
      </c>
      <c r="D37" s="10">
        <v>4203</v>
      </c>
      <c r="E37" s="11">
        <v>0.22800000000000001</v>
      </c>
      <c r="F37" s="10">
        <v>692287</v>
      </c>
      <c r="G37" s="11">
        <v>0.24</v>
      </c>
      <c r="H37" s="11">
        <v>0.185</v>
      </c>
      <c r="I37" s="10">
        <v>1067394260</v>
      </c>
      <c r="J37" s="12" t="s">
        <v>6605</v>
      </c>
      <c r="K37" s="10">
        <v>127993</v>
      </c>
      <c r="L37" s="12" t="s">
        <v>6606</v>
      </c>
      <c r="M37" s="10">
        <v>59320234039</v>
      </c>
      <c r="N37" s="10">
        <v>6927650</v>
      </c>
      <c r="O37" s="12">
        <v>1</v>
      </c>
    </row>
    <row r="38" spans="1:15" ht="15" customHeight="1" x14ac:dyDescent="0.3">
      <c r="A38" s="9">
        <v>43641</v>
      </c>
      <c r="B38" s="10">
        <v>1043</v>
      </c>
      <c r="C38" s="11">
        <v>0.186</v>
      </c>
      <c r="D38" s="10">
        <v>4251</v>
      </c>
      <c r="E38" s="11">
        <v>0.23100000000000001</v>
      </c>
      <c r="F38" s="10">
        <v>699462</v>
      </c>
      <c r="G38" s="11">
        <v>0.24299999999999999</v>
      </c>
      <c r="H38" s="11">
        <v>0.17199999999999999</v>
      </c>
      <c r="I38" s="10">
        <v>998337580</v>
      </c>
      <c r="J38" s="12" t="s">
        <v>6607</v>
      </c>
      <c r="K38" s="10">
        <v>120315</v>
      </c>
      <c r="L38" s="12" t="s">
        <v>6608</v>
      </c>
      <c r="M38" s="10">
        <v>60318571619</v>
      </c>
      <c r="N38" s="10">
        <v>7047965</v>
      </c>
      <c r="O38" s="12">
        <v>1</v>
      </c>
    </row>
    <row r="39" spans="1:15" ht="15" customHeight="1" x14ac:dyDescent="0.3">
      <c r="A39" s="9">
        <v>43642</v>
      </c>
      <c r="B39" s="12">
        <v>939</v>
      </c>
      <c r="C39" s="11">
        <v>0.14599999999999999</v>
      </c>
      <c r="D39" s="10">
        <v>3385</v>
      </c>
      <c r="E39" s="11">
        <v>0.182</v>
      </c>
      <c r="F39" s="10">
        <v>612040</v>
      </c>
      <c r="G39" s="11">
        <v>0.21199999999999999</v>
      </c>
      <c r="H39" s="11">
        <v>0.32800000000000001</v>
      </c>
      <c r="I39" s="10">
        <v>1256012600</v>
      </c>
      <c r="J39" s="12" t="s">
        <v>6609</v>
      </c>
      <c r="K39" s="10">
        <v>200782</v>
      </c>
      <c r="L39" s="12" t="s">
        <v>6610</v>
      </c>
      <c r="M39" s="10">
        <v>61574584219</v>
      </c>
      <c r="N39" s="10">
        <v>7248747</v>
      </c>
      <c r="O39" s="12">
        <v>1</v>
      </c>
    </row>
    <row r="40" spans="1:15" ht="15" customHeight="1" x14ac:dyDescent="0.3">
      <c r="A40" s="9">
        <v>43643</v>
      </c>
      <c r="B40" s="12">
        <v>890</v>
      </c>
      <c r="C40" s="11">
        <v>0.14699999999999999</v>
      </c>
      <c r="D40" s="10">
        <v>3477</v>
      </c>
      <c r="E40" s="11">
        <v>0.187</v>
      </c>
      <c r="F40" s="10">
        <v>636476</v>
      </c>
      <c r="G40" s="11">
        <v>0.22</v>
      </c>
      <c r="H40" s="11">
        <v>0.17899999999999999</v>
      </c>
      <c r="I40" s="10">
        <v>942441960</v>
      </c>
      <c r="J40" s="12" t="s">
        <v>6611</v>
      </c>
      <c r="K40" s="10">
        <v>113611</v>
      </c>
      <c r="L40" s="12" t="s">
        <v>6612</v>
      </c>
      <c r="M40" s="10">
        <v>62517026179</v>
      </c>
      <c r="N40" s="10">
        <v>7362358</v>
      </c>
      <c r="O40" s="12">
        <v>1</v>
      </c>
    </row>
    <row r="41" spans="1:15" ht="15" customHeight="1" x14ac:dyDescent="0.3">
      <c r="A41" s="9">
        <v>43644</v>
      </c>
      <c r="B41" s="12">
        <v>970</v>
      </c>
      <c r="C41" s="11">
        <v>0.158</v>
      </c>
      <c r="D41" s="10">
        <v>3827</v>
      </c>
      <c r="E41" s="11">
        <v>0.20200000000000001</v>
      </c>
      <c r="F41" s="10">
        <v>692038</v>
      </c>
      <c r="G41" s="11">
        <v>0.23599999999999999</v>
      </c>
      <c r="H41" s="11">
        <v>0.219</v>
      </c>
      <c r="I41" s="10">
        <v>1394146730</v>
      </c>
      <c r="J41" s="12" t="s">
        <v>6613</v>
      </c>
      <c r="K41" s="10">
        <v>151505</v>
      </c>
      <c r="L41" s="12" t="s">
        <v>6614</v>
      </c>
      <c r="M41" s="10">
        <v>63911172909</v>
      </c>
      <c r="N41" s="10">
        <v>7513863</v>
      </c>
      <c r="O41" s="12">
        <v>1</v>
      </c>
    </row>
    <row r="42" spans="1:15" ht="15" customHeight="1" x14ac:dyDescent="0.3">
      <c r="A42" s="9">
        <v>43645</v>
      </c>
      <c r="B42" s="10">
        <v>1172</v>
      </c>
      <c r="C42" s="11">
        <v>0.17399999999999999</v>
      </c>
      <c r="D42" s="10">
        <v>4702</v>
      </c>
      <c r="E42" s="11">
        <v>0.23699999999999999</v>
      </c>
      <c r="F42" s="10">
        <v>841725</v>
      </c>
      <c r="G42" s="11">
        <v>0.27500000000000002</v>
      </c>
      <c r="H42" s="11">
        <v>0.47299999999999998</v>
      </c>
      <c r="I42" s="10">
        <v>3538350480</v>
      </c>
      <c r="J42" s="12" t="s">
        <v>6615</v>
      </c>
      <c r="K42" s="10">
        <v>398137</v>
      </c>
      <c r="L42" s="12" t="s">
        <v>6616</v>
      </c>
      <c r="M42" s="10">
        <v>67449523389</v>
      </c>
      <c r="N42" s="10">
        <v>7912000</v>
      </c>
      <c r="O42" s="12">
        <v>1</v>
      </c>
    </row>
    <row r="43" spans="1:15" ht="15" customHeight="1" x14ac:dyDescent="0.3">
      <c r="A43" s="9">
        <v>43646</v>
      </c>
      <c r="B43" s="10">
        <v>1199</v>
      </c>
      <c r="C43" s="11">
        <v>0.17799999999999999</v>
      </c>
      <c r="D43" s="10">
        <v>4677</v>
      </c>
      <c r="E43" s="11">
        <v>0.24</v>
      </c>
      <c r="F43" s="10">
        <v>836842</v>
      </c>
      <c r="G43" s="11">
        <v>0.27900000000000003</v>
      </c>
      <c r="H43" s="11">
        <v>0.43</v>
      </c>
      <c r="I43" s="10">
        <v>3156555950</v>
      </c>
      <c r="J43" s="12" t="s">
        <v>6617</v>
      </c>
      <c r="K43" s="10">
        <v>359759</v>
      </c>
      <c r="L43" s="12" t="s">
        <v>6618</v>
      </c>
      <c r="M43" s="10">
        <v>70606079339</v>
      </c>
      <c r="N43" s="10">
        <v>8271759</v>
      </c>
      <c r="O43" s="12">
        <v>1</v>
      </c>
    </row>
    <row r="44" spans="1:15" ht="15" customHeight="1" x14ac:dyDescent="0.3">
      <c r="A44" s="9">
        <v>43647</v>
      </c>
      <c r="B44" s="10">
        <v>1030</v>
      </c>
      <c r="C44" s="11">
        <v>0.155</v>
      </c>
      <c r="D44" s="10">
        <v>3961</v>
      </c>
      <c r="E44" s="11">
        <v>0.21199999999999999</v>
      </c>
      <c r="F44" s="10">
        <v>707440</v>
      </c>
      <c r="G44" s="11">
        <v>0.24299999999999999</v>
      </c>
      <c r="H44" s="11">
        <v>0.158</v>
      </c>
      <c r="I44" s="10">
        <v>926508510</v>
      </c>
      <c r="J44" s="12" t="s">
        <v>6619</v>
      </c>
      <c r="K44" s="10">
        <v>111674</v>
      </c>
      <c r="L44" s="12" t="s">
        <v>6620</v>
      </c>
      <c r="M44" s="10">
        <v>71532587849</v>
      </c>
      <c r="N44" s="10">
        <v>8383433</v>
      </c>
      <c r="O44" s="12">
        <v>1</v>
      </c>
    </row>
    <row r="45" spans="1:15" ht="15" customHeight="1" x14ac:dyDescent="0.3">
      <c r="A45" s="9">
        <v>43648</v>
      </c>
      <c r="B45" s="12">
        <v>651</v>
      </c>
      <c r="C45" s="11">
        <v>0.111</v>
      </c>
      <c r="D45" s="10">
        <v>2263</v>
      </c>
      <c r="E45" s="11">
        <v>0.121</v>
      </c>
      <c r="F45" s="10">
        <v>307973</v>
      </c>
      <c r="G45" s="11">
        <v>0.107</v>
      </c>
      <c r="H45" s="11">
        <v>0.23499999999999999</v>
      </c>
      <c r="I45" s="10">
        <v>589054240</v>
      </c>
      <c r="J45" s="12" t="s">
        <v>6621</v>
      </c>
      <c r="K45" s="10">
        <v>72410</v>
      </c>
      <c r="L45" s="12" t="s">
        <v>6622</v>
      </c>
      <c r="M45" s="10">
        <v>72121642089</v>
      </c>
      <c r="N45" s="10">
        <v>8455843</v>
      </c>
      <c r="O45" s="12">
        <v>2</v>
      </c>
    </row>
    <row r="46" spans="1:15" ht="15" customHeight="1" x14ac:dyDescent="0.3">
      <c r="A46" s="9">
        <v>43649</v>
      </c>
      <c r="B46" s="12">
        <v>691</v>
      </c>
      <c r="C46" s="11">
        <v>0.125</v>
      </c>
      <c r="D46" s="10">
        <v>2450</v>
      </c>
      <c r="E46" s="11">
        <v>0.13200000000000001</v>
      </c>
      <c r="F46" s="10">
        <v>331155</v>
      </c>
      <c r="G46" s="11">
        <v>0.11600000000000001</v>
      </c>
      <c r="H46" s="11">
        <v>0.24099999999999999</v>
      </c>
      <c r="I46" s="10">
        <v>644215680</v>
      </c>
      <c r="J46" s="12" t="s">
        <v>6623</v>
      </c>
      <c r="K46" s="10">
        <v>79742</v>
      </c>
      <c r="L46" s="12" t="s">
        <v>6624</v>
      </c>
      <c r="M46" s="10">
        <v>72765857769</v>
      </c>
      <c r="N46" s="10">
        <v>8535585</v>
      </c>
      <c r="O46" s="12">
        <v>2</v>
      </c>
    </row>
    <row r="47" spans="1:15" ht="15" customHeight="1" x14ac:dyDescent="0.3">
      <c r="A47" s="9">
        <v>43650</v>
      </c>
      <c r="B47" s="12">
        <v>694</v>
      </c>
      <c r="C47" s="11">
        <v>0.122</v>
      </c>
      <c r="D47" s="10">
        <v>2421</v>
      </c>
      <c r="E47" s="11">
        <v>0.13100000000000001</v>
      </c>
      <c r="F47" s="10">
        <v>329128</v>
      </c>
      <c r="G47" s="11">
        <v>0.115</v>
      </c>
      <c r="H47" s="11">
        <v>0.253</v>
      </c>
      <c r="I47" s="10">
        <v>671530540</v>
      </c>
      <c r="J47" s="12" t="s">
        <v>6625</v>
      </c>
      <c r="K47" s="10">
        <v>83127</v>
      </c>
      <c r="L47" s="12" t="s">
        <v>6626</v>
      </c>
      <c r="M47" s="10">
        <v>73437388309</v>
      </c>
      <c r="N47" s="10">
        <v>8618712</v>
      </c>
      <c r="O47" s="12">
        <v>2</v>
      </c>
    </row>
    <row r="48" spans="1:15" ht="15" customHeight="1" x14ac:dyDescent="0.3">
      <c r="A48" s="9">
        <v>43651</v>
      </c>
      <c r="B48" s="12">
        <v>715</v>
      </c>
      <c r="C48" s="11">
        <v>0.124</v>
      </c>
      <c r="D48" s="10">
        <v>2522</v>
      </c>
      <c r="E48" s="11">
        <v>0.13300000000000001</v>
      </c>
      <c r="F48" s="10">
        <v>341169</v>
      </c>
      <c r="G48" s="11">
        <v>0.11700000000000001</v>
      </c>
      <c r="H48" s="11">
        <v>0.36399999999999999</v>
      </c>
      <c r="I48" s="10">
        <v>1102744830</v>
      </c>
      <c r="J48" s="12" t="s">
        <v>6627</v>
      </c>
      <c r="K48" s="10">
        <v>124142</v>
      </c>
      <c r="L48" s="12" t="s">
        <v>6628</v>
      </c>
      <c r="M48" s="10">
        <v>74540133139</v>
      </c>
      <c r="N48" s="10">
        <v>8742854</v>
      </c>
      <c r="O48" s="12">
        <v>2</v>
      </c>
    </row>
    <row r="49" spans="1:15" ht="15" customHeight="1" x14ac:dyDescent="0.3">
      <c r="A49" s="9">
        <v>43652</v>
      </c>
      <c r="B49" s="12">
        <v>806</v>
      </c>
      <c r="C49" s="11">
        <v>0.13700000000000001</v>
      </c>
      <c r="D49" s="10">
        <v>2855</v>
      </c>
      <c r="E49" s="11">
        <v>0.14399999999999999</v>
      </c>
      <c r="F49" s="10">
        <v>373424</v>
      </c>
      <c r="G49" s="11">
        <v>0.123</v>
      </c>
      <c r="H49" s="11">
        <v>0.66200000000000003</v>
      </c>
      <c r="I49" s="10">
        <v>2126663380</v>
      </c>
      <c r="J49" s="12" t="s">
        <v>6629</v>
      </c>
      <c r="K49" s="10">
        <v>247200</v>
      </c>
      <c r="L49" s="12" t="s">
        <v>6630</v>
      </c>
      <c r="M49" s="10">
        <v>76666796519</v>
      </c>
      <c r="N49" s="10">
        <v>8990054</v>
      </c>
      <c r="O49" s="12">
        <v>2</v>
      </c>
    </row>
    <row r="50" spans="1:15" ht="15" customHeight="1" x14ac:dyDescent="0.3">
      <c r="A50" s="9">
        <v>43653</v>
      </c>
      <c r="B50" s="12">
        <v>841</v>
      </c>
      <c r="C50" s="11">
        <v>0.14199999999999999</v>
      </c>
      <c r="D50" s="10">
        <v>2863</v>
      </c>
      <c r="E50" s="11">
        <v>0.14799999999999999</v>
      </c>
      <c r="F50" s="10">
        <v>375312</v>
      </c>
      <c r="G50" s="11">
        <v>0.126</v>
      </c>
      <c r="H50" s="11">
        <v>0.62</v>
      </c>
      <c r="I50" s="10">
        <v>1988360700</v>
      </c>
      <c r="J50" s="12" t="s">
        <v>6631</v>
      </c>
      <c r="K50" s="10">
        <v>232580</v>
      </c>
      <c r="L50" s="12" t="s">
        <v>6632</v>
      </c>
      <c r="M50" s="10">
        <v>78655157219</v>
      </c>
      <c r="N50" s="10">
        <v>9222634</v>
      </c>
      <c r="O50" s="12">
        <v>2</v>
      </c>
    </row>
    <row r="51" spans="1:15" ht="15" customHeight="1" x14ac:dyDescent="0.3">
      <c r="A51" s="9">
        <v>43654</v>
      </c>
      <c r="B51" s="12">
        <v>728</v>
      </c>
      <c r="C51" s="11">
        <v>0.13200000000000001</v>
      </c>
      <c r="D51" s="10">
        <v>2686</v>
      </c>
      <c r="E51" s="11">
        <v>0.14799999999999999</v>
      </c>
      <c r="F51" s="10">
        <v>366663</v>
      </c>
      <c r="G51" s="11">
        <v>0.13</v>
      </c>
      <c r="H51" s="11">
        <v>0.21299999999999999</v>
      </c>
      <c r="I51" s="10">
        <v>638264220</v>
      </c>
      <c r="J51" s="12" t="s">
        <v>6633</v>
      </c>
      <c r="K51" s="10">
        <v>77948</v>
      </c>
      <c r="L51" s="12" t="s">
        <v>6634</v>
      </c>
      <c r="M51" s="10">
        <v>79293421439</v>
      </c>
      <c r="N51" s="10">
        <v>9300582</v>
      </c>
      <c r="O51" s="12">
        <v>2</v>
      </c>
    </row>
    <row r="52" spans="1:15" ht="15" customHeight="1" x14ac:dyDescent="0.3">
      <c r="A52" s="9">
        <v>43655</v>
      </c>
      <c r="B52" s="12">
        <v>770</v>
      </c>
      <c r="C52" s="11">
        <v>0.13600000000000001</v>
      </c>
      <c r="D52" s="10">
        <v>2741</v>
      </c>
      <c r="E52" s="11">
        <v>0.151</v>
      </c>
      <c r="F52" s="10">
        <v>373074</v>
      </c>
      <c r="G52" s="11">
        <v>0.13300000000000001</v>
      </c>
      <c r="H52" s="11">
        <v>0.22900000000000001</v>
      </c>
      <c r="I52" s="10">
        <v>691661230</v>
      </c>
      <c r="J52" s="12" t="s">
        <v>6635</v>
      </c>
      <c r="K52" s="10">
        <v>85552</v>
      </c>
      <c r="L52" s="12" t="s">
        <v>6636</v>
      </c>
      <c r="M52" s="10">
        <v>79985082669</v>
      </c>
      <c r="N52" s="10">
        <v>9386134</v>
      </c>
      <c r="O52" s="12">
        <v>2</v>
      </c>
    </row>
    <row r="53" spans="1:15" ht="15" customHeight="1" x14ac:dyDescent="0.3">
      <c r="A53" s="9">
        <v>43656</v>
      </c>
      <c r="B53" s="12">
        <v>706</v>
      </c>
      <c r="C53" s="11">
        <v>0.13300000000000001</v>
      </c>
      <c r="D53" s="10">
        <v>2659</v>
      </c>
      <c r="E53" s="11">
        <v>0.14399999999999999</v>
      </c>
      <c r="F53" s="10">
        <v>370814</v>
      </c>
      <c r="G53" s="11">
        <v>0.13</v>
      </c>
      <c r="H53" s="11">
        <v>0.21099999999999999</v>
      </c>
      <c r="I53" s="10">
        <v>638052280</v>
      </c>
      <c r="J53" s="12" t="s">
        <v>6637</v>
      </c>
      <c r="K53" s="10">
        <v>78149</v>
      </c>
      <c r="L53" s="12" t="s">
        <v>6638</v>
      </c>
      <c r="M53" s="10">
        <v>80623134949</v>
      </c>
      <c r="N53" s="10">
        <v>9464283</v>
      </c>
      <c r="O53" s="12">
        <v>2</v>
      </c>
    </row>
    <row r="54" spans="1:15" ht="15" customHeight="1" x14ac:dyDescent="0.3">
      <c r="A54" s="9">
        <v>43657</v>
      </c>
      <c r="B54" s="12">
        <v>713</v>
      </c>
      <c r="C54" s="11">
        <v>0.121</v>
      </c>
      <c r="D54" s="10">
        <v>2541</v>
      </c>
      <c r="E54" s="11">
        <v>0.13700000000000001</v>
      </c>
      <c r="F54" s="10">
        <v>358853</v>
      </c>
      <c r="G54" s="11">
        <v>0.125</v>
      </c>
      <c r="H54" s="11">
        <v>0.20499999999999999</v>
      </c>
      <c r="I54" s="10">
        <v>602756510</v>
      </c>
      <c r="J54" s="12" t="s">
        <v>6639</v>
      </c>
      <c r="K54" s="10">
        <v>73409</v>
      </c>
      <c r="L54" s="12" t="s">
        <v>6640</v>
      </c>
      <c r="M54" s="10">
        <v>81225891459</v>
      </c>
      <c r="N54" s="10">
        <v>9537692</v>
      </c>
      <c r="O54" s="12">
        <v>2</v>
      </c>
    </row>
    <row r="55" spans="1:15" ht="15" customHeight="1" x14ac:dyDescent="0.3">
      <c r="A55" s="9">
        <v>43658</v>
      </c>
      <c r="B55" s="12">
        <v>797</v>
      </c>
      <c r="C55" s="11">
        <v>0.13</v>
      </c>
      <c r="D55" s="10">
        <v>2827</v>
      </c>
      <c r="E55" s="11">
        <v>0.14899999999999999</v>
      </c>
      <c r="F55" s="10">
        <v>402056</v>
      </c>
      <c r="G55" s="11">
        <v>0.13800000000000001</v>
      </c>
      <c r="H55" s="11">
        <v>0.251</v>
      </c>
      <c r="I55" s="10">
        <v>914897680</v>
      </c>
      <c r="J55" s="12" t="s">
        <v>6641</v>
      </c>
      <c r="K55" s="10">
        <v>101041</v>
      </c>
      <c r="L55" s="12" t="s">
        <v>6642</v>
      </c>
      <c r="M55" s="10">
        <v>82140789139</v>
      </c>
      <c r="N55" s="10">
        <v>9638733</v>
      </c>
      <c r="O55" s="12">
        <v>2</v>
      </c>
    </row>
    <row r="56" spans="1:15" ht="15" customHeight="1" x14ac:dyDescent="0.3">
      <c r="A56" s="9">
        <v>43659</v>
      </c>
      <c r="B56" s="12">
        <v>939</v>
      </c>
      <c r="C56" s="11">
        <v>0.14499999999999999</v>
      </c>
      <c r="D56" s="10">
        <v>3384</v>
      </c>
      <c r="E56" s="11">
        <v>0.16800000000000001</v>
      </c>
      <c r="F56" s="10">
        <v>482272</v>
      </c>
      <c r="G56" s="11">
        <v>0.157</v>
      </c>
      <c r="H56" s="11">
        <v>0.54600000000000004</v>
      </c>
      <c r="I56" s="10">
        <v>2309276480</v>
      </c>
      <c r="J56" s="12" t="s">
        <v>6643</v>
      </c>
      <c r="K56" s="10">
        <v>263340</v>
      </c>
      <c r="L56" s="12" t="s">
        <v>6644</v>
      </c>
      <c r="M56" s="10">
        <v>84450065619</v>
      </c>
      <c r="N56" s="10">
        <v>9902073</v>
      </c>
      <c r="O56" s="12">
        <v>2</v>
      </c>
    </row>
    <row r="57" spans="1:15" ht="15" customHeight="1" x14ac:dyDescent="0.3">
      <c r="A57" s="9">
        <v>43660</v>
      </c>
      <c r="B57" s="12">
        <v>975</v>
      </c>
      <c r="C57" s="11">
        <v>0.151</v>
      </c>
      <c r="D57" s="10">
        <v>3422</v>
      </c>
      <c r="E57" s="11">
        <v>0.17399999999999999</v>
      </c>
      <c r="F57" s="10">
        <v>486306</v>
      </c>
      <c r="G57" s="11">
        <v>0.16200000000000001</v>
      </c>
      <c r="H57" s="11">
        <v>0.53300000000000003</v>
      </c>
      <c r="I57" s="10">
        <v>2253798860</v>
      </c>
      <c r="J57" s="12" t="s">
        <v>6645</v>
      </c>
      <c r="K57" s="10">
        <v>259165</v>
      </c>
      <c r="L57" s="12" t="s">
        <v>6646</v>
      </c>
      <c r="M57" s="10">
        <v>86703864479</v>
      </c>
      <c r="N57" s="10">
        <v>10161238</v>
      </c>
      <c r="O57" s="12">
        <v>2</v>
      </c>
    </row>
    <row r="58" spans="1:15" ht="15" customHeight="1" x14ac:dyDescent="0.3">
      <c r="A58" s="9">
        <v>43661</v>
      </c>
      <c r="B58" s="12">
        <v>822</v>
      </c>
      <c r="C58" s="11">
        <v>0.14399999999999999</v>
      </c>
      <c r="D58" s="10">
        <v>3029</v>
      </c>
      <c r="E58" s="11">
        <v>0.16900000000000001</v>
      </c>
      <c r="F58" s="10">
        <v>434884</v>
      </c>
      <c r="G58" s="11">
        <v>0.157</v>
      </c>
      <c r="H58" s="11">
        <v>0.185</v>
      </c>
      <c r="I58" s="10">
        <v>664191310</v>
      </c>
      <c r="J58" s="12" t="s">
        <v>6647</v>
      </c>
      <c r="K58" s="10">
        <v>80404</v>
      </c>
      <c r="L58" s="12" t="s">
        <v>6648</v>
      </c>
      <c r="M58" s="10">
        <v>87368055789</v>
      </c>
      <c r="N58" s="10">
        <v>10241642</v>
      </c>
      <c r="O58" s="12">
        <v>2</v>
      </c>
    </row>
    <row r="59" spans="1:15" ht="15" customHeight="1" x14ac:dyDescent="0.3">
      <c r="A59" s="9">
        <v>43662</v>
      </c>
      <c r="B59" s="12">
        <v>858</v>
      </c>
      <c r="C59" s="11">
        <v>0.14499999999999999</v>
      </c>
      <c r="D59" s="10">
        <v>3100</v>
      </c>
      <c r="E59" s="11">
        <v>0.17199999999999999</v>
      </c>
      <c r="F59" s="10">
        <v>449374</v>
      </c>
      <c r="G59" s="11">
        <v>0.16200000000000001</v>
      </c>
      <c r="H59" s="11">
        <v>0.187</v>
      </c>
      <c r="I59" s="10">
        <v>686843870</v>
      </c>
      <c r="J59" s="12" t="s">
        <v>6649</v>
      </c>
      <c r="K59" s="10">
        <v>84162</v>
      </c>
      <c r="L59" s="12" t="s">
        <v>6650</v>
      </c>
      <c r="M59" s="10">
        <v>88054899659</v>
      </c>
      <c r="N59" s="10">
        <v>10325804</v>
      </c>
      <c r="O59" s="12">
        <v>2</v>
      </c>
    </row>
    <row r="60" spans="1:15" ht="15" customHeight="1" x14ac:dyDescent="0.3">
      <c r="A60" s="9">
        <v>43663</v>
      </c>
      <c r="B60" s="12">
        <v>647</v>
      </c>
      <c r="C60" s="11">
        <v>0.113</v>
      </c>
      <c r="D60" s="10">
        <v>2022</v>
      </c>
      <c r="E60" s="11">
        <v>0.105</v>
      </c>
      <c r="F60" s="10">
        <v>264245</v>
      </c>
      <c r="G60" s="11">
        <v>8.8999999999999996E-2</v>
      </c>
      <c r="H60" s="11">
        <v>0.21299999999999999</v>
      </c>
      <c r="I60" s="10">
        <v>457452320</v>
      </c>
      <c r="J60" s="12" t="s">
        <v>6651</v>
      </c>
      <c r="K60" s="10">
        <v>56322</v>
      </c>
      <c r="L60" s="12" t="s">
        <v>6652</v>
      </c>
      <c r="M60" s="10">
        <v>88512351979</v>
      </c>
      <c r="N60" s="10">
        <v>10382126</v>
      </c>
      <c r="O60" s="12">
        <v>3</v>
      </c>
    </row>
    <row r="61" spans="1:15" ht="15" customHeight="1" x14ac:dyDescent="0.3"/>
    <row r="62" spans="1:15" ht="15" customHeight="1" x14ac:dyDescent="0.3"/>
    <row r="63" spans="1:15" ht="15" customHeight="1" x14ac:dyDescent="0.3"/>
    <row r="64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10CFD-C27B-4922-B97E-F01002846C46}">
  <dimension ref="A1:O54"/>
  <sheetViews>
    <sheetView showGridLines="0" workbookViewId="0">
      <selection activeCell="A5" sqref="A5:O9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3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6316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43573</v>
      </c>
      <c r="B5" s="12">
        <v>363</v>
      </c>
      <c r="C5" s="11">
        <v>5.5E-2</v>
      </c>
      <c r="D5" s="12">
        <v>798</v>
      </c>
      <c r="E5" s="11">
        <v>4.9000000000000002E-2</v>
      </c>
      <c r="F5" s="10">
        <v>105876</v>
      </c>
      <c r="G5" s="11">
        <v>0.04</v>
      </c>
      <c r="H5" s="11">
        <v>0.13700000000000001</v>
      </c>
      <c r="I5" s="10">
        <v>108193550</v>
      </c>
      <c r="J5" s="12" t="s">
        <v>6320</v>
      </c>
      <c r="K5" s="10">
        <v>14535</v>
      </c>
      <c r="L5" s="12" t="s">
        <v>6321</v>
      </c>
      <c r="M5" s="10">
        <v>123674550</v>
      </c>
      <c r="N5" s="10">
        <v>16364</v>
      </c>
      <c r="O5" s="12">
        <v>3</v>
      </c>
    </row>
    <row r="6" spans="1:15" ht="15" customHeight="1" x14ac:dyDescent="0.3">
      <c r="A6" s="9">
        <v>43574</v>
      </c>
      <c r="B6" s="12">
        <v>418</v>
      </c>
      <c r="C6" s="11">
        <v>6.0999999999999999E-2</v>
      </c>
      <c r="D6" s="12">
        <v>999</v>
      </c>
      <c r="E6" s="11">
        <v>5.8000000000000003E-2</v>
      </c>
      <c r="F6" s="10">
        <v>134070</v>
      </c>
      <c r="G6" s="11">
        <v>4.9000000000000002E-2</v>
      </c>
      <c r="H6" s="11">
        <v>9.5000000000000001E-2</v>
      </c>
      <c r="I6" s="10">
        <v>102440730</v>
      </c>
      <c r="J6" s="12" t="s">
        <v>6322</v>
      </c>
      <c r="K6" s="10">
        <v>12763</v>
      </c>
      <c r="L6" s="12" t="s">
        <v>6323</v>
      </c>
      <c r="M6" s="10">
        <v>226115280</v>
      </c>
      <c r="N6" s="10">
        <v>29127</v>
      </c>
      <c r="O6" s="12">
        <v>3</v>
      </c>
    </row>
    <row r="7" spans="1:15" ht="15" customHeight="1" x14ac:dyDescent="0.3">
      <c r="A7" s="9">
        <v>43575</v>
      </c>
      <c r="B7" s="12">
        <v>447</v>
      </c>
      <c r="C7" s="11">
        <v>5.8999999999999997E-2</v>
      </c>
      <c r="D7" s="10">
        <v>1236</v>
      </c>
      <c r="E7" s="11">
        <v>6.4000000000000001E-2</v>
      </c>
      <c r="F7" s="10">
        <v>178805</v>
      </c>
      <c r="G7" s="11">
        <v>5.8999999999999997E-2</v>
      </c>
      <c r="H7" s="11">
        <v>9.9000000000000005E-2</v>
      </c>
      <c r="I7" s="10">
        <v>145368740</v>
      </c>
      <c r="J7" s="12" t="s">
        <v>6324</v>
      </c>
      <c r="K7" s="10">
        <v>17669</v>
      </c>
      <c r="L7" s="12" t="s">
        <v>6325</v>
      </c>
      <c r="M7" s="10">
        <v>371484020</v>
      </c>
      <c r="N7" s="10">
        <v>46796</v>
      </c>
      <c r="O7" s="12">
        <v>5</v>
      </c>
    </row>
    <row r="8" spans="1:15" ht="15" customHeight="1" x14ac:dyDescent="0.3">
      <c r="A8" s="9">
        <v>43576</v>
      </c>
      <c r="B8" s="12">
        <v>445</v>
      </c>
      <c r="C8" s="11">
        <v>0.06</v>
      </c>
      <c r="D8" s="10">
        <v>1221</v>
      </c>
      <c r="E8" s="11">
        <v>6.6000000000000003E-2</v>
      </c>
      <c r="F8" s="10">
        <v>176185</v>
      </c>
      <c r="G8" s="11">
        <v>0.06</v>
      </c>
      <c r="H8" s="11">
        <v>8.7999999999999995E-2</v>
      </c>
      <c r="I8" s="10">
        <v>130370850</v>
      </c>
      <c r="J8" s="12" t="s">
        <v>6326</v>
      </c>
      <c r="K8" s="10">
        <v>15476</v>
      </c>
      <c r="L8" s="12" t="s">
        <v>6327</v>
      </c>
      <c r="M8" s="10">
        <v>501854870</v>
      </c>
      <c r="N8" s="10">
        <v>62272</v>
      </c>
      <c r="O8" s="12">
        <v>5</v>
      </c>
    </row>
    <row r="9" spans="1:15" ht="15" customHeight="1" x14ac:dyDescent="0.3">
      <c r="A9" s="9">
        <v>43577</v>
      </c>
      <c r="B9" s="12">
        <v>413</v>
      </c>
      <c r="C9" s="11">
        <v>6.5000000000000002E-2</v>
      </c>
      <c r="D9" s="10">
        <v>1076</v>
      </c>
      <c r="E9" s="11">
        <v>6.9000000000000006E-2</v>
      </c>
      <c r="F9" s="10">
        <v>151926</v>
      </c>
      <c r="G9" s="11">
        <v>6.0999999999999999E-2</v>
      </c>
      <c r="H9" s="11">
        <v>5.2999999999999999E-2</v>
      </c>
      <c r="I9" s="10">
        <v>60121220</v>
      </c>
      <c r="J9" s="12" t="s">
        <v>6328</v>
      </c>
      <c r="K9" s="10">
        <v>7981</v>
      </c>
      <c r="L9" s="12" t="s">
        <v>6329</v>
      </c>
      <c r="M9" s="10">
        <v>561976090</v>
      </c>
      <c r="N9" s="10">
        <v>70253</v>
      </c>
      <c r="O9" s="12">
        <v>4</v>
      </c>
    </row>
    <row r="10" spans="1:15" ht="15" customHeight="1" x14ac:dyDescent="0.3">
      <c r="A10" s="9">
        <v>43578</v>
      </c>
      <c r="B10" s="12">
        <v>422</v>
      </c>
      <c r="C10" s="11">
        <v>6.5000000000000002E-2</v>
      </c>
      <c r="D10" s="10">
        <v>1096</v>
      </c>
      <c r="E10" s="11">
        <v>7.0999999999999994E-2</v>
      </c>
      <c r="F10" s="10">
        <v>153958</v>
      </c>
      <c r="G10" s="11">
        <v>6.3E-2</v>
      </c>
      <c r="H10" s="11">
        <v>6.4000000000000001E-2</v>
      </c>
      <c r="I10" s="10">
        <v>72248540</v>
      </c>
      <c r="J10" s="12" t="s">
        <v>6330</v>
      </c>
      <c r="K10" s="10">
        <v>9785</v>
      </c>
      <c r="L10" s="12" t="s">
        <v>6331</v>
      </c>
      <c r="M10" s="10">
        <v>634224630</v>
      </c>
      <c r="N10" s="10">
        <v>80038</v>
      </c>
      <c r="O10" s="12">
        <v>4</v>
      </c>
    </row>
    <row r="11" spans="1:15" ht="15" customHeight="1" x14ac:dyDescent="0.3">
      <c r="A11" s="9">
        <v>43579</v>
      </c>
      <c r="B11" s="12">
        <v>203</v>
      </c>
      <c r="C11" s="11">
        <v>4.2000000000000003E-2</v>
      </c>
      <c r="D11" s="12">
        <v>280</v>
      </c>
      <c r="E11" s="11">
        <v>1.7999999999999999E-2</v>
      </c>
      <c r="F11" s="10">
        <v>31172</v>
      </c>
      <c r="G11" s="11">
        <v>1.2999999999999999E-2</v>
      </c>
      <c r="H11" s="11">
        <v>0.1</v>
      </c>
      <c r="I11" s="10">
        <v>19336600</v>
      </c>
      <c r="J11" s="12" t="s">
        <v>6332</v>
      </c>
      <c r="K11" s="10">
        <v>3122</v>
      </c>
      <c r="L11" s="12" t="s">
        <v>6333</v>
      </c>
      <c r="M11" s="10">
        <v>653561230</v>
      </c>
      <c r="N11" s="10">
        <v>83160</v>
      </c>
      <c r="O11" s="12">
        <v>4</v>
      </c>
    </row>
    <row r="12" spans="1:15" ht="15" customHeight="1" x14ac:dyDescent="0.3">
      <c r="A12" s="9">
        <v>43580</v>
      </c>
      <c r="B12" s="12">
        <v>127</v>
      </c>
      <c r="C12" s="11">
        <v>2.5000000000000001E-2</v>
      </c>
      <c r="D12" s="12">
        <v>171</v>
      </c>
      <c r="E12" s="11">
        <v>1.0999999999999999E-2</v>
      </c>
      <c r="F12" s="10">
        <v>18613</v>
      </c>
      <c r="G12" s="11">
        <v>8.0000000000000002E-3</v>
      </c>
      <c r="H12" s="11">
        <v>0.107</v>
      </c>
      <c r="I12" s="10">
        <v>13891640</v>
      </c>
      <c r="J12" s="12" t="s">
        <v>6334</v>
      </c>
      <c r="K12" s="10">
        <v>1992</v>
      </c>
      <c r="L12" s="12" t="s">
        <v>6335</v>
      </c>
      <c r="M12" s="10">
        <v>667452870</v>
      </c>
      <c r="N12" s="10">
        <v>85152</v>
      </c>
      <c r="O12" s="12">
        <v>6</v>
      </c>
    </row>
    <row r="13" spans="1:15" ht="15" customHeight="1" x14ac:dyDescent="0.3">
      <c r="A13" s="9">
        <v>43581</v>
      </c>
      <c r="B13" s="12">
        <v>110</v>
      </c>
      <c r="C13" s="11">
        <v>2.1999999999999999E-2</v>
      </c>
      <c r="D13" s="12">
        <v>154</v>
      </c>
      <c r="E13" s="11">
        <v>0.01</v>
      </c>
      <c r="F13" s="10">
        <v>16389</v>
      </c>
      <c r="G13" s="11">
        <v>7.0000000000000001E-3</v>
      </c>
      <c r="H13" s="11">
        <v>0.13200000000000001</v>
      </c>
      <c r="I13" s="10">
        <v>15376830</v>
      </c>
      <c r="J13" s="12" t="s">
        <v>6336</v>
      </c>
      <c r="K13" s="10">
        <v>2166</v>
      </c>
      <c r="L13" s="12" t="s">
        <v>6337</v>
      </c>
      <c r="M13" s="10">
        <v>682829700</v>
      </c>
      <c r="N13" s="10">
        <v>87318</v>
      </c>
      <c r="O13" s="12">
        <v>8</v>
      </c>
    </row>
    <row r="14" spans="1:15" ht="15" customHeight="1" x14ac:dyDescent="0.3">
      <c r="A14" s="9">
        <v>43582</v>
      </c>
      <c r="B14" s="12">
        <v>93</v>
      </c>
      <c r="C14" s="11">
        <v>1.7999999999999999E-2</v>
      </c>
      <c r="D14" s="12">
        <v>114</v>
      </c>
      <c r="E14" s="11">
        <v>7.0000000000000001E-3</v>
      </c>
      <c r="F14" s="10">
        <v>11550</v>
      </c>
      <c r="G14" s="11">
        <v>4.0000000000000001E-3</v>
      </c>
      <c r="H14" s="11">
        <v>0.153</v>
      </c>
      <c r="I14" s="10">
        <v>13640300</v>
      </c>
      <c r="J14" s="12" t="s">
        <v>6338</v>
      </c>
      <c r="K14" s="10">
        <v>1764</v>
      </c>
      <c r="L14" s="12" t="s">
        <v>6339</v>
      </c>
      <c r="M14" s="10">
        <v>696470000</v>
      </c>
      <c r="N14" s="10">
        <v>89082</v>
      </c>
      <c r="O14" s="12">
        <v>9</v>
      </c>
    </row>
    <row r="15" spans="1:15" ht="15" customHeight="1" x14ac:dyDescent="0.3">
      <c r="A15" s="9">
        <v>43583</v>
      </c>
      <c r="B15" s="12">
        <v>88</v>
      </c>
      <c r="C15" s="11">
        <v>1.7999999999999999E-2</v>
      </c>
      <c r="D15" s="12">
        <v>108</v>
      </c>
      <c r="E15" s="11">
        <v>7.0000000000000001E-3</v>
      </c>
      <c r="F15" s="10">
        <v>10898</v>
      </c>
      <c r="G15" s="11">
        <v>4.0000000000000001E-3</v>
      </c>
      <c r="H15" s="11">
        <v>0.114</v>
      </c>
      <c r="I15" s="10">
        <v>9175420</v>
      </c>
      <c r="J15" s="12" t="s">
        <v>6340</v>
      </c>
      <c r="K15" s="10">
        <v>1238</v>
      </c>
      <c r="L15" s="12" t="s">
        <v>6341</v>
      </c>
      <c r="M15" s="10">
        <v>705645420</v>
      </c>
      <c r="N15" s="10">
        <v>90320</v>
      </c>
      <c r="O15" s="12">
        <v>9</v>
      </c>
    </row>
    <row r="16" spans="1:15" ht="15" customHeight="1" x14ac:dyDescent="0.3">
      <c r="A16" s="9">
        <v>43584</v>
      </c>
      <c r="B16" s="12">
        <v>113</v>
      </c>
      <c r="C16" s="11">
        <v>2.3E-2</v>
      </c>
      <c r="D16" s="12">
        <v>153</v>
      </c>
      <c r="E16" s="11">
        <v>0.01</v>
      </c>
      <c r="F16" s="10">
        <v>16018</v>
      </c>
      <c r="G16" s="11">
        <v>7.0000000000000001E-3</v>
      </c>
      <c r="H16" s="11">
        <v>0.10199999999999999</v>
      </c>
      <c r="I16" s="10">
        <v>11590020</v>
      </c>
      <c r="J16" s="12" t="s">
        <v>6342</v>
      </c>
      <c r="K16" s="10">
        <v>1629</v>
      </c>
      <c r="L16" s="12" t="s">
        <v>6343</v>
      </c>
      <c r="M16" s="10">
        <v>717235440</v>
      </c>
      <c r="N16" s="10">
        <v>91949</v>
      </c>
      <c r="O16" s="12">
        <v>7</v>
      </c>
    </row>
    <row r="17" spans="1:15" ht="15" customHeight="1" x14ac:dyDescent="0.3">
      <c r="A17" s="9">
        <v>43585</v>
      </c>
      <c r="B17" s="12">
        <v>110</v>
      </c>
      <c r="C17" s="11">
        <v>2.1999999999999999E-2</v>
      </c>
      <c r="D17" s="12">
        <v>145</v>
      </c>
      <c r="E17" s="11">
        <v>8.9999999999999993E-3</v>
      </c>
      <c r="F17" s="10">
        <v>15226</v>
      </c>
      <c r="G17" s="11">
        <v>6.0000000000000001E-3</v>
      </c>
      <c r="H17" s="11">
        <v>0.1</v>
      </c>
      <c r="I17" s="10">
        <v>10572890</v>
      </c>
      <c r="J17" s="12" t="s">
        <v>6344</v>
      </c>
      <c r="K17" s="10">
        <v>1522</v>
      </c>
      <c r="L17" s="12" t="s">
        <v>6345</v>
      </c>
      <c r="M17" s="10">
        <v>727808330</v>
      </c>
      <c r="N17" s="10">
        <v>93471</v>
      </c>
      <c r="O17" s="12">
        <v>8</v>
      </c>
    </row>
    <row r="18" spans="1:15" ht="15" customHeight="1" x14ac:dyDescent="0.3">
      <c r="A18" s="9">
        <v>43586</v>
      </c>
      <c r="B18" s="12">
        <v>17</v>
      </c>
      <c r="C18" s="11">
        <v>3.0000000000000001E-3</v>
      </c>
      <c r="D18" s="12">
        <v>26</v>
      </c>
      <c r="E18" s="11">
        <v>2E-3</v>
      </c>
      <c r="F18" s="10">
        <v>2854</v>
      </c>
      <c r="G18" s="11">
        <v>1E-3</v>
      </c>
      <c r="H18" s="11">
        <v>0.11600000000000001</v>
      </c>
      <c r="I18" s="10">
        <v>2241560</v>
      </c>
      <c r="J18" s="12" t="s">
        <v>6346</v>
      </c>
      <c r="K18" s="12">
        <v>332</v>
      </c>
      <c r="L18" s="12" t="s">
        <v>6347</v>
      </c>
      <c r="M18" s="10">
        <v>730049890</v>
      </c>
      <c r="N18" s="10">
        <v>93803</v>
      </c>
      <c r="O18" s="12">
        <v>23</v>
      </c>
    </row>
    <row r="19" spans="1:15" ht="15" customHeight="1" x14ac:dyDescent="0.3">
      <c r="A19" s="9">
        <v>43587</v>
      </c>
      <c r="B19" s="12">
        <v>26</v>
      </c>
      <c r="C19" s="11">
        <v>5.0000000000000001E-3</v>
      </c>
      <c r="D19" s="12">
        <v>31</v>
      </c>
      <c r="E19" s="11">
        <v>2E-3</v>
      </c>
      <c r="F19" s="10">
        <v>3560</v>
      </c>
      <c r="G19" s="11">
        <v>1E-3</v>
      </c>
      <c r="H19" s="11">
        <v>0.12</v>
      </c>
      <c r="I19" s="10">
        <v>2747050</v>
      </c>
      <c r="J19" s="12" t="s">
        <v>6348</v>
      </c>
      <c r="K19" s="12">
        <v>427</v>
      </c>
      <c r="L19" s="12" t="s">
        <v>6349</v>
      </c>
      <c r="M19" s="10">
        <v>732796940</v>
      </c>
      <c r="N19" s="10">
        <v>94230</v>
      </c>
      <c r="O19" s="12">
        <v>21</v>
      </c>
    </row>
    <row r="20" spans="1:15" ht="15" customHeight="1" x14ac:dyDescent="0.3">
      <c r="A20" s="9">
        <v>43588</v>
      </c>
      <c r="B20" s="12">
        <v>22</v>
      </c>
      <c r="C20" s="11">
        <v>4.0000000000000001E-3</v>
      </c>
      <c r="D20" s="12">
        <v>28</v>
      </c>
      <c r="E20" s="11">
        <v>2E-3</v>
      </c>
      <c r="F20" s="10">
        <v>2933</v>
      </c>
      <c r="G20" s="11">
        <v>1E-3</v>
      </c>
      <c r="H20" s="11">
        <v>0.14899999999999999</v>
      </c>
      <c r="I20" s="10">
        <v>3019800</v>
      </c>
      <c r="J20" s="12" t="s">
        <v>6350</v>
      </c>
      <c r="K20" s="12">
        <v>436</v>
      </c>
      <c r="L20" s="12" t="s">
        <v>6351</v>
      </c>
      <c r="M20" s="10">
        <v>735816740</v>
      </c>
      <c r="N20" s="10">
        <v>94666</v>
      </c>
      <c r="O20" s="12">
        <v>18</v>
      </c>
    </row>
    <row r="21" spans="1:15" ht="15" customHeight="1" x14ac:dyDescent="0.3">
      <c r="A21" s="9">
        <v>43589</v>
      </c>
      <c r="B21" s="12">
        <v>16</v>
      </c>
      <c r="C21" s="11">
        <v>3.0000000000000001E-3</v>
      </c>
      <c r="D21" s="12">
        <v>22</v>
      </c>
      <c r="E21" s="11">
        <v>1E-3</v>
      </c>
      <c r="F21" s="10">
        <v>2065</v>
      </c>
      <c r="G21" s="11">
        <v>1E-3</v>
      </c>
      <c r="H21" s="11">
        <v>0.121</v>
      </c>
      <c r="I21" s="10">
        <v>1838580</v>
      </c>
      <c r="J21" s="12" t="s">
        <v>6352</v>
      </c>
      <c r="K21" s="12">
        <v>249</v>
      </c>
      <c r="L21" s="12" t="s">
        <v>6353</v>
      </c>
      <c r="M21" s="10">
        <v>737655320</v>
      </c>
      <c r="N21" s="10">
        <v>94915</v>
      </c>
      <c r="O21" s="12">
        <v>22</v>
      </c>
    </row>
    <row r="22" spans="1:15" ht="15" customHeight="1" x14ac:dyDescent="0.3">
      <c r="A22" s="9">
        <v>43590</v>
      </c>
      <c r="B22" s="12">
        <v>11</v>
      </c>
      <c r="C22" s="11">
        <v>2E-3</v>
      </c>
      <c r="D22" s="12">
        <v>18</v>
      </c>
      <c r="E22" s="11">
        <v>1E-3</v>
      </c>
      <c r="F22" s="10">
        <v>1753</v>
      </c>
      <c r="G22" s="11">
        <v>1E-3</v>
      </c>
      <c r="H22" s="11">
        <v>7.5999999999999998E-2</v>
      </c>
      <c r="I22" s="10">
        <v>1063600</v>
      </c>
      <c r="J22" s="12" t="s">
        <v>6354</v>
      </c>
      <c r="K22" s="12">
        <v>133</v>
      </c>
      <c r="L22" s="12" t="s">
        <v>6355</v>
      </c>
      <c r="M22" s="10">
        <v>738718920</v>
      </c>
      <c r="N22" s="10">
        <v>95048</v>
      </c>
      <c r="O22" s="12">
        <v>34</v>
      </c>
    </row>
    <row r="23" spans="1:15" ht="15" customHeight="1" x14ac:dyDescent="0.3">
      <c r="A23" s="9">
        <v>43591</v>
      </c>
      <c r="B23" s="12">
        <v>14</v>
      </c>
      <c r="C23" s="11">
        <v>3.0000000000000001E-3</v>
      </c>
      <c r="D23" s="12">
        <v>18</v>
      </c>
      <c r="E23" s="11">
        <v>1E-3</v>
      </c>
      <c r="F23" s="10">
        <v>1714</v>
      </c>
      <c r="G23" s="11">
        <v>1E-3</v>
      </c>
      <c r="H23" s="11">
        <v>0.2</v>
      </c>
      <c r="I23" s="10">
        <v>2216800</v>
      </c>
      <c r="J23" s="12" t="s">
        <v>6356</v>
      </c>
      <c r="K23" s="12">
        <v>343</v>
      </c>
      <c r="L23" s="12" t="s">
        <v>6357</v>
      </c>
      <c r="M23" s="10">
        <v>740935720</v>
      </c>
      <c r="N23" s="10">
        <v>95391</v>
      </c>
      <c r="O23" s="12">
        <v>19</v>
      </c>
    </row>
    <row r="24" spans="1:15" ht="15" customHeight="1" x14ac:dyDescent="0.3">
      <c r="A24" s="9">
        <v>43592</v>
      </c>
      <c r="B24" s="12">
        <v>32</v>
      </c>
      <c r="C24" s="11">
        <v>7.0000000000000001E-3</v>
      </c>
      <c r="D24" s="12">
        <v>42</v>
      </c>
      <c r="E24" s="11">
        <v>3.0000000000000001E-3</v>
      </c>
      <c r="F24" s="10">
        <v>4302</v>
      </c>
      <c r="G24" s="11">
        <v>2E-3</v>
      </c>
      <c r="H24" s="11">
        <v>0.129</v>
      </c>
      <c r="I24" s="10">
        <v>3639800</v>
      </c>
      <c r="J24" s="12" t="s">
        <v>6358</v>
      </c>
      <c r="K24" s="12">
        <v>555</v>
      </c>
      <c r="L24" s="12" t="s">
        <v>6359</v>
      </c>
      <c r="M24" s="10">
        <v>744575520</v>
      </c>
      <c r="N24" s="10">
        <v>95946</v>
      </c>
      <c r="O24" s="12">
        <v>18</v>
      </c>
    </row>
    <row r="25" spans="1:15" ht="15" customHeight="1" x14ac:dyDescent="0.3">
      <c r="A25" s="9">
        <v>43593</v>
      </c>
      <c r="B25" s="12">
        <v>28</v>
      </c>
      <c r="C25" s="11">
        <v>6.0000000000000001E-3</v>
      </c>
      <c r="D25" s="12">
        <v>41</v>
      </c>
      <c r="E25" s="11">
        <v>3.0000000000000001E-3</v>
      </c>
      <c r="F25" s="10">
        <v>4998</v>
      </c>
      <c r="G25" s="11">
        <v>2E-3</v>
      </c>
      <c r="H25" s="11">
        <v>0.14399999999999999</v>
      </c>
      <c r="I25" s="10">
        <v>4801800</v>
      </c>
      <c r="J25" s="12" t="s">
        <v>6360</v>
      </c>
      <c r="K25" s="12">
        <v>721</v>
      </c>
      <c r="L25" s="12" t="s">
        <v>6361</v>
      </c>
      <c r="M25" s="10">
        <v>749377320</v>
      </c>
      <c r="N25" s="10">
        <v>96667</v>
      </c>
      <c r="O25" s="12">
        <v>13</v>
      </c>
    </row>
    <row r="26" spans="1:15" ht="15" customHeight="1" x14ac:dyDescent="0.3">
      <c r="A26" s="9">
        <v>43594</v>
      </c>
      <c r="B26" s="12">
        <v>16</v>
      </c>
      <c r="C26" s="11">
        <v>3.0000000000000001E-3</v>
      </c>
      <c r="D26" s="12">
        <v>17</v>
      </c>
      <c r="E26" s="11">
        <v>1E-3</v>
      </c>
      <c r="F26" s="10">
        <v>1982</v>
      </c>
      <c r="G26" s="11">
        <v>1E-3</v>
      </c>
      <c r="H26" s="11">
        <v>0.34</v>
      </c>
      <c r="I26" s="10">
        <v>4207500</v>
      </c>
      <c r="J26" s="12" t="s">
        <v>6362</v>
      </c>
      <c r="K26" s="12">
        <v>673</v>
      </c>
      <c r="L26" s="12" t="s">
        <v>6363</v>
      </c>
      <c r="M26" s="10">
        <v>753584820</v>
      </c>
      <c r="N26" s="10">
        <v>97340</v>
      </c>
      <c r="O26" s="12">
        <v>12</v>
      </c>
    </row>
    <row r="27" spans="1:15" ht="15" customHeight="1" x14ac:dyDescent="0.3">
      <c r="A27" s="9">
        <v>43595</v>
      </c>
      <c r="B27" s="12">
        <v>16</v>
      </c>
      <c r="C27" s="11">
        <v>3.0000000000000001E-3</v>
      </c>
      <c r="D27" s="12">
        <v>19</v>
      </c>
      <c r="E27" s="11">
        <v>1E-3</v>
      </c>
      <c r="F27" s="10">
        <v>2224</v>
      </c>
      <c r="G27" s="11">
        <v>1E-3</v>
      </c>
      <c r="H27" s="11">
        <v>0.27200000000000002</v>
      </c>
      <c r="I27" s="10">
        <v>3665200</v>
      </c>
      <c r="J27" s="12" t="s">
        <v>6364</v>
      </c>
      <c r="K27" s="12">
        <v>606</v>
      </c>
      <c r="L27" s="12" t="s">
        <v>6365</v>
      </c>
      <c r="M27" s="10">
        <v>757250020</v>
      </c>
      <c r="N27" s="10">
        <v>97946</v>
      </c>
      <c r="O27" s="12">
        <v>13</v>
      </c>
    </row>
    <row r="28" spans="1:15" ht="15" customHeight="1" x14ac:dyDescent="0.3">
      <c r="A28" s="9">
        <v>43596</v>
      </c>
      <c r="B28" s="12">
        <v>11</v>
      </c>
      <c r="C28" s="11">
        <v>2E-3</v>
      </c>
      <c r="D28" s="12">
        <v>13</v>
      </c>
      <c r="E28" s="11">
        <v>1E-3</v>
      </c>
      <c r="F28" s="10">
        <v>1649</v>
      </c>
      <c r="G28" s="11">
        <v>1E-3</v>
      </c>
      <c r="H28" s="11">
        <v>0.20799999999999999</v>
      </c>
      <c r="I28" s="10">
        <v>2457300</v>
      </c>
      <c r="J28" s="12" t="s">
        <v>6366</v>
      </c>
      <c r="K28" s="12">
        <v>343</v>
      </c>
      <c r="L28" s="12" t="s">
        <v>6367</v>
      </c>
      <c r="M28" s="10">
        <v>759707320</v>
      </c>
      <c r="N28" s="10">
        <v>98289</v>
      </c>
      <c r="O28" s="12">
        <v>20</v>
      </c>
    </row>
    <row r="29" spans="1:15" ht="15" customHeight="1" x14ac:dyDescent="0.3">
      <c r="A29" s="9">
        <v>43597</v>
      </c>
      <c r="B29" s="12">
        <v>7</v>
      </c>
      <c r="C29" s="11">
        <v>1E-3</v>
      </c>
      <c r="D29" s="12">
        <v>7</v>
      </c>
      <c r="E29" s="11">
        <v>0</v>
      </c>
      <c r="F29" s="12">
        <v>773</v>
      </c>
      <c r="G29" s="11">
        <v>0</v>
      </c>
      <c r="H29" s="11">
        <v>0.17499999999999999</v>
      </c>
      <c r="I29" s="10">
        <v>982400</v>
      </c>
      <c r="J29" s="12" t="s">
        <v>6368</v>
      </c>
      <c r="K29" s="12">
        <v>135</v>
      </c>
      <c r="L29" s="12" t="s">
        <v>6369</v>
      </c>
      <c r="M29" s="10">
        <v>760689720</v>
      </c>
      <c r="N29" s="10">
        <v>98424</v>
      </c>
      <c r="O29" s="12">
        <v>31</v>
      </c>
    </row>
    <row r="30" spans="1:15" ht="15" customHeight="1" x14ac:dyDescent="0.3">
      <c r="A30" s="9">
        <v>43598</v>
      </c>
      <c r="B30" s="12">
        <v>6</v>
      </c>
      <c r="C30" s="11">
        <v>1E-3</v>
      </c>
      <c r="D30" s="12">
        <v>12</v>
      </c>
      <c r="E30" s="11">
        <v>1E-3</v>
      </c>
      <c r="F30" s="10">
        <v>1764</v>
      </c>
      <c r="G30" s="11">
        <v>1E-3</v>
      </c>
      <c r="H30" s="11">
        <v>0.23699999999999999</v>
      </c>
      <c r="I30" s="10">
        <v>2367000</v>
      </c>
      <c r="J30" s="12" t="s">
        <v>6370</v>
      </c>
      <c r="K30" s="12">
        <v>418</v>
      </c>
      <c r="L30" s="12" t="s">
        <v>6371</v>
      </c>
      <c r="M30" s="10">
        <v>763056720</v>
      </c>
      <c r="N30" s="10">
        <v>98842</v>
      </c>
      <c r="O30" s="12">
        <v>13</v>
      </c>
    </row>
    <row r="31" spans="1:15" ht="15" customHeight="1" x14ac:dyDescent="0.3">
      <c r="A31" s="9">
        <v>43599</v>
      </c>
      <c r="B31" s="12">
        <v>5</v>
      </c>
      <c r="C31" s="11">
        <v>1E-3</v>
      </c>
      <c r="D31" s="12">
        <v>7</v>
      </c>
      <c r="E31" s="11">
        <v>0</v>
      </c>
      <c r="F31" s="12">
        <v>784</v>
      </c>
      <c r="G31" s="11">
        <v>0</v>
      </c>
      <c r="H31" s="11">
        <v>0.13100000000000001</v>
      </c>
      <c r="I31" s="10">
        <v>665700</v>
      </c>
      <c r="J31" s="12" t="s">
        <v>6372</v>
      </c>
      <c r="K31" s="12">
        <v>103</v>
      </c>
      <c r="L31" s="12" t="s">
        <v>6373</v>
      </c>
      <c r="M31" s="10">
        <v>763722420</v>
      </c>
      <c r="N31" s="10">
        <v>98945</v>
      </c>
      <c r="O31" s="12">
        <v>38</v>
      </c>
    </row>
    <row r="32" spans="1:15" ht="15" customHeight="1" x14ac:dyDescent="0.3">
      <c r="A32" s="9">
        <v>43600</v>
      </c>
      <c r="B32" s="12">
        <v>2</v>
      </c>
      <c r="C32" s="11">
        <v>0</v>
      </c>
      <c r="D32" s="12">
        <v>2</v>
      </c>
      <c r="E32" s="11">
        <v>0</v>
      </c>
      <c r="F32" s="12">
        <v>198</v>
      </c>
      <c r="G32" s="11">
        <v>0</v>
      </c>
      <c r="H32" s="11">
        <v>0.182</v>
      </c>
      <c r="I32" s="10">
        <v>224000</v>
      </c>
      <c r="J32" s="12" t="s">
        <v>6374</v>
      </c>
      <c r="K32" s="12">
        <v>36</v>
      </c>
      <c r="L32" s="12" t="s">
        <v>6375</v>
      </c>
      <c r="M32" s="10">
        <v>763946420</v>
      </c>
      <c r="N32" s="10">
        <v>98981</v>
      </c>
      <c r="O32" s="12">
        <v>55</v>
      </c>
    </row>
    <row r="33" spans="1:15" ht="15" customHeight="1" x14ac:dyDescent="0.3">
      <c r="A33" s="9">
        <v>43601</v>
      </c>
      <c r="B33" s="12">
        <v>3</v>
      </c>
      <c r="C33" s="11">
        <v>1E-3</v>
      </c>
      <c r="D33" s="12">
        <v>3</v>
      </c>
      <c r="E33" s="11">
        <v>0</v>
      </c>
      <c r="F33" s="12">
        <v>382</v>
      </c>
      <c r="G33" s="11">
        <v>0</v>
      </c>
      <c r="H33" s="11">
        <v>0.51</v>
      </c>
      <c r="I33" s="10">
        <v>1065000</v>
      </c>
      <c r="J33" s="12" t="s">
        <v>6376</v>
      </c>
      <c r="K33" s="12">
        <v>195</v>
      </c>
      <c r="L33" s="12" t="s">
        <v>6377</v>
      </c>
      <c r="M33" s="10">
        <v>765011420</v>
      </c>
      <c r="N33" s="10">
        <v>99176</v>
      </c>
      <c r="O33" s="12">
        <v>37</v>
      </c>
    </row>
    <row r="34" spans="1:15" ht="15" customHeight="1" x14ac:dyDescent="0.3">
      <c r="A34" s="9">
        <v>43602</v>
      </c>
      <c r="B34" s="12">
        <v>2</v>
      </c>
      <c r="C34" s="11">
        <v>0</v>
      </c>
      <c r="D34" s="12">
        <v>2</v>
      </c>
      <c r="E34" s="11">
        <v>0</v>
      </c>
      <c r="F34" s="12">
        <v>185</v>
      </c>
      <c r="G34" s="11">
        <v>0</v>
      </c>
      <c r="H34" s="11">
        <v>0.49199999999999999</v>
      </c>
      <c r="I34" s="10">
        <v>485000</v>
      </c>
      <c r="J34" s="12" t="s">
        <v>6378</v>
      </c>
      <c r="K34" s="12">
        <v>91</v>
      </c>
      <c r="L34" s="12" t="s">
        <v>6379</v>
      </c>
      <c r="M34" s="10">
        <v>765496420</v>
      </c>
      <c r="N34" s="10">
        <v>99267</v>
      </c>
      <c r="O34" s="12">
        <v>52</v>
      </c>
    </row>
    <row r="35" spans="1:15" ht="15" customHeight="1" x14ac:dyDescent="0.3">
      <c r="A35" s="9">
        <v>43603</v>
      </c>
      <c r="B35" s="12">
        <v>1</v>
      </c>
      <c r="C35" s="11">
        <v>0</v>
      </c>
      <c r="D35" s="12">
        <v>1</v>
      </c>
      <c r="E35" s="11">
        <v>0</v>
      </c>
      <c r="F35" s="12">
        <v>82</v>
      </c>
      <c r="G35" s="11">
        <v>0</v>
      </c>
      <c r="H35" s="11">
        <v>0.36599999999999999</v>
      </c>
      <c r="I35" s="10">
        <v>178000</v>
      </c>
      <c r="J35" s="12" t="s">
        <v>6380</v>
      </c>
      <c r="K35" s="12">
        <v>30</v>
      </c>
      <c r="L35" s="12" t="s">
        <v>6381</v>
      </c>
      <c r="M35" s="10">
        <v>765674420</v>
      </c>
      <c r="N35" s="10">
        <v>99297</v>
      </c>
      <c r="O35" s="12">
        <v>64</v>
      </c>
    </row>
    <row r="36" spans="1:15" ht="15" customHeight="1" x14ac:dyDescent="0.3">
      <c r="A36" s="9">
        <v>43605</v>
      </c>
      <c r="B36" s="12">
        <v>1</v>
      </c>
      <c r="C36" s="11">
        <v>0</v>
      </c>
      <c r="D36" s="12">
        <v>1</v>
      </c>
      <c r="E36" s="11">
        <v>0</v>
      </c>
      <c r="F36" s="12">
        <v>95</v>
      </c>
      <c r="G36" s="11">
        <v>0</v>
      </c>
      <c r="H36" s="11">
        <v>1.0999999999999999E-2</v>
      </c>
      <c r="I36" s="10">
        <v>5000</v>
      </c>
      <c r="J36" s="12" t="s">
        <v>584</v>
      </c>
      <c r="K36" s="12">
        <v>1</v>
      </c>
      <c r="L36" s="12" t="s">
        <v>312</v>
      </c>
      <c r="M36" s="10">
        <v>765679420</v>
      </c>
      <c r="N36" s="10">
        <v>99298</v>
      </c>
      <c r="O36" s="12">
        <v>89</v>
      </c>
    </row>
    <row r="37" spans="1:15" ht="15" customHeight="1" x14ac:dyDescent="0.3">
      <c r="A37" s="9">
        <v>43606</v>
      </c>
      <c r="B37" s="12">
        <v>1</v>
      </c>
      <c r="C37" s="11">
        <v>0</v>
      </c>
      <c r="D37" s="12">
        <v>1</v>
      </c>
      <c r="E37" s="11">
        <v>0</v>
      </c>
      <c r="F37" s="12">
        <v>95</v>
      </c>
      <c r="G37" s="11">
        <v>0</v>
      </c>
      <c r="H37" s="11">
        <v>1.0999999999999999E-2</v>
      </c>
      <c r="I37" s="10">
        <v>5000</v>
      </c>
      <c r="J37" s="12" t="s">
        <v>292</v>
      </c>
      <c r="K37" s="12">
        <v>1</v>
      </c>
      <c r="L37" s="12" t="s">
        <v>292</v>
      </c>
      <c r="M37" s="10">
        <v>765684420</v>
      </c>
      <c r="N37" s="10">
        <v>99299</v>
      </c>
      <c r="O37" s="12">
        <v>99</v>
      </c>
    </row>
    <row r="38" spans="1:15" ht="15" customHeight="1" x14ac:dyDescent="0.3">
      <c r="A38" s="9">
        <v>43607</v>
      </c>
      <c r="B38" s="12">
        <v>1</v>
      </c>
      <c r="C38" s="11">
        <v>0</v>
      </c>
      <c r="D38" s="12">
        <v>1</v>
      </c>
      <c r="E38" s="11">
        <v>0</v>
      </c>
      <c r="F38" s="12">
        <v>95</v>
      </c>
      <c r="G38" s="11">
        <v>0</v>
      </c>
      <c r="H38" s="11">
        <v>1.0999999999999999E-2</v>
      </c>
      <c r="I38" s="10">
        <v>5000</v>
      </c>
      <c r="J38" s="12" t="s">
        <v>292</v>
      </c>
      <c r="K38" s="12">
        <v>1</v>
      </c>
      <c r="L38" s="12" t="s">
        <v>292</v>
      </c>
      <c r="M38" s="10">
        <v>765689420</v>
      </c>
      <c r="N38" s="10">
        <v>99300</v>
      </c>
      <c r="O38" s="12">
        <v>91</v>
      </c>
    </row>
    <row r="39" spans="1:15" ht="15" customHeight="1" x14ac:dyDescent="0.3">
      <c r="A39" s="9">
        <v>43608</v>
      </c>
      <c r="B39" s="12">
        <v>3</v>
      </c>
      <c r="C39" s="11">
        <v>1E-3</v>
      </c>
      <c r="D39" s="12">
        <v>3</v>
      </c>
      <c r="E39" s="11">
        <v>0</v>
      </c>
      <c r="F39" s="12">
        <v>317</v>
      </c>
      <c r="G39" s="11">
        <v>0</v>
      </c>
      <c r="H39" s="11">
        <v>0.48899999999999999</v>
      </c>
      <c r="I39" s="10">
        <v>1100000</v>
      </c>
      <c r="J39" s="12" t="s">
        <v>6382</v>
      </c>
      <c r="K39" s="12">
        <v>155</v>
      </c>
      <c r="L39" s="12" t="s">
        <v>6383</v>
      </c>
      <c r="M39" s="10">
        <v>766789420</v>
      </c>
      <c r="N39" s="10">
        <v>99455</v>
      </c>
      <c r="O39" s="12">
        <v>32</v>
      </c>
    </row>
    <row r="40" spans="1:15" ht="15" customHeight="1" x14ac:dyDescent="0.3">
      <c r="A40" s="9">
        <v>43609</v>
      </c>
      <c r="B40" s="12">
        <v>1</v>
      </c>
      <c r="C40" s="11">
        <v>0</v>
      </c>
      <c r="D40" s="12">
        <v>1</v>
      </c>
      <c r="E40" s="11">
        <v>0</v>
      </c>
      <c r="F40" s="12">
        <v>95</v>
      </c>
      <c r="G40" s="11">
        <v>0</v>
      </c>
      <c r="H40" s="11">
        <v>1.0999999999999999E-2</v>
      </c>
      <c r="I40" s="10">
        <v>5000</v>
      </c>
      <c r="J40" s="12" t="s">
        <v>6384</v>
      </c>
      <c r="K40" s="12">
        <v>1</v>
      </c>
      <c r="L40" s="12" t="s">
        <v>6385</v>
      </c>
      <c r="M40" s="10">
        <v>766794420</v>
      </c>
      <c r="N40" s="10">
        <v>99456</v>
      </c>
      <c r="O40" s="12">
        <v>104</v>
      </c>
    </row>
    <row r="41" spans="1:15" ht="15" customHeight="1" x14ac:dyDescent="0.3">
      <c r="A41" s="9">
        <v>43613</v>
      </c>
      <c r="B41" s="12">
        <v>1</v>
      </c>
      <c r="C41" s="11">
        <v>0</v>
      </c>
      <c r="D41" s="12">
        <v>1</v>
      </c>
      <c r="E41" s="11">
        <v>0</v>
      </c>
      <c r="F41" s="12">
        <v>267</v>
      </c>
      <c r="G41" s="11">
        <v>0</v>
      </c>
      <c r="H41" s="11">
        <v>0.51700000000000002</v>
      </c>
      <c r="I41" s="10">
        <v>828000</v>
      </c>
      <c r="J41" s="12" t="s">
        <v>6386</v>
      </c>
      <c r="K41" s="12">
        <v>138</v>
      </c>
      <c r="L41" s="12" t="s">
        <v>6387</v>
      </c>
      <c r="M41" s="10">
        <v>767622420</v>
      </c>
      <c r="N41" s="10">
        <v>99594</v>
      </c>
      <c r="O41" s="12">
        <v>37</v>
      </c>
    </row>
    <row r="42" spans="1:15" ht="15" customHeight="1" x14ac:dyDescent="0.3">
      <c r="A42" s="9">
        <v>43614</v>
      </c>
      <c r="B42" s="12">
        <v>1</v>
      </c>
      <c r="C42" s="11">
        <v>0</v>
      </c>
      <c r="D42" s="12">
        <v>1</v>
      </c>
      <c r="E42" s="11">
        <v>0</v>
      </c>
      <c r="F42" s="12">
        <v>228</v>
      </c>
      <c r="G42" s="11">
        <v>0</v>
      </c>
      <c r="H42" s="11">
        <v>0.877</v>
      </c>
      <c r="I42" s="10">
        <v>1000000</v>
      </c>
      <c r="J42" s="12" t="s">
        <v>6388</v>
      </c>
      <c r="K42" s="12">
        <v>200</v>
      </c>
      <c r="L42" s="12" t="s">
        <v>6389</v>
      </c>
      <c r="M42" s="10">
        <v>768622420</v>
      </c>
      <c r="N42" s="10">
        <v>99794</v>
      </c>
      <c r="O42" s="12">
        <v>38</v>
      </c>
    </row>
    <row r="43" spans="1:15" ht="15" customHeight="1" x14ac:dyDescent="0.3">
      <c r="A43" s="9">
        <v>43615</v>
      </c>
      <c r="B43" s="12">
        <v>1</v>
      </c>
      <c r="C43" s="11">
        <v>0</v>
      </c>
      <c r="D43" s="12">
        <v>1</v>
      </c>
      <c r="E43" s="11">
        <v>0</v>
      </c>
      <c r="F43" s="12">
        <v>194</v>
      </c>
      <c r="G43" s="11">
        <v>0</v>
      </c>
      <c r="H43" s="11">
        <v>0.77300000000000002</v>
      </c>
      <c r="I43" s="10">
        <v>900000</v>
      </c>
      <c r="J43" s="12" t="s">
        <v>6390</v>
      </c>
      <c r="K43" s="12">
        <v>150</v>
      </c>
      <c r="L43" s="12" t="s">
        <v>6391</v>
      </c>
      <c r="M43" s="10">
        <v>769522420</v>
      </c>
      <c r="N43" s="10">
        <v>99944</v>
      </c>
      <c r="O43" s="12">
        <v>38</v>
      </c>
    </row>
    <row r="44" spans="1:15" ht="15" customHeight="1" x14ac:dyDescent="0.3">
      <c r="A44" s="9">
        <v>43619</v>
      </c>
      <c r="B44" s="12">
        <v>2</v>
      </c>
      <c r="C44" s="11">
        <v>0</v>
      </c>
      <c r="D44" s="12">
        <v>2</v>
      </c>
      <c r="E44" s="11">
        <v>0</v>
      </c>
      <c r="F44" s="12">
        <v>203</v>
      </c>
      <c r="G44" s="11">
        <v>0</v>
      </c>
      <c r="H44" s="11">
        <v>0.73399999999999999</v>
      </c>
      <c r="I44" s="10">
        <v>745000</v>
      </c>
      <c r="J44" s="12" t="s">
        <v>6392</v>
      </c>
      <c r="K44" s="12">
        <v>149</v>
      </c>
      <c r="L44" s="12" t="s">
        <v>6393</v>
      </c>
      <c r="M44" s="10">
        <v>770267420</v>
      </c>
      <c r="N44" s="10">
        <v>100093</v>
      </c>
      <c r="O44" s="12">
        <v>28</v>
      </c>
    </row>
    <row r="45" spans="1:15" ht="15" customHeight="1" x14ac:dyDescent="0.3">
      <c r="A45" s="9">
        <v>43620</v>
      </c>
      <c r="B45" s="12">
        <v>3</v>
      </c>
      <c r="C45" s="11">
        <v>1E-3</v>
      </c>
      <c r="D45" s="12">
        <v>3</v>
      </c>
      <c r="E45" s="11">
        <v>0</v>
      </c>
      <c r="F45" s="12">
        <v>340</v>
      </c>
      <c r="G45" s="11">
        <v>0</v>
      </c>
      <c r="H45" s="11">
        <v>0.82599999999999996</v>
      </c>
      <c r="I45" s="10">
        <v>1705000</v>
      </c>
      <c r="J45" s="12" t="s">
        <v>6394</v>
      </c>
      <c r="K45" s="12">
        <v>281</v>
      </c>
      <c r="L45" s="12" t="s">
        <v>6395</v>
      </c>
      <c r="M45" s="10">
        <v>771972420</v>
      </c>
      <c r="N45" s="10">
        <v>100374</v>
      </c>
      <c r="O45" s="12">
        <v>21</v>
      </c>
    </row>
    <row r="46" spans="1:15" ht="15" customHeight="1" x14ac:dyDescent="0.3">
      <c r="A46" s="9">
        <v>43627</v>
      </c>
      <c r="B46" s="12">
        <v>2</v>
      </c>
      <c r="C46" s="11">
        <v>0</v>
      </c>
      <c r="D46" s="12">
        <v>4</v>
      </c>
      <c r="E46" s="11">
        <v>0</v>
      </c>
      <c r="F46" s="12">
        <v>648</v>
      </c>
      <c r="G46" s="11">
        <v>0</v>
      </c>
      <c r="H46" s="11">
        <v>0.77200000000000002</v>
      </c>
      <c r="I46" s="10">
        <v>2500000</v>
      </c>
      <c r="J46" s="12" t="s">
        <v>6396</v>
      </c>
      <c r="K46" s="12">
        <v>500</v>
      </c>
      <c r="L46" s="12" t="s">
        <v>6397</v>
      </c>
      <c r="M46" s="10">
        <v>774472420</v>
      </c>
      <c r="N46" s="10">
        <v>100874</v>
      </c>
      <c r="O46" s="12">
        <v>19</v>
      </c>
    </row>
    <row r="47" spans="1:15" ht="15" customHeight="1" x14ac:dyDescent="0.3">
      <c r="A47" s="9">
        <v>43628</v>
      </c>
      <c r="B47" s="12">
        <v>2</v>
      </c>
      <c r="C47" s="11">
        <v>0</v>
      </c>
      <c r="D47" s="12">
        <v>4</v>
      </c>
      <c r="E47" s="11">
        <v>0</v>
      </c>
      <c r="F47" s="12">
        <v>648</v>
      </c>
      <c r="G47" s="11">
        <v>0</v>
      </c>
      <c r="H47" s="11">
        <v>0.77200000000000002</v>
      </c>
      <c r="I47" s="10">
        <v>2500000</v>
      </c>
      <c r="J47" s="12" t="s">
        <v>292</v>
      </c>
      <c r="K47" s="12">
        <v>500</v>
      </c>
      <c r="L47" s="12" t="s">
        <v>292</v>
      </c>
      <c r="M47" s="10">
        <v>776972420</v>
      </c>
      <c r="N47" s="10">
        <v>101374</v>
      </c>
      <c r="O47" s="12">
        <v>15</v>
      </c>
    </row>
    <row r="48" spans="1:15" ht="15" customHeight="1" x14ac:dyDescent="0.3">
      <c r="A48" s="9">
        <v>43629</v>
      </c>
      <c r="B48" s="12">
        <v>2</v>
      </c>
      <c r="C48" s="11">
        <v>0</v>
      </c>
      <c r="D48" s="12">
        <v>4</v>
      </c>
      <c r="E48" s="11">
        <v>0</v>
      </c>
      <c r="F48" s="12">
        <v>648</v>
      </c>
      <c r="G48" s="11">
        <v>0</v>
      </c>
      <c r="H48" s="11">
        <v>0.77200000000000002</v>
      </c>
      <c r="I48" s="10">
        <v>2500000</v>
      </c>
      <c r="J48" s="12" t="s">
        <v>292</v>
      </c>
      <c r="K48" s="12">
        <v>500</v>
      </c>
      <c r="L48" s="12" t="s">
        <v>292</v>
      </c>
      <c r="M48" s="10">
        <v>779472420</v>
      </c>
      <c r="N48" s="10">
        <v>101874</v>
      </c>
      <c r="O48" s="12">
        <v>23</v>
      </c>
    </row>
    <row r="49" spans="1:15" ht="15" customHeight="1" x14ac:dyDescent="0.3">
      <c r="A49" s="9">
        <v>43630</v>
      </c>
      <c r="B49" s="12">
        <v>2</v>
      </c>
      <c r="C49" s="11">
        <v>0</v>
      </c>
      <c r="D49" s="12">
        <v>4</v>
      </c>
      <c r="E49" s="11">
        <v>0</v>
      </c>
      <c r="F49" s="12">
        <v>648</v>
      </c>
      <c r="G49" s="11">
        <v>0</v>
      </c>
      <c r="H49" s="11">
        <v>0.77200000000000002</v>
      </c>
      <c r="I49" s="10">
        <v>2500000</v>
      </c>
      <c r="J49" s="12" t="s">
        <v>292</v>
      </c>
      <c r="K49" s="12">
        <v>500</v>
      </c>
      <c r="L49" s="12" t="s">
        <v>292</v>
      </c>
      <c r="M49" s="10">
        <v>781972420</v>
      </c>
      <c r="N49" s="10">
        <v>102374</v>
      </c>
      <c r="O49" s="12">
        <v>17</v>
      </c>
    </row>
    <row r="50" spans="1:15" ht="15" customHeight="1" x14ac:dyDescent="0.3"/>
    <row r="51" spans="1:15" ht="15" customHeight="1" x14ac:dyDescent="0.3"/>
    <row r="52" spans="1:15" ht="15" customHeight="1" x14ac:dyDescent="0.3"/>
    <row r="53" spans="1:15" ht="15" customHeight="1" x14ac:dyDescent="0.3"/>
    <row r="54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CCC11-A9FC-4B7D-9F81-024319A4199F}">
  <dimension ref="A1:O35"/>
  <sheetViews>
    <sheetView showGridLines="0"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6398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43566</v>
      </c>
      <c r="B5" s="12">
        <v>169</v>
      </c>
      <c r="C5" s="11">
        <v>2.8000000000000001E-2</v>
      </c>
      <c r="D5" s="12">
        <v>722</v>
      </c>
      <c r="E5" s="11">
        <v>4.2000000000000003E-2</v>
      </c>
      <c r="F5" s="10">
        <v>127942</v>
      </c>
      <c r="G5" s="11">
        <v>4.7E-2</v>
      </c>
      <c r="H5" s="11">
        <v>7.0000000000000007E-2</v>
      </c>
      <c r="I5" s="10">
        <v>68726200</v>
      </c>
      <c r="J5" s="12" t="s">
        <v>6399</v>
      </c>
      <c r="K5" s="10">
        <v>9013</v>
      </c>
      <c r="L5" s="12" t="s">
        <v>6400</v>
      </c>
      <c r="M5" s="10">
        <v>70067200</v>
      </c>
      <c r="N5" s="10">
        <v>9162</v>
      </c>
      <c r="O5" s="12">
        <v>7</v>
      </c>
    </row>
    <row r="6" spans="1:15" ht="15" customHeight="1" x14ac:dyDescent="0.3">
      <c r="A6" s="9">
        <v>43567</v>
      </c>
      <c r="B6" s="12">
        <v>183</v>
      </c>
      <c r="C6" s="11">
        <v>2.9000000000000001E-2</v>
      </c>
      <c r="D6" s="12">
        <v>747</v>
      </c>
      <c r="E6" s="11">
        <v>4.2000000000000003E-2</v>
      </c>
      <c r="F6" s="10">
        <v>137896</v>
      </c>
      <c r="G6" s="11">
        <v>4.9000000000000002E-2</v>
      </c>
      <c r="H6" s="11">
        <v>6.6000000000000003E-2</v>
      </c>
      <c r="I6" s="10">
        <v>76327900</v>
      </c>
      <c r="J6" s="12" t="s">
        <v>6401</v>
      </c>
      <c r="K6" s="10">
        <v>9159</v>
      </c>
      <c r="L6" s="12" t="s">
        <v>6402</v>
      </c>
      <c r="M6" s="10">
        <v>146395100</v>
      </c>
      <c r="N6" s="10">
        <v>18321</v>
      </c>
      <c r="O6" s="12">
        <v>10</v>
      </c>
    </row>
    <row r="7" spans="1:15" ht="15" customHeight="1" x14ac:dyDescent="0.3">
      <c r="A7" s="9">
        <v>43568</v>
      </c>
      <c r="B7" s="12">
        <v>213</v>
      </c>
      <c r="C7" s="11">
        <v>3.1E-2</v>
      </c>
      <c r="D7" s="12">
        <v>837</v>
      </c>
      <c r="E7" s="11">
        <v>4.2999999999999997E-2</v>
      </c>
      <c r="F7" s="10">
        <v>150123</v>
      </c>
      <c r="G7" s="11">
        <v>0.05</v>
      </c>
      <c r="H7" s="11">
        <v>0.107</v>
      </c>
      <c r="I7" s="10">
        <v>141318600</v>
      </c>
      <c r="J7" s="12" t="s">
        <v>6403</v>
      </c>
      <c r="K7" s="10">
        <v>16108</v>
      </c>
      <c r="L7" s="12" t="s">
        <v>6404</v>
      </c>
      <c r="M7" s="10">
        <v>287713700</v>
      </c>
      <c r="N7" s="10">
        <v>34429</v>
      </c>
      <c r="O7" s="12">
        <v>9</v>
      </c>
    </row>
    <row r="8" spans="1:15" ht="15" customHeight="1" x14ac:dyDescent="0.3">
      <c r="A8" s="9">
        <v>43569</v>
      </c>
      <c r="B8" s="12">
        <v>212</v>
      </c>
      <c r="C8" s="11">
        <v>3.1E-2</v>
      </c>
      <c r="D8" s="12">
        <v>807</v>
      </c>
      <c r="E8" s="11">
        <v>4.2999999999999997E-2</v>
      </c>
      <c r="F8" s="10">
        <v>144588</v>
      </c>
      <c r="G8" s="11">
        <v>4.9000000000000002E-2</v>
      </c>
      <c r="H8" s="11">
        <v>0.122</v>
      </c>
      <c r="I8" s="10">
        <v>155746300</v>
      </c>
      <c r="J8" s="12" t="s">
        <v>6405</v>
      </c>
      <c r="K8" s="10">
        <v>17664</v>
      </c>
      <c r="L8" s="12" t="s">
        <v>6406</v>
      </c>
      <c r="M8" s="10">
        <v>443460000</v>
      </c>
      <c r="N8" s="10">
        <v>52093</v>
      </c>
      <c r="O8" s="12">
        <v>8</v>
      </c>
    </row>
    <row r="9" spans="1:15" ht="15" customHeight="1" x14ac:dyDescent="0.3">
      <c r="A9" s="9">
        <v>43570</v>
      </c>
      <c r="B9" s="12">
        <v>180</v>
      </c>
      <c r="C9" s="11">
        <v>3.1E-2</v>
      </c>
      <c r="D9" s="12">
        <v>720</v>
      </c>
      <c r="E9" s="11">
        <v>4.3999999999999997E-2</v>
      </c>
      <c r="F9" s="10">
        <v>144078</v>
      </c>
      <c r="G9" s="11">
        <v>5.6000000000000001E-2</v>
      </c>
      <c r="H9" s="11">
        <v>4.1000000000000002E-2</v>
      </c>
      <c r="I9" s="10">
        <v>44781200</v>
      </c>
      <c r="J9" s="12" t="s">
        <v>6407</v>
      </c>
      <c r="K9" s="10">
        <v>5903</v>
      </c>
      <c r="L9" s="12" t="s">
        <v>6408</v>
      </c>
      <c r="M9" s="10">
        <v>488241200</v>
      </c>
      <c r="N9" s="10">
        <v>57996</v>
      </c>
      <c r="O9" s="12">
        <v>7</v>
      </c>
    </row>
    <row r="10" spans="1:15" ht="15" customHeight="1" x14ac:dyDescent="0.3">
      <c r="A10" s="9">
        <v>43571</v>
      </c>
      <c r="B10" s="12">
        <v>189</v>
      </c>
      <c r="C10" s="11">
        <v>3.2000000000000001E-2</v>
      </c>
      <c r="D10" s="12">
        <v>706</v>
      </c>
      <c r="E10" s="11">
        <v>4.3999999999999997E-2</v>
      </c>
      <c r="F10" s="10">
        <v>141018</v>
      </c>
      <c r="G10" s="11">
        <v>5.6000000000000001E-2</v>
      </c>
      <c r="H10" s="11">
        <v>3.3000000000000002E-2</v>
      </c>
      <c r="I10" s="10">
        <v>36424700</v>
      </c>
      <c r="J10" s="12" t="s">
        <v>6409</v>
      </c>
      <c r="K10" s="10">
        <v>4630</v>
      </c>
      <c r="L10" s="12" t="s">
        <v>6410</v>
      </c>
      <c r="M10" s="10">
        <v>524665900</v>
      </c>
      <c r="N10" s="10">
        <v>62626</v>
      </c>
      <c r="O10" s="12">
        <v>8</v>
      </c>
    </row>
    <row r="11" spans="1:15" ht="15" customHeight="1" x14ac:dyDescent="0.3">
      <c r="A11" s="9">
        <v>43572</v>
      </c>
      <c r="B11" s="12">
        <v>164</v>
      </c>
      <c r="C11" s="11">
        <v>2.8000000000000001E-2</v>
      </c>
      <c r="D11" s="12">
        <v>550</v>
      </c>
      <c r="E11" s="11">
        <v>3.3000000000000002E-2</v>
      </c>
      <c r="F11" s="10">
        <v>111843</v>
      </c>
      <c r="G11" s="11">
        <v>4.2000000000000003E-2</v>
      </c>
      <c r="H11" s="11">
        <v>3.1E-2</v>
      </c>
      <c r="I11" s="10">
        <v>26684100</v>
      </c>
      <c r="J11" s="12" t="s">
        <v>6411</v>
      </c>
      <c r="K11" s="10">
        <v>3435</v>
      </c>
      <c r="L11" s="12" t="s">
        <v>6412</v>
      </c>
      <c r="M11" s="10">
        <v>551350000</v>
      </c>
      <c r="N11" s="10">
        <v>66061</v>
      </c>
      <c r="O11" s="12">
        <v>13</v>
      </c>
    </row>
    <row r="12" spans="1:15" ht="15" customHeight="1" x14ac:dyDescent="0.3">
      <c r="A12" s="9">
        <v>43573</v>
      </c>
      <c r="B12" s="12">
        <v>151</v>
      </c>
      <c r="C12" s="11">
        <v>2.3E-2</v>
      </c>
      <c r="D12" s="12">
        <v>458</v>
      </c>
      <c r="E12" s="11">
        <v>2.8000000000000001E-2</v>
      </c>
      <c r="F12" s="10">
        <v>96287</v>
      </c>
      <c r="G12" s="11">
        <v>3.6999999999999998E-2</v>
      </c>
      <c r="H12" s="11">
        <v>2.7E-2</v>
      </c>
      <c r="I12" s="10">
        <v>20420100</v>
      </c>
      <c r="J12" s="12" t="s">
        <v>6413</v>
      </c>
      <c r="K12" s="10">
        <v>2621</v>
      </c>
      <c r="L12" s="12" t="s">
        <v>6414</v>
      </c>
      <c r="M12" s="10">
        <v>571770100</v>
      </c>
      <c r="N12" s="10">
        <v>68682</v>
      </c>
      <c r="O12" s="12">
        <v>14</v>
      </c>
    </row>
    <row r="13" spans="1:15" ht="15" customHeight="1" x14ac:dyDescent="0.3">
      <c r="A13" s="9">
        <v>43574</v>
      </c>
      <c r="B13" s="12">
        <v>166</v>
      </c>
      <c r="C13" s="11">
        <v>2.4E-2</v>
      </c>
      <c r="D13" s="12">
        <v>480</v>
      </c>
      <c r="E13" s="11">
        <v>2.8000000000000001E-2</v>
      </c>
      <c r="F13" s="10">
        <v>99681</v>
      </c>
      <c r="G13" s="11">
        <v>3.5999999999999997E-2</v>
      </c>
      <c r="H13" s="11">
        <v>0.04</v>
      </c>
      <c r="I13" s="10">
        <v>33022900</v>
      </c>
      <c r="J13" s="12" t="s">
        <v>6415</v>
      </c>
      <c r="K13" s="10">
        <v>3948</v>
      </c>
      <c r="L13" s="12" t="s">
        <v>6416</v>
      </c>
      <c r="M13" s="10">
        <v>604793000</v>
      </c>
      <c r="N13" s="10">
        <v>72630</v>
      </c>
      <c r="O13" s="12">
        <v>12</v>
      </c>
    </row>
    <row r="14" spans="1:15" ht="15" customHeight="1" x14ac:dyDescent="0.3">
      <c r="A14" s="9">
        <v>43575</v>
      </c>
      <c r="B14" s="12">
        <v>156</v>
      </c>
      <c r="C14" s="11">
        <v>2.1000000000000001E-2</v>
      </c>
      <c r="D14" s="12">
        <v>499</v>
      </c>
      <c r="E14" s="11">
        <v>2.5999999999999999E-2</v>
      </c>
      <c r="F14" s="10">
        <v>92803</v>
      </c>
      <c r="G14" s="11">
        <v>3.1E-2</v>
      </c>
      <c r="H14" s="11">
        <v>5.8999999999999997E-2</v>
      </c>
      <c r="I14" s="10">
        <v>48046500</v>
      </c>
      <c r="J14" s="12" t="s">
        <v>6417</v>
      </c>
      <c r="K14" s="10">
        <v>5480</v>
      </c>
      <c r="L14" s="12" t="s">
        <v>6418</v>
      </c>
      <c r="M14" s="10">
        <v>652839500</v>
      </c>
      <c r="N14" s="10">
        <v>78110</v>
      </c>
      <c r="O14" s="12">
        <v>12</v>
      </c>
    </row>
    <row r="15" spans="1:15" ht="15" customHeight="1" x14ac:dyDescent="0.3">
      <c r="A15" s="9">
        <v>43576</v>
      </c>
      <c r="B15" s="12">
        <v>159</v>
      </c>
      <c r="C15" s="11">
        <v>2.1000000000000001E-2</v>
      </c>
      <c r="D15" s="12">
        <v>484</v>
      </c>
      <c r="E15" s="11">
        <v>2.5999999999999999E-2</v>
      </c>
      <c r="F15" s="10">
        <v>88669</v>
      </c>
      <c r="G15" s="11">
        <v>0.03</v>
      </c>
      <c r="H15" s="11">
        <v>6.6000000000000003E-2</v>
      </c>
      <c r="I15" s="10">
        <v>49939500</v>
      </c>
      <c r="J15" s="12" t="s">
        <v>6419</v>
      </c>
      <c r="K15" s="10">
        <v>5843</v>
      </c>
      <c r="L15" s="12" t="s">
        <v>6420</v>
      </c>
      <c r="M15" s="10">
        <v>702779000</v>
      </c>
      <c r="N15" s="10">
        <v>83953</v>
      </c>
      <c r="O15" s="12">
        <v>11</v>
      </c>
    </row>
    <row r="16" spans="1:15" ht="15" customHeight="1" x14ac:dyDescent="0.3">
      <c r="A16" s="9">
        <v>43577</v>
      </c>
      <c r="B16" s="12">
        <v>139</v>
      </c>
      <c r="C16" s="11">
        <v>2.1999999999999999E-2</v>
      </c>
      <c r="D16" s="12">
        <v>431</v>
      </c>
      <c r="E16" s="11">
        <v>2.8000000000000001E-2</v>
      </c>
      <c r="F16" s="10">
        <v>84183</v>
      </c>
      <c r="G16" s="11">
        <v>3.4000000000000002E-2</v>
      </c>
      <c r="H16" s="11">
        <v>0.04</v>
      </c>
      <c r="I16" s="10">
        <v>23044700</v>
      </c>
      <c r="J16" s="12" t="s">
        <v>6421</v>
      </c>
      <c r="K16" s="10">
        <v>3361</v>
      </c>
      <c r="L16" s="12" t="s">
        <v>6422</v>
      </c>
      <c r="M16" s="10">
        <v>725823700</v>
      </c>
      <c r="N16" s="10">
        <v>87314</v>
      </c>
      <c r="O16" s="12">
        <v>10</v>
      </c>
    </row>
    <row r="17" spans="1:15" ht="15" customHeight="1" x14ac:dyDescent="0.3">
      <c r="A17" s="9">
        <v>43578</v>
      </c>
      <c r="B17" s="12">
        <v>135</v>
      </c>
      <c r="C17" s="11">
        <v>2.1000000000000001E-2</v>
      </c>
      <c r="D17" s="12">
        <v>427</v>
      </c>
      <c r="E17" s="11">
        <v>2.8000000000000001E-2</v>
      </c>
      <c r="F17" s="10">
        <v>82476</v>
      </c>
      <c r="G17" s="11">
        <v>3.3000000000000002E-2</v>
      </c>
      <c r="H17" s="11">
        <v>4.9000000000000002E-2</v>
      </c>
      <c r="I17" s="10">
        <v>26621100</v>
      </c>
      <c r="J17" s="12" t="s">
        <v>6423</v>
      </c>
      <c r="K17" s="10">
        <v>4044</v>
      </c>
      <c r="L17" s="12" t="s">
        <v>6424</v>
      </c>
      <c r="M17" s="10">
        <v>752444800</v>
      </c>
      <c r="N17" s="10">
        <v>91358</v>
      </c>
      <c r="O17" s="12">
        <v>9</v>
      </c>
    </row>
    <row r="18" spans="1:15" ht="15" customHeight="1" x14ac:dyDescent="0.3">
      <c r="A18" s="9">
        <v>43579</v>
      </c>
      <c r="B18" s="12">
        <v>49</v>
      </c>
      <c r="C18" s="11">
        <v>0.01</v>
      </c>
      <c r="D18" s="12">
        <v>53</v>
      </c>
      <c r="E18" s="11">
        <v>3.0000000000000001E-3</v>
      </c>
      <c r="F18" s="10">
        <v>7071</v>
      </c>
      <c r="G18" s="11">
        <v>3.0000000000000001E-3</v>
      </c>
      <c r="H18" s="11">
        <v>0.05</v>
      </c>
      <c r="I18" s="10">
        <v>2379100</v>
      </c>
      <c r="J18" s="12" t="s">
        <v>6425</v>
      </c>
      <c r="K18" s="12">
        <v>352</v>
      </c>
      <c r="L18" s="12" t="s">
        <v>6426</v>
      </c>
      <c r="M18" s="10">
        <v>754823900</v>
      </c>
      <c r="N18" s="10">
        <v>91710</v>
      </c>
      <c r="O18" s="12">
        <v>22</v>
      </c>
    </row>
    <row r="19" spans="1:15" ht="15" customHeight="1" x14ac:dyDescent="0.3">
      <c r="A19" s="9">
        <v>43580</v>
      </c>
      <c r="B19" s="12">
        <v>41</v>
      </c>
      <c r="C19" s="11">
        <v>8.0000000000000002E-3</v>
      </c>
      <c r="D19" s="12">
        <v>47</v>
      </c>
      <c r="E19" s="11">
        <v>3.0000000000000001E-3</v>
      </c>
      <c r="F19" s="10">
        <v>6156</v>
      </c>
      <c r="G19" s="11">
        <v>3.0000000000000001E-3</v>
      </c>
      <c r="H19" s="11">
        <v>2.9000000000000001E-2</v>
      </c>
      <c r="I19" s="10">
        <v>1344200</v>
      </c>
      <c r="J19" s="12" t="s">
        <v>6427</v>
      </c>
      <c r="K19" s="12">
        <v>176</v>
      </c>
      <c r="L19" s="12" t="s">
        <v>6428</v>
      </c>
      <c r="M19" s="10">
        <v>756168100</v>
      </c>
      <c r="N19" s="10">
        <v>91886</v>
      </c>
      <c r="O19" s="12">
        <v>37</v>
      </c>
    </row>
    <row r="20" spans="1:15" ht="15" customHeight="1" x14ac:dyDescent="0.3">
      <c r="A20" s="9">
        <v>43581</v>
      </c>
      <c r="B20" s="12">
        <v>47</v>
      </c>
      <c r="C20" s="11">
        <v>8.9999999999999993E-3</v>
      </c>
      <c r="D20" s="12">
        <v>54</v>
      </c>
      <c r="E20" s="11">
        <v>3.0000000000000001E-3</v>
      </c>
      <c r="F20" s="10">
        <v>7452</v>
      </c>
      <c r="G20" s="11">
        <v>3.0000000000000001E-3</v>
      </c>
      <c r="H20" s="11">
        <v>0.04</v>
      </c>
      <c r="I20" s="10">
        <v>2502300</v>
      </c>
      <c r="J20" s="12" t="s">
        <v>6429</v>
      </c>
      <c r="K20" s="12">
        <v>299</v>
      </c>
      <c r="L20" s="12" t="s">
        <v>6430</v>
      </c>
      <c r="M20" s="10">
        <v>758670400</v>
      </c>
      <c r="N20" s="10">
        <v>92185</v>
      </c>
      <c r="O20" s="12">
        <v>23</v>
      </c>
    </row>
    <row r="21" spans="1:15" ht="15" customHeight="1" x14ac:dyDescent="0.3">
      <c r="A21" s="9">
        <v>43582</v>
      </c>
      <c r="B21" s="12">
        <v>36</v>
      </c>
      <c r="C21" s="11">
        <v>7.0000000000000001E-3</v>
      </c>
      <c r="D21" s="12">
        <v>39</v>
      </c>
      <c r="E21" s="11">
        <v>2E-3</v>
      </c>
      <c r="F21" s="10">
        <v>5246</v>
      </c>
      <c r="G21" s="11">
        <v>2E-3</v>
      </c>
      <c r="H21" s="11">
        <v>3.3000000000000002E-2</v>
      </c>
      <c r="I21" s="10">
        <v>1451100</v>
      </c>
      <c r="J21" s="12" t="s">
        <v>6431</v>
      </c>
      <c r="K21" s="12">
        <v>174</v>
      </c>
      <c r="L21" s="12" t="s">
        <v>6432</v>
      </c>
      <c r="M21" s="10">
        <v>760121500</v>
      </c>
      <c r="N21" s="10">
        <v>92359</v>
      </c>
      <c r="O21" s="12">
        <v>42</v>
      </c>
    </row>
    <row r="22" spans="1:15" ht="15" customHeight="1" x14ac:dyDescent="0.3">
      <c r="A22" s="9">
        <v>43583</v>
      </c>
      <c r="B22" s="12">
        <v>34</v>
      </c>
      <c r="C22" s="11">
        <v>7.0000000000000001E-3</v>
      </c>
      <c r="D22" s="12">
        <v>37</v>
      </c>
      <c r="E22" s="11">
        <v>2E-3</v>
      </c>
      <c r="F22" s="10">
        <v>5419</v>
      </c>
      <c r="G22" s="11">
        <v>2E-3</v>
      </c>
      <c r="H22" s="11">
        <v>3.2000000000000001E-2</v>
      </c>
      <c r="I22" s="10">
        <v>1407300</v>
      </c>
      <c r="J22" s="12" t="s">
        <v>6433</v>
      </c>
      <c r="K22" s="12">
        <v>173</v>
      </c>
      <c r="L22" s="12" t="s">
        <v>6434</v>
      </c>
      <c r="M22" s="10">
        <v>761528800</v>
      </c>
      <c r="N22" s="10">
        <v>92532</v>
      </c>
      <c r="O22" s="12">
        <v>35</v>
      </c>
    </row>
    <row r="23" spans="1:15" ht="15" customHeight="1" x14ac:dyDescent="0.3">
      <c r="A23" s="9">
        <v>43584</v>
      </c>
      <c r="B23" s="12">
        <v>48</v>
      </c>
      <c r="C23" s="11">
        <v>0.01</v>
      </c>
      <c r="D23" s="12">
        <v>52</v>
      </c>
      <c r="E23" s="11">
        <v>3.0000000000000001E-3</v>
      </c>
      <c r="F23" s="10">
        <v>7137</v>
      </c>
      <c r="G23" s="11">
        <v>3.0000000000000001E-3</v>
      </c>
      <c r="H23" s="11">
        <v>2.7E-2</v>
      </c>
      <c r="I23" s="10">
        <v>1411000</v>
      </c>
      <c r="J23" s="12" t="s">
        <v>6435</v>
      </c>
      <c r="K23" s="12">
        <v>191</v>
      </c>
      <c r="L23" s="12" t="s">
        <v>6436</v>
      </c>
      <c r="M23" s="10">
        <v>762939800</v>
      </c>
      <c r="N23" s="10">
        <v>92723</v>
      </c>
      <c r="O23" s="12">
        <v>33</v>
      </c>
    </row>
    <row r="24" spans="1:15" ht="15" customHeight="1" x14ac:dyDescent="0.3">
      <c r="A24" s="9">
        <v>43585</v>
      </c>
      <c r="B24" s="12">
        <v>48</v>
      </c>
      <c r="C24" s="11">
        <v>0.01</v>
      </c>
      <c r="D24" s="12">
        <v>54</v>
      </c>
      <c r="E24" s="11">
        <v>3.0000000000000001E-3</v>
      </c>
      <c r="F24" s="10">
        <v>7011</v>
      </c>
      <c r="G24" s="11">
        <v>3.0000000000000001E-3</v>
      </c>
      <c r="H24" s="11">
        <v>6.0999999999999999E-2</v>
      </c>
      <c r="I24" s="10">
        <v>3000600</v>
      </c>
      <c r="J24" s="12" t="s">
        <v>6437</v>
      </c>
      <c r="K24" s="12">
        <v>429</v>
      </c>
      <c r="L24" s="12" t="s">
        <v>6438</v>
      </c>
      <c r="M24" s="10">
        <v>765940400</v>
      </c>
      <c r="N24" s="10">
        <v>93152</v>
      </c>
      <c r="O24" s="12">
        <v>21</v>
      </c>
    </row>
    <row r="25" spans="1:15" ht="15" customHeight="1" x14ac:dyDescent="0.3">
      <c r="A25" s="9">
        <v>43586</v>
      </c>
      <c r="B25" s="12">
        <v>2</v>
      </c>
      <c r="C25" s="11">
        <v>0</v>
      </c>
      <c r="D25" s="12">
        <v>2</v>
      </c>
      <c r="E25" s="11">
        <v>0</v>
      </c>
      <c r="F25" s="12">
        <v>224</v>
      </c>
      <c r="G25" s="11">
        <v>0</v>
      </c>
      <c r="H25" s="11">
        <v>6.3E-2</v>
      </c>
      <c r="I25" s="10">
        <v>92000</v>
      </c>
      <c r="J25" s="12" t="s">
        <v>6439</v>
      </c>
      <c r="K25" s="12">
        <v>14</v>
      </c>
      <c r="L25" s="12" t="s">
        <v>6440</v>
      </c>
      <c r="M25" s="10">
        <v>766032400</v>
      </c>
      <c r="N25" s="10">
        <v>93166</v>
      </c>
      <c r="O25" s="12">
        <v>87</v>
      </c>
    </row>
    <row r="26" spans="1:15" ht="15" customHeight="1" x14ac:dyDescent="0.3">
      <c r="A26" s="9">
        <v>43587</v>
      </c>
      <c r="B26" s="12">
        <v>1</v>
      </c>
      <c r="C26" s="11">
        <v>0</v>
      </c>
      <c r="D26" s="12">
        <v>1</v>
      </c>
      <c r="E26" s="11">
        <v>0</v>
      </c>
      <c r="F26" s="12">
        <v>120</v>
      </c>
      <c r="G26" s="11">
        <v>0</v>
      </c>
      <c r="H26" s="11">
        <v>1.7000000000000001E-2</v>
      </c>
      <c r="I26" s="10">
        <v>14000</v>
      </c>
      <c r="J26" s="12" t="s">
        <v>6441</v>
      </c>
      <c r="K26" s="12">
        <v>2</v>
      </c>
      <c r="L26" s="12" t="s">
        <v>4337</v>
      </c>
      <c r="M26" s="10">
        <v>766046400</v>
      </c>
      <c r="N26" s="10">
        <v>93168</v>
      </c>
      <c r="O26" s="12">
        <v>86</v>
      </c>
    </row>
    <row r="27" spans="1:15" ht="15" customHeight="1" x14ac:dyDescent="0.3">
      <c r="A27" s="9">
        <v>43588</v>
      </c>
      <c r="B27" s="12">
        <v>2</v>
      </c>
      <c r="C27" s="11">
        <v>0</v>
      </c>
      <c r="D27" s="12">
        <v>2</v>
      </c>
      <c r="E27" s="11">
        <v>0</v>
      </c>
      <c r="F27" s="12">
        <v>177</v>
      </c>
      <c r="G27" s="11">
        <v>0</v>
      </c>
      <c r="H27" s="11">
        <v>5.6000000000000001E-2</v>
      </c>
      <c r="I27" s="10">
        <v>77000</v>
      </c>
      <c r="J27" s="12" t="s">
        <v>6442</v>
      </c>
      <c r="K27" s="12">
        <v>10</v>
      </c>
      <c r="L27" s="12" t="s">
        <v>6443</v>
      </c>
      <c r="M27" s="10">
        <v>766123400</v>
      </c>
      <c r="N27" s="10">
        <v>93178</v>
      </c>
      <c r="O27" s="12">
        <v>73</v>
      </c>
    </row>
    <row r="28" spans="1:15" ht="15" customHeight="1" x14ac:dyDescent="0.3">
      <c r="A28" s="9">
        <v>43590</v>
      </c>
      <c r="B28" s="12">
        <v>1</v>
      </c>
      <c r="C28" s="11">
        <v>0</v>
      </c>
      <c r="D28" s="12">
        <v>1</v>
      </c>
      <c r="E28" s="11">
        <v>0</v>
      </c>
      <c r="F28" s="12">
        <v>214</v>
      </c>
      <c r="G28" s="11">
        <v>0</v>
      </c>
      <c r="H28" s="11">
        <v>8.9999999999999993E-3</v>
      </c>
      <c r="I28" s="10">
        <v>12300</v>
      </c>
      <c r="J28" s="12" t="s">
        <v>6444</v>
      </c>
      <c r="K28" s="12">
        <v>2</v>
      </c>
      <c r="L28" s="12" t="s">
        <v>1408</v>
      </c>
      <c r="M28" s="10">
        <v>766135700</v>
      </c>
      <c r="N28" s="10">
        <v>93180</v>
      </c>
      <c r="O28" s="12">
        <v>81</v>
      </c>
    </row>
    <row r="29" spans="1:15" ht="15" customHeight="1" x14ac:dyDescent="0.3">
      <c r="A29" s="9">
        <v>43591</v>
      </c>
      <c r="B29" s="12">
        <v>1</v>
      </c>
      <c r="C29" s="11">
        <v>0</v>
      </c>
      <c r="D29" s="12">
        <v>1</v>
      </c>
      <c r="E29" s="11">
        <v>0</v>
      </c>
      <c r="F29" s="12">
        <v>214</v>
      </c>
      <c r="G29" s="11">
        <v>0</v>
      </c>
      <c r="H29" s="11">
        <v>8.9999999999999993E-3</v>
      </c>
      <c r="I29" s="10">
        <v>16000</v>
      </c>
      <c r="J29" s="12" t="s">
        <v>6445</v>
      </c>
      <c r="K29" s="12">
        <v>2</v>
      </c>
      <c r="L29" s="12" t="s">
        <v>292</v>
      </c>
      <c r="M29" s="10">
        <v>766151700</v>
      </c>
      <c r="N29" s="10">
        <v>93182</v>
      </c>
      <c r="O29" s="12">
        <v>81</v>
      </c>
    </row>
    <row r="30" spans="1:15" ht="15" customHeight="1" x14ac:dyDescent="0.3">
      <c r="A30" s="9">
        <v>43593</v>
      </c>
      <c r="B30" s="12">
        <v>1</v>
      </c>
      <c r="C30" s="11">
        <v>0</v>
      </c>
      <c r="D30" s="12">
        <v>1</v>
      </c>
      <c r="E30" s="11">
        <v>0</v>
      </c>
      <c r="F30" s="12">
        <v>120</v>
      </c>
      <c r="G30" s="11">
        <v>0</v>
      </c>
      <c r="H30" s="11">
        <v>1.7000000000000001E-2</v>
      </c>
      <c r="I30" s="10">
        <v>14000</v>
      </c>
      <c r="J30" s="12" t="s">
        <v>2585</v>
      </c>
      <c r="K30" s="12">
        <v>2</v>
      </c>
      <c r="L30" s="12" t="s">
        <v>1408</v>
      </c>
      <c r="M30" s="10">
        <v>766165700</v>
      </c>
      <c r="N30" s="10">
        <v>93184</v>
      </c>
      <c r="O30" s="12">
        <v>96</v>
      </c>
    </row>
    <row r="31" spans="1:15" ht="15" customHeight="1" x14ac:dyDescent="0.3">
      <c r="A31" s="9">
        <v>43602</v>
      </c>
      <c r="B31" s="12">
        <v>1</v>
      </c>
      <c r="C31" s="11">
        <v>0</v>
      </c>
      <c r="D31" s="12">
        <v>1</v>
      </c>
      <c r="E31" s="11">
        <v>0</v>
      </c>
      <c r="F31" s="12">
        <v>268</v>
      </c>
      <c r="G31" s="11">
        <v>0</v>
      </c>
      <c r="H31" s="11">
        <v>0.93300000000000005</v>
      </c>
      <c r="I31" s="10">
        <v>2250000</v>
      </c>
      <c r="J31" s="12" t="s">
        <v>6446</v>
      </c>
      <c r="K31" s="12">
        <v>250</v>
      </c>
      <c r="L31" s="12" t="s">
        <v>6447</v>
      </c>
      <c r="M31" s="10">
        <v>768415700</v>
      </c>
      <c r="N31" s="10">
        <v>93434</v>
      </c>
      <c r="O31" s="12">
        <v>30</v>
      </c>
    </row>
    <row r="32" spans="1:15" ht="15" customHeight="1" x14ac:dyDescent="0.3">
      <c r="A32" s="9">
        <v>43605</v>
      </c>
      <c r="B32" s="12">
        <v>2</v>
      </c>
      <c r="C32" s="11">
        <v>0</v>
      </c>
      <c r="D32" s="12">
        <v>2</v>
      </c>
      <c r="E32" s="11">
        <v>0</v>
      </c>
      <c r="F32" s="12">
        <v>342</v>
      </c>
      <c r="G32" s="11">
        <v>0</v>
      </c>
      <c r="H32" s="11">
        <v>0.72199999999999998</v>
      </c>
      <c r="I32" s="10">
        <v>2223000</v>
      </c>
      <c r="J32" s="12" t="s">
        <v>6448</v>
      </c>
      <c r="K32" s="12">
        <v>247</v>
      </c>
      <c r="L32" s="12" t="s">
        <v>1884</v>
      </c>
      <c r="M32" s="10">
        <v>770638700</v>
      </c>
      <c r="N32" s="10">
        <v>93681</v>
      </c>
      <c r="O32" s="12">
        <v>24</v>
      </c>
    </row>
    <row r="33" spans="1:15" ht="15" customHeight="1" x14ac:dyDescent="0.3">
      <c r="A33" s="9">
        <v>43606</v>
      </c>
      <c r="B33" s="12">
        <v>1</v>
      </c>
      <c r="C33" s="11">
        <v>0</v>
      </c>
      <c r="D33" s="12">
        <v>1</v>
      </c>
      <c r="E33" s="11">
        <v>0</v>
      </c>
      <c r="F33" s="12">
        <v>268</v>
      </c>
      <c r="G33" s="11">
        <v>0</v>
      </c>
      <c r="H33" s="11">
        <v>0.93300000000000005</v>
      </c>
      <c r="I33" s="10">
        <v>2250000</v>
      </c>
      <c r="J33" s="12" t="s">
        <v>6449</v>
      </c>
      <c r="K33" s="12">
        <v>250</v>
      </c>
      <c r="L33" s="12" t="s">
        <v>6450</v>
      </c>
      <c r="M33" s="10">
        <v>772888700</v>
      </c>
      <c r="N33" s="10">
        <v>93931</v>
      </c>
      <c r="O33" s="12">
        <v>26</v>
      </c>
    </row>
    <row r="34" spans="1:15" ht="15" customHeight="1" x14ac:dyDescent="0.3">
      <c r="A34" s="9">
        <v>43607</v>
      </c>
      <c r="B34" s="12">
        <v>1</v>
      </c>
      <c r="C34" s="11">
        <v>0</v>
      </c>
      <c r="D34" s="12">
        <v>1</v>
      </c>
      <c r="E34" s="11">
        <v>0</v>
      </c>
      <c r="F34" s="12">
        <v>268</v>
      </c>
      <c r="G34" s="11">
        <v>0</v>
      </c>
      <c r="H34" s="11">
        <v>0.70099999999999996</v>
      </c>
      <c r="I34" s="10">
        <v>1692000</v>
      </c>
      <c r="J34" s="12" t="s">
        <v>6451</v>
      </c>
      <c r="K34" s="12">
        <v>188</v>
      </c>
      <c r="L34" s="12" t="s">
        <v>6452</v>
      </c>
      <c r="M34" s="10">
        <v>774580700</v>
      </c>
      <c r="N34" s="10">
        <v>94119</v>
      </c>
      <c r="O34" s="12">
        <v>26</v>
      </c>
    </row>
    <row r="35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9168C-D09B-4F6F-88A5-C206B8C1D6C5}">
  <dimension ref="A1:O48"/>
  <sheetViews>
    <sheetView showGridLines="0" workbookViewId="0">
      <selection activeCell="A5" sqref="A5:O13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3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6653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43565</v>
      </c>
      <c r="B5" s="12">
        <v>445</v>
      </c>
      <c r="C5" s="11">
        <v>7.9000000000000001E-2</v>
      </c>
      <c r="D5" s="10">
        <v>1363</v>
      </c>
      <c r="E5" s="11">
        <v>8.1000000000000003E-2</v>
      </c>
      <c r="F5" s="10">
        <v>188482</v>
      </c>
      <c r="G5" s="11">
        <v>7.0999999999999994E-2</v>
      </c>
      <c r="H5" s="11">
        <v>5.2999999999999999E-2</v>
      </c>
      <c r="I5" s="10">
        <v>82566950</v>
      </c>
      <c r="J5" s="12" t="s">
        <v>6654</v>
      </c>
      <c r="K5" s="10">
        <v>10050</v>
      </c>
      <c r="L5" s="12" t="s">
        <v>6655</v>
      </c>
      <c r="M5" s="10">
        <v>151564450</v>
      </c>
      <c r="N5" s="10">
        <v>17913</v>
      </c>
      <c r="O5" s="12">
        <v>7</v>
      </c>
    </row>
    <row r="6" spans="1:15" ht="15" customHeight="1" x14ac:dyDescent="0.3">
      <c r="A6" s="9">
        <v>43566</v>
      </c>
      <c r="B6" s="12">
        <v>417</v>
      </c>
      <c r="C6" s="11">
        <v>6.9000000000000006E-2</v>
      </c>
      <c r="D6" s="10">
        <v>1146</v>
      </c>
      <c r="E6" s="11">
        <v>6.6000000000000003E-2</v>
      </c>
      <c r="F6" s="10">
        <v>157431</v>
      </c>
      <c r="G6" s="11">
        <v>5.8000000000000003E-2</v>
      </c>
      <c r="H6" s="11">
        <v>5.0999999999999997E-2</v>
      </c>
      <c r="I6" s="10">
        <v>66899380</v>
      </c>
      <c r="J6" s="12" t="s">
        <v>6656</v>
      </c>
      <c r="K6" s="10">
        <v>7998</v>
      </c>
      <c r="L6" s="12" t="s">
        <v>6657</v>
      </c>
      <c r="M6" s="10">
        <v>218463830</v>
      </c>
      <c r="N6" s="10">
        <v>25911</v>
      </c>
      <c r="O6" s="12">
        <v>10</v>
      </c>
    </row>
    <row r="7" spans="1:15" ht="15" customHeight="1" x14ac:dyDescent="0.3">
      <c r="A7" s="9">
        <v>43567</v>
      </c>
      <c r="B7" s="12">
        <v>434</v>
      </c>
      <c r="C7" s="11">
        <v>6.9000000000000006E-2</v>
      </c>
      <c r="D7" s="10">
        <v>1158</v>
      </c>
      <c r="E7" s="11">
        <v>6.5000000000000002E-2</v>
      </c>
      <c r="F7" s="10">
        <v>156228</v>
      </c>
      <c r="G7" s="11">
        <v>5.6000000000000001E-2</v>
      </c>
      <c r="H7" s="11">
        <v>6.7000000000000004E-2</v>
      </c>
      <c r="I7" s="10">
        <v>93586300</v>
      </c>
      <c r="J7" s="12" t="s">
        <v>6658</v>
      </c>
      <c r="K7" s="10">
        <v>10414</v>
      </c>
      <c r="L7" s="12" t="s">
        <v>6659</v>
      </c>
      <c r="M7" s="10">
        <v>312050130</v>
      </c>
      <c r="N7" s="10">
        <v>36325</v>
      </c>
      <c r="O7" s="12">
        <v>9</v>
      </c>
    </row>
    <row r="8" spans="1:15" ht="15" customHeight="1" x14ac:dyDescent="0.3">
      <c r="A8" s="9">
        <v>43568</v>
      </c>
      <c r="B8" s="12">
        <v>445</v>
      </c>
      <c r="C8" s="11">
        <v>6.4000000000000001E-2</v>
      </c>
      <c r="D8" s="10">
        <v>1031</v>
      </c>
      <c r="E8" s="11">
        <v>5.2999999999999999E-2</v>
      </c>
      <c r="F8" s="10">
        <v>135301</v>
      </c>
      <c r="G8" s="11">
        <v>4.4999999999999998E-2</v>
      </c>
      <c r="H8" s="11">
        <v>0.105</v>
      </c>
      <c r="I8" s="10">
        <v>129172010</v>
      </c>
      <c r="J8" s="12" t="s">
        <v>6660</v>
      </c>
      <c r="K8" s="10">
        <v>14227</v>
      </c>
      <c r="L8" s="12" t="s">
        <v>6661</v>
      </c>
      <c r="M8" s="10">
        <v>441222140</v>
      </c>
      <c r="N8" s="10">
        <v>50552</v>
      </c>
      <c r="O8" s="12">
        <v>11</v>
      </c>
    </row>
    <row r="9" spans="1:15" ht="15" customHeight="1" x14ac:dyDescent="0.3">
      <c r="A9" s="9">
        <v>43569</v>
      </c>
      <c r="B9" s="12">
        <v>457</v>
      </c>
      <c r="C9" s="11">
        <v>6.6000000000000003E-2</v>
      </c>
      <c r="D9" s="10">
        <v>1026</v>
      </c>
      <c r="E9" s="11">
        <v>5.3999999999999999E-2</v>
      </c>
      <c r="F9" s="10">
        <v>133568</v>
      </c>
      <c r="G9" s="11">
        <v>4.4999999999999998E-2</v>
      </c>
      <c r="H9" s="11">
        <v>0.126</v>
      </c>
      <c r="I9" s="10">
        <v>152974620</v>
      </c>
      <c r="J9" s="12" t="s">
        <v>6662</v>
      </c>
      <c r="K9" s="10">
        <v>16843</v>
      </c>
      <c r="L9" s="12" t="s">
        <v>6663</v>
      </c>
      <c r="M9" s="10">
        <v>594196760</v>
      </c>
      <c r="N9" s="10">
        <v>67395</v>
      </c>
      <c r="O9" s="12">
        <v>9</v>
      </c>
    </row>
    <row r="10" spans="1:15" ht="15" customHeight="1" x14ac:dyDescent="0.3">
      <c r="A10" s="9">
        <v>43570</v>
      </c>
      <c r="B10" s="12">
        <v>428</v>
      </c>
      <c r="C10" s="11">
        <v>7.2999999999999995E-2</v>
      </c>
      <c r="D10" s="12">
        <v>953</v>
      </c>
      <c r="E10" s="11">
        <v>5.8999999999999997E-2</v>
      </c>
      <c r="F10" s="10">
        <v>128980</v>
      </c>
      <c r="G10" s="11">
        <v>0.05</v>
      </c>
      <c r="H10" s="11">
        <v>5.1999999999999998E-2</v>
      </c>
      <c r="I10" s="10">
        <v>55478810</v>
      </c>
      <c r="J10" s="12" t="s">
        <v>6664</v>
      </c>
      <c r="K10" s="10">
        <v>6684</v>
      </c>
      <c r="L10" s="12" t="s">
        <v>6665</v>
      </c>
      <c r="M10" s="10">
        <v>649675570</v>
      </c>
      <c r="N10" s="10">
        <v>74079</v>
      </c>
      <c r="O10" s="12">
        <v>5</v>
      </c>
    </row>
    <row r="11" spans="1:15" ht="15" customHeight="1" x14ac:dyDescent="0.3">
      <c r="A11" s="9">
        <v>43571</v>
      </c>
      <c r="B11" s="12">
        <v>424</v>
      </c>
      <c r="C11" s="11">
        <v>7.0999999999999994E-2</v>
      </c>
      <c r="D11" s="12">
        <v>945</v>
      </c>
      <c r="E11" s="11">
        <v>5.8999999999999997E-2</v>
      </c>
      <c r="F11" s="10">
        <v>127442</v>
      </c>
      <c r="G11" s="11">
        <v>5.0999999999999997E-2</v>
      </c>
      <c r="H11" s="11">
        <v>5.0999999999999997E-2</v>
      </c>
      <c r="I11" s="10">
        <v>53634020</v>
      </c>
      <c r="J11" s="12" t="s">
        <v>6666</v>
      </c>
      <c r="K11" s="10">
        <v>6529</v>
      </c>
      <c r="L11" s="12" t="s">
        <v>6667</v>
      </c>
      <c r="M11" s="10">
        <v>703309590</v>
      </c>
      <c r="N11" s="10">
        <v>80608</v>
      </c>
      <c r="O11" s="12">
        <v>6</v>
      </c>
    </row>
    <row r="12" spans="1:15" ht="15" customHeight="1" x14ac:dyDescent="0.3">
      <c r="A12" s="9">
        <v>43572</v>
      </c>
      <c r="B12" s="12">
        <v>166</v>
      </c>
      <c r="C12" s="11">
        <v>2.8000000000000001E-2</v>
      </c>
      <c r="D12" s="12">
        <v>317</v>
      </c>
      <c r="E12" s="11">
        <v>1.9E-2</v>
      </c>
      <c r="F12" s="10">
        <v>43130</v>
      </c>
      <c r="G12" s="11">
        <v>1.6E-2</v>
      </c>
      <c r="H12" s="11">
        <v>7.1999999999999995E-2</v>
      </c>
      <c r="I12" s="10">
        <v>25956300</v>
      </c>
      <c r="J12" s="12" t="s">
        <v>6668</v>
      </c>
      <c r="K12" s="10">
        <v>3087</v>
      </c>
      <c r="L12" s="12" t="s">
        <v>6669</v>
      </c>
      <c r="M12" s="10">
        <v>729265890</v>
      </c>
      <c r="N12" s="10">
        <v>83695</v>
      </c>
      <c r="O12" s="12">
        <v>14</v>
      </c>
    </row>
    <row r="13" spans="1:15" ht="15" customHeight="1" x14ac:dyDescent="0.3">
      <c r="A13" s="9">
        <v>43573</v>
      </c>
      <c r="B13" s="12">
        <v>132</v>
      </c>
      <c r="C13" s="11">
        <v>0.02</v>
      </c>
      <c r="D13" s="12">
        <v>207</v>
      </c>
      <c r="E13" s="11">
        <v>1.2999999999999999E-2</v>
      </c>
      <c r="F13" s="10">
        <v>27769</v>
      </c>
      <c r="G13" s="11">
        <v>1.0999999999999999E-2</v>
      </c>
      <c r="H13" s="11">
        <v>5.7000000000000002E-2</v>
      </c>
      <c r="I13" s="10">
        <v>12897940</v>
      </c>
      <c r="J13" s="12" t="s">
        <v>6670</v>
      </c>
      <c r="K13" s="10">
        <v>1570</v>
      </c>
      <c r="L13" s="12" t="s">
        <v>6671</v>
      </c>
      <c r="M13" s="10">
        <v>742163830</v>
      </c>
      <c r="N13" s="10">
        <v>85265</v>
      </c>
      <c r="O13" s="12">
        <v>18</v>
      </c>
    </row>
    <row r="14" spans="1:15" ht="15" customHeight="1" x14ac:dyDescent="0.3">
      <c r="A14" s="9">
        <v>43574</v>
      </c>
      <c r="B14" s="12">
        <v>140</v>
      </c>
      <c r="C14" s="11">
        <v>0.02</v>
      </c>
      <c r="D14" s="12">
        <v>226</v>
      </c>
      <c r="E14" s="11">
        <v>1.2999999999999999E-2</v>
      </c>
      <c r="F14" s="10">
        <v>31422</v>
      </c>
      <c r="G14" s="11">
        <v>1.0999999999999999E-2</v>
      </c>
      <c r="H14" s="11">
        <v>9.0999999999999998E-2</v>
      </c>
      <c r="I14" s="10">
        <v>25003440</v>
      </c>
      <c r="J14" s="12" t="s">
        <v>6672</v>
      </c>
      <c r="K14" s="10">
        <v>2867</v>
      </c>
      <c r="L14" s="12" t="s">
        <v>6673</v>
      </c>
      <c r="M14" s="10">
        <v>767167270</v>
      </c>
      <c r="N14" s="10">
        <v>88132</v>
      </c>
      <c r="O14" s="12">
        <v>15</v>
      </c>
    </row>
    <row r="15" spans="1:15" ht="15" customHeight="1" x14ac:dyDescent="0.3">
      <c r="A15" s="9">
        <v>43575</v>
      </c>
      <c r="B15" s="12">
        <v>143</v>
      </c>
      <c r="C15" s="11">
        <v>1.9E-2</v>
      </c>
      <c r="D15" s="12">
        <v>243</v>
      </c>
      <c r="E15" s="11">
        <v>1.2999999999999999E-2</v>
      </c>
      <c r="F15" s="10">
        <v>33504</v>
      </c>
      <c r="G15" s="11">
        <v>1.0999999999999999E-2</v>
      </c>
      <c r="H15" s="11">
        <v>0.111</v>
      </c>
      <c r="I15" s="10">
        <v>33185060</v>
      </c>
      <c r="J15" s="12" t="s">
        <v>6674</v>
      </c>
      <c r="K15" s="10">
        <v>3718</v>
      </c>
      <c r="L15" s="12" t="s">
        <v>6675</v>
      </c>
      <c r="M15" s="10">
        <v>800352330</v>
      </c>
      <c r="N15" s="10">
        <v>91850</v>
      </c>
      <c r="O15" s="12">
        <v>17</v>
      </c>
    </row>
    <row r="16" spans="1:15" ht="15" customHeight="1" x14ac:dyDescent="0.3">
      <c r="A16" s="9">
        <v>43576</v>
      </c>
      <c r="B16" s="12">
        <v>145</v>
      </c>
      <c r="C16" s="11">
        <v>1.9E-2</v>
      </c>
      <c r="D16" s="12">
        <v>235</v>
      </c>
      <c r="E16" s="11">
        <v>1.2999999999999999E-2</v>
      </c>
      <c r="F16" s="10">
        <v>31311</v>
      </c>
      <c r="G16" s="11">
        <v>1.0999999999999999E-2</v>
      </c>
      <c r="H16" s="11">
        <v>9.0999999999999998E-2</v>
      </c>
      <c r="I16" s="10">
        <v>25319680</v>
      </c>
      <c r="J16" s="12" t="s">
        <v>6676</v>
      </c>
      <c r="K16" s="10">
        <v>2847</v>
      </c>
      <c r="L16" s="12" t="s">
        <v>6677</v>
      </c>
      <c r="M16" s="10">
        <v>825672010</v>
      </c>
      <c r="N16" s="10">
        <v>94697</v>
      </c>
      <c r="O16" s="12">
        <v>17</v>
      </c>
    </row>
    <row r="17" spans="1:15" ht="15" customHeight="1" x14ac:dyDescent="0.3">
      <c r="A17" s="9">
        <v>43577</v>
      </c>
      <c r="B17" s="12">
        <v>137</v>
      </c>
      <c r="C17" s="11">
        <v>2.1999999999999999E-2</v>
      </c>
      <c r="D17" s="12">
        <v>222</v>
      </c>
      <c r="E17" s="11">
        <v>1.4E-2</v>
      </c>
      <c r="F17" s="10">
        <v>31655</v>
      </c>
      <c r="G17" s="11">
        <v>1.2999999999999999E-2</v>
      </c>
      <c r="H17" s="11">
        <v>3.9E-2</v>
      </c>
      <c r="I17" s="10">
        <v>9991870</v>
      </c>
      <c r="J17" s="12" t="s">
        <v>6678</v>
      </c>
      <c r="K17" s="10">
        <v>1239</v>
      </c>
      <c r="L17" s="12" t="s">
        <v>6679</v>
      </c>
      <c r="M17" s="10">
        <v>835663880</v>
      </c>
      <c r="N17" s="10">
        <v>95936</v>
      </c>
      <c r="O17" s="12">
        <v>17</v>
      </c>
    </row>
    <row r="18" spans="1:15" ht="15" customHeight="1" x14ac:dyDescent="0.3">
      <c r="A18" s="9">
        <v>43578</v>
      </c>
      <c r="B18" s="12">
        <v>131</v>
      </c>
      <c r="C18" s="11">
        <v>0.02</v>
      </c>
      <c r="D18" s="12">
        <v>215</v>
      </c>
      <c r="E18" s="11">
        <v>1.4E-2</v>
      </c>
      <c r="F18" s="10">
        <v>30562</v>
      </c>
      <c r="G18" s="11">
        <v>1.2E-2</v>
      </c>
      <c r="H18" s="11">
        <v>4.1000000000000002E-2</v>
      </c>
      <c r="I18" s="10">
        <v>9973160</v>
      </c>
      <c r="J18" s="12" t="s">
        <v>6680</v>
      </c>
      <c r="K18" s="10">
        <v>1251</v>
      </c>
      <c r="L18" s="12" t="s">
        <v>6681</v>
      </c>
      <c r="M18" s="10">
        <v>845637040</v>
      </c>
      <c r="N18" s="10">
        <v>97187</v>
      </c>
      <c r="O18" s="12">
        <v>17</v>
      </c>
    </row>
    <row r="19" spans="1:15" ht="15" customHeight="1" x14ac:dyDescent="0.3">
      <c r="A19" s="9">
        <v>43579</v>
      </c>
      <c r="B19" s="12">
        <v>7</v>
      </c>
      <c r="C19" s="11">
        <v>1E-3</v>
      </c>
      <c r="D19" s="12">
        <v>8</v>
      </c>
      <c r="E19" s="11">
        <v>1E-3</v>
      </c>
      <c r="F19" s="12">
        <v>828</v>
      </c>
      <c r="G19" s="11">
        <v>0</v>
      </c>
      <c r="H19" s="11">
        <v>0.16900000000000001</v>
      </c>
      <c r="I19" s="10">
        <v>1230500</v>
      </c>
      <c r="J19" s="12" t="s">
        <v>6682</v>
      </c>
      <c r="K19" s="12">
        <v>140</v>
      </c>
      <c r="L19" s="12" t="s">
        <v>6683</v>
      </c>
      <c r="M19" s="10">
        <v>846867540</v>
      </c>
      <c r="N19" s="10">
        <v>97327</v>
      </c>
      <c r="O19" s="12">
        <v>36</v>
      </c>
    </row>
    <row r="20" spans="1:15" ht="15" customHeight="1" x14ac:dyDescent="0.3">
      <c r="A20" s="9">
        <v>43580</v>
      </c>
      <c r="B20" s="12">
        <v>6</v>
      </c>
      <c r="C20" s="11">
        <v>1E-3</v>
      </c>
      <c r="D20" s="12">
        <v>8</v>
      </c>
      <c r="E20" s="11">
        <v>1E-3</v>
      </c>
      <c r="F20" s="12">
        <v>780</v>
      </c>
      <c r="G20" s="11">
        <v>0</v>
      </c>
      <c r="H20" s="11">
        <v>9.5000000000000001E-2</v>
      </c>
      <c r="I20" s="10">
        <v>567300</v>
      </c>
      <c r="J20" s="12" t="s">
        <v>6684</v>
      </c>
      <c r="K20" s="12">
        <v>74</v>
      </c>
      <c r="L20" s="12" t="s">
        <v>6685</v>
      </c>
      <c r="M20" s="10">
        <v>847434840</v>
      </c>
      <c r="N20" s="10">
        <v>97401</v>
      </c>
      <c r="O20" s="12">
        <v>60</v>
      </c>
    </row>
    <row r="21" spans="1:15" ht="15" customHeight="1" x14ac:dyDescent="0.3">
      <c r="A21" s="9">
        <v>43581</v>
      </c>
      <c r="B21" s="12">
        <v>7</v>
      </c>
      <c r="C21" s="11">
        <v>1E-3</v>
      </c>
      <c r="D21" s="12">
        <v>10</v>
      </c>
      <c r="E21" s="11">
        <v>1E-3</v>
      </c>
      <c r="F21" s="10">
        <v>1047</v>
      </c>
      <c r="G21" s="11">
        <v>0</v>
      </c>
      <c r="H21" s="11">
        <v>8.5000000000000006E-2</v>
      </c>
      <c r="I21" s="10">
        <v>729980</v>
      </c>
      <c r="J21" s="12" t="s">
        <v>6686</v>
      </c>
      <c r="K21" s="12">
        <v>89</v>
      </c>
      <c r="L21" s="12" t="s">
        <v>6687</v>
      </c>
      <c r="M21" s="10">
        <v>848164820</v>
      </c>
      <c r="N21" s="10">
        <v>97490</v>
      </c>
      <c r="O21" s="12">
        <v>48</v>
      </c>
    </row>
    <row r="22" spans="1:15" ht="15" customHeight="1" x14ac:dyDescent="0.3">
      <c r="A22" s="9">
        <v>43582</v>
      </c>
      <c r="B22" s="12">
        <v>5</v>
      </c>
      <c r="C22" s="11">
        <v>1E-3</v>
      </c>
      <c r="D22" s="12">
        <v>6</v>
      </c>
      <c r="E22" s="11">
        <v>0</v>
      </c>
      <c r="F22" s="12">
        <v>686</v>
      </c>
      <c r="G22" s="11">
        <v>0</v>
      </c>
      <c r="H22" s="11">
        <v>0.224</v>
      </c>
      <c r="I22" s="10">
        <v>1336260</v>
      </c>
      <c r="J22" s="12" t="s">
        <v>6688</v>
      </c>
      <c r="K22" s="12">
        <v>154</v>
      </c>
      <c r="L22" s="12" t="s">
        <v>6689</v>
      </c>
      <c r="M22" s="10">
        <v>849501080</v>
      </c>
      <c r="N22" s="10">
        <v>97644</v>
      </c>
      <c r="O22" s="12">
        <v>45</v>
      </c>
    </row>
    <row r="23" spans="1:15" ht="15" customHeight="1" x14ac:dyDescent="0.3">
      <c r="A23" s="9">
        <v>43583</v>
      </c>
      <c r="B23" s="12">
        <v>6</v>
      </c>
      <c r="C23" s="11">
        <v>1E-3</v>
      </c>
      <c r="D23" s="12">
        <v>7</v>
      </c>
      <c r="E23" s="11">
        <v>0</v>
      </c>
      <c r="F23" s="12">
        <v>814</v>
      </c>
      <c r="G23" s="11">
        <v>0</v>
      </c>
      <c r="H23" s="11">
        <v>0.183</v>
      </c>
      <c r="I23" s="10">
        <v>1300800</v>
      </c>
      <c r="J23" s="12" t="s">
        <v>6690</v>
      </c>
      <c r="K23" s="12">
        <v>149</v>
      </c>
      <c r="L23" s="12" t="s">
        <v>6691</v>
      </c>
      <c r="M23" s="10">
        <v>850801880</v>
      </c>
      <c r="N23" s="10">
        <v>97793</v>
      </c>
      <c r="O23" s="12">
        <v>40</v>
      </c>
    </row>
    <row r="24" spans="1:15" ht="15" customHeight="1" x14ac:dyDescent="0.3">
      <c r="A24" s="9">
        <v>43584</v>
      </c>
      <c r="B24" s="12">
        <v>7</v>
      </c>
      <c r="C24" s="11">
        <v>1E-3</v>
      </c>
      <c r="D24" s="12">
        <v>9</v>
      </c>
      <c r="E24" s="11">
        <v>1E-3</v>
      </c>
      <c r="F24" s="10">
        <v>1136</v>
      </c>
      <c r="G24" s="11">
        <v>0</v>
      </c>
      <c r="H24" s="11">
        <v>7.4999999999999997E-2</v>
      </c>
      <c r="I24" s="10">
        <v>676200</v>
      </c>
      <c r="J24" s="12" t="s">
        <v>6692</v>
      </c>
      <c r="K24" s="12">
        <v>85</v>
      </c>
      <c r="L24" s="12" t="s">
        <v>6693</v>
      </c>
      <c r="M24" s="10">
        <v>851478080</v>
      </c>
      <c r="N24" s="10">
        <v>97878</v>
      </c>
      <c r="O24" s="12">
        <v>51</v>
      </c>
    </row>
    <row r="25" spans="1:15" ht="15" customHeight="1" x14ac:dyDescent="0.3">
      <c r="A25" s="9">
        <v>43585</v>
      </c>
      <c r="B25" s="12">
        <v>7</v>
      </c>
      <c r="C25" s="11">
        <v>1E-3</v>
      </c>
      <c r="D25" s="12">
        <v>9</v>
      </c>
      <c r="E25" s="11">
        <v>1E-3</v>
      </c>
      <c r="F25" s="10">
        <v>1004</v>
      </c>
      <c r="G25" s="11">
        <v>0</v>
      </c>
      <c r="H25" s="11">
        <v>0.14099999999999999</v>
      </c>
      <c r="I25" s="10">
        <v>1109310</v>
      </c>
      <c r="J25" s="12" t="s">
        <v>6694</v>
      </c>
      <c r="K25" s="12">
        <v>142</v>
      </c>
      <c r="L25" s="12" t="s">
        <v>6695</v>
      </c>
      <c r="M25" s="10">
        <v>852587390</v>
      </c>
      <c r="N25" s="10">
        <v>98020</v>
      </c>
      <c r="O25" s="12">
        <v>50</v>
      </c>
    </row>
    <row r="26" spans="1:15" ht="15" customHeight="1" x14ac:dyDescent="0.3">
      <c r="A26" s="9">
        <v>43586</v>
      </c>
      <c r="B26" s="12">
        <v>2</v>
      </c>
      <c r="C26" s="11">
        <v>0</v>
      </c>
      <c r="D26" s="12">
        <v>3</v>
      </c>
      <c r="E26" s="11">
        <v>0</v>
      </c>
      <c r="F26" s="12">
        <v>334</v>
      </c>
      <c r="G26" s="11">
        <v>0</v>
      </c>
      <c r="H26" s="11">
        <v>0.65300000000000002</v>
      </c>
      <c r="I26" s="10">
        <v>1559920</v>
      </c>
      <c r="J26" s="12" t="s">
        <v>6696</v>
      </c>
      <c r="K26" s="12">
        <v>218</v>
      </c>
      <c r="L26" s="12" t="s">
        <v>6697</v>
      </c>
      <c r="M26" s="10">
        <v>854147310</v>
      </c>
      <c r="N26" s="10">
        <v>98238</v>
      </c>
      <c r="O26" s="12">
        <v>34</v>
      </c>
    </row>
    <row r="27" spans="1:15" ht="15" customHeight="1" x14ac:dyDescent="0.3">
      <c r="A27" s="9">
        <v>43587</v>
      </c>
      <c r="B27" s="12">
        <v>3</v>
      </c>
      <c r="C27" s="11">
        <v>1E-3</v>
      </c>
      <c r="D27" s="12">
        <v>3</v>
      </c>
      <c r="E27" s="11">
        <v>0</v>
      </c>
      <c r="F27" s="12">
        <v>270</v>
      </c>
      <c r="G27" s="11">
        <v>0</v>
      </c>
      <c r="H27" s="11">
        <v>0.11899999999999999</v>
      </c>
      <c r="I27" s="10">
        <v>271150</v>
      </c>
      <c r="J27" s="12" t="s">
        <v>6698</v>
      </c>
      <c r="K27" s="12">
        <v>32</v>
      </c>
      <c r="L27" s="12" t="s">
        <v>6699</v>
      </c>
      <c r="M27" s="10">
        <v>854418460</v>
      </c>
      <c r="N27" s="10">
        <v>98270</v>
      </c>
      <c r="O27" s="12">
        <v>65</v>
      </c>
    </row>
    <row r="28" spans="1:15" ht="15" customHeight="1" x14ac:dyDescent="0.3">
      <c r="A28" s="9">
        <v>43588</v>
      </c>
      <c r="B28" s="12">
        <v>1</v>
      </c>
      <c r="C28" s="11">
        <v>0</v>
      </c>
      <c r="D28" s="12">
        <v>2</v>
      </c>
      <c r="E28" s="11">
        <v>0</v>
      </c>
      <c r="F28" s="12">
        <v>176</v>
      </c>
      <c r="G28" s="11">
        <v>0</v>
      </c>
      <c r="H28" s="11">
        <v>0.14199999999999999</v>
      </c>
      <c r="I28" s="10">
        <v>200000</v>
      </c>
      <c r="J28" s="12" t="s">
        <v>6700</v>
      </c>
      <c r="K28" s="12">
        <v>25</v>
      </c>
      <c r="L28" s="12" t="s">
        <v>6701</v>
      </c>
      <c r="M28" s="10">
        <v>854618460</v>
      </c>
      <c r="N28" s="10">
        <v>98295</v>
      </c>
      <c r="O28" s="12">
        <v>64</v>
      </c>
    </row>
    <row r="29" spans="1:15" ht="15" customHeight="1" x14ac:dyDescent="0.3">
      <c r="A29" s="9">
        <v>43589</v>
      </c>
      <c r="B29" s="12">
        <v>2</v>
      </c>
      <c r="C29" s="11">
        <v>0</v>
      </c>
      <c r="D29" s="12">
        <v>2</v>
      </c>
      <c r="E29" s="11">
        <v>0</v>
      </c>
      <c r="F29" s="12">
        <v>182</v>
      </c>
      <c r="G29" s="11">
        <v>0</v>
      </c>
      <c r="H29" s="11">
        <v>0.35699999999999998</v>
      </c>
      <c r="I29" s="10">
        <v>540000</v>
      </c>
      <c r="J29" s="12" t="s">
        <v>6702</v>
      </c>
      <c r="K29" s="12">
        <v>65</v>
      </c>
      <c r="L29" s="12" t="s">
        <v>6703</v>
      </c>
      <c r="M29" s="10">
        <v>855158460</v>
      </c>
      <c r="N29" s="10">
        <v>98360</v>
      </c>
      <c r="O29" s="12">
        <v>47</v>
      </c>
    </row>
    <row r="30" spans="1:15" ht="15" customHeight="1" x14ac:dyDescent="0.3">
      <c r="A30" s="9">
        <v>43590</v>
      </c>
      <c r="B30" s="12">
        <v>2</v>
      </c>
      <c r="C30" s="11">
        <v>0</v>
      </c>
      <c r="D30" s="12">
        <v>2</v>
      </c>
      <c r="E30" s="11">
        <v>0</v>
      </c>
      <c r="F30" s="12">
        <v>182</v>
      </c>
      <c r="G30" s="11">
        <v>0</v>
      </c>
      <c r="H30" s="11">
        <v>0.35199999999999998</v>
      </c>
      <c r="I30" s="10">
        <v>591000</v>
      </c>
      <c r="J30" s="12" t="s">
        <v>6704</v>
      </c>
      <c r="K30" s="12">
        <v>64</v>
      </c>
      <c r="L30" s="12" t="s">
        <v>6705</v>
      </c>
      <c r="M30" s="10">
        <v>855749460</v>
      </c>
      <c r="N30" s="10">
        <v>98424</v>
      </c>
      <c r="O30" s="12">
        <v>45</v>
      </c>
    </row>
    <row r="31" spans="1:15" ht="15" customHeight="1" x14ac:dyDescent="0.3">
      <c r="A31" s="9">
        <v>43591</v>
      </c>
      <c r="B31" s="12">
        <v>1</v>
      </c>
      <c r="C31" s="11">
        <v>0</v>
      </c>
      <c r="D31" s="12">
        <v>1</v>
      </c>
      <c r="E31" s="11">
        <v>0</v>
      </c>
      <c r="F31" s="12">
        <v>88</v>
      </c>
      <c r="G31" s="11">
        <v>0</v>
      </c>
      <c r="H31" s="11">
        <v>0.375</v>
      </c>
      <c r="I31" s="10">
        <v>293460</v>
      </c>
      <c r="J31" s="12" t="s">
        <v>6706</v>
      </c>
      <c r="K31" s="12">
        <v>33</v>
      </c>
      <c r="L31" s="12" t="s">
        <v>6707</v>
      </c>
      <c r="M31" s="10">
        <v>856042920</v>
      </c>
      <c r="N31" s="10">
        <v>98457</v>
      </c>
      <c r="O31" s="12">
        <v>59</v>
      </c>
    </row>
    <row r="32" spans="1:15" ht="15" customHeight="1" x14ac:dyDescent="0.3">
      <c r="A32" s="9">
        <v>43592</v>
      </c>
      <c r="B32" s="12">
        <v>4</v>
      </c>
      <c r="C32" s="11">
        <v>1E-3</v>
      </c>
      <c r="D32" s="12">
        <v>4</v>
      </c>
      <c r="E32" s="11">
        <v>0</v>
      </c>
      <c r="F32" s="12">
        <v>466</v>
      </c>
      <c r="G32" s="11">
        <v>0</v>
      </c>
      <c r="H32" s="11">
        <v>7.0999999999999994E-2</v>
      </c>
      <c r="I32" s="10">
        <v>278500</v>
      </c>
      <c r="J32" s="12" t="s">
        <v>6708</v>
      </c>
      <c r="K32" s="12">
        <v>33</v>
      </c>
      <c r="L32" s="12" t="s">
        <v>292</v>
      </c>
      <c r="M32" s="10">
        <v>856321420</v>
      </c>
      <c r="N32" s="10">
        <v>98490</v>
      </c>
      <c r="O32" s="12">
        <v>59</v>
      </c>
    </row>
    <row r="33" spans="1:15" ht="15" customHeight="1" x14ac:dyDescent="0.3">
      <c r="A33" s="9">
        <v>43593</v>
      </c>
      <c r="B33" s="12">
        <v>1</v>
      </c>
      <c r="C33" s="11">
        <v>0</v>
      </c>
      <c r="D33" s="12">
        <v>2</v>
      </c>
      <c r="E33" s="11">
        <v>0</v>
      </c>
      <c r="F33" s="12">
        <v>176</v>
      </c>
      <c r="G33" s="11">
        <v>0</v>
      </c>
      <c r="H33" s="11">
        <v>6.8000000000000005E-2</v>
      </c>
      <c r="I33" s="10">
        <v>91000</v>
      </c>
      <c r="J33" s="12" t="s">
        <v>6709</v>
      </c>
      <c r="K33" s="12">
        <v>12</v>
      </c>
      <c r="L33" s="12" t="s">
        <v>6710</v>
      </c>
      <c r="M33" s="10">
        <v>856412420</v>
      </c>
      <c r="N33" s="10">
        <v>98502</v>
      </c>
      <c r="O33" s="12">
        <v>82</v>
      </c>
    </row>
    <row r="34" spans="1:15" ht="15" customHeight="1" x14ac:dyDescent="0.3">
      <c r="A34" s="9">
        <v>43594</v>
      </c>
      <c r="B34" s="12">
        <v>1</v>
      </c>
      <c r="C34" s="11">
        <v>0</v>
      </c>
      <c r="D34" s="12">
        <v>1</v>
      </c>
      <c r="E34" s="11">
        <v>0</v>
      </c>
      <c r="F34" s="12">
        <v>88</v>
      </c>
      <c r="G34" s="11">
        <v>0</v>
      </c>
      <c r="H34" s="11">
        <v>0.08</v>
      </c>
      <c r="I34" s="10">
        <v>57500</v>
      </c>
      <c r="J34" s="12" t="s">
        <v>6711</v>
      </c>
      <c r="K34" s="12">
        <v>7</v>
      </c>
      <c r="L34" s="12" t="s">
        <v>6712</v>
      </c>
      <c r="M34" s="10">
        <v>856469920</v>
      </c>
      <c r="N34" s="10">
        <v>98509</v>
      </c>
      <c r="O34" s="12">
        <v>85</v>
      </c>
    </row>
    <row r="35" spans="1:15" ht="15" customHeight="1" x14ac:dyDescent="0.3">
      <c r="A35" s="9">
        <v>43595</v>
      </c>
      <c r="B35" s="12">
        <v>1</v>
      </c>
      <c r="C35" s="11">
        <v>0</v>
      </c>
      <c r="D35" s="12">
        <v>1</v>
      </c>
      <c r="E35" s="11">
        <v>0</v>
      </c>
      <c r="F35" s="12">
        <v>88</v>
      </c>
      <c r="G35" s="11">
        <v>0</v>
      </c>
      <c r="H35" s="11">
        <v>2.3E-2</v>
      </c>
      <c r="I35" s="10">
        <v>12000</v>
      </c>
      <c r="J35" s="12" t="s">
        <v>6713</v>
      </c>
      <c r="K35" s="12">
        <v>2</v>
      </c>
      <c r="L35" s="12" t="s">
        <v>289</v>
      </c>
      <c r="M35" s="10">
        <v>856481920</v>
      </c>
      <c r="N35" s="10">
        <v>98511</v>
      </c>
      <c r="O35" s="12">
        <v>90</v>
      </c>
    </row>
    <row r="36" spans="1:15" ht="15" customHeight="1" x14ac:dyDescent="0.3">
      <c r="A36" s="9">
        <v>43596</v>
      </c>
      <c r="B36" s="12">
        <v>1</v>
      </c>
      <c r="C36" s="11">
        <v>0</v>
      </c>
      <c r="D36" s="12">
        <v>1</v>
      </c>
      <c r="E36" s="11">
        <v>0</v>
      </c>
      <c r="F36" s="12">
        <v>88</v>
      </c>
      <c r="G36" s="11">
        <v>0</v>
      </c>
      <c r="H36" s="11">
        <v>0.193</v>
      </c>
      <c r="I36" s="10">
        <v>150000</v>
      </c>
      <c r="J36" s="12" t="s">
        <v>6714</v>
      </c>
      <c r="K36" s="12">
        <v>17</v>
      </c>
      <c r="L36" s="12" t="s">
        <v>2912</v>
      </c>
      <c r="M36" s="10">
        <v>856631920</v>
      </c>
      <c r="N36" s="10">
        <v>98528</v>
      </c>
      <c r="O36" s="12">
        <v>75</v>
      </c>
    </row>
    <row r="37" spans="1:15" ht="15" customHeight="1" x14ac:dyDescent="0.3">
      <c r="A37" s="9">
        <v>43597</v>
      </c>
      <c r="B37" s="12">
        <v>1</v>
      </c>
      <c r="C37" s="11">
        <v>0</v>
      </c>
      <c r="D37" s="12">
        <v>1</v>
      </c>
      <c r="E37" s="11">
        <v>0</v>
      </c>
      <c r="F37" s="12">
        <v>88</v>
      </c>
      <c r="G37" s="11">
        <v>0</v>
      </c>
      <c r="H37" s="11">
        <v>0.27300000000000002</v>
      </c>
      <c r="I37" s="10">
        <v>207000</v>
      </c>
      <c r="J37" s="12" t="s">
        <v>6715</v>
      </c>
      <c r="K37" s="12">
        <v>24</v>
      </c>
      <c r="L37" s="12" t="s">
        <v>6716</v>
      </c>
      <c r="M37" s="10">
        <v>856838920</v>
      </c>
      <c r="N37" s="10">
        <v>98552</v>
      </c>
      <c r="O37" s="12">
        <v>69</v>
      </c>
    </row>
    <row r="38" spans="1:15" ht="15" customHeight="1" x14ac:dyDescent="0.3">
      <c r="A38" s="9">
        <v>43598</v>
      </c>
      <c r="B38" s="12">
        <v>1</v>
      </c>
      <c r="C38" s="11">
        <v>0</v>
      </c>
      <c r="D38" s="12">
        <v>1</v>
      </c>
      <c r="E38" s="11">
        <v>0</v>
      </c>
      <c r="F38" s="12">
        <v>88</v>
      </c>
      <c r="G38" s="11">
        <v>0</v>
      </c>
      <c r="H38" s="11">
        <v>0.14799999999999999</v>
      </c>
      <c r="I38" s="10">
        <v>106500</v>
      </c>
      <c r="J38" s="12" t="s">
        <v>6717</v>
      </c>
      <c r="K38" s="12">
        <v>13</v>
      </c>
      <c r="L38" s="12" t="s">
        <v>6718</v>
      </c>
      <c r="M38" s="10">
        <v>856945420</v>
      </c>
      <c r="N38" s="10">
        <v>98565</v>
      </c>
      <c r="O38" s="12">
        <v>65</v>
      </c>
    </row>
    <row r="39" spans="1:15" ht="15" customHeight="1" x14ac:dyDescent="0.3">
      <c r="A39" s="9">
        <v>43599</v>
      </c>
      <c r="B39" s="12">
        <v>2</v>
      </c>
      <c r="C39" s="11">
        <v>0</v>
      </c>
      <c r="D39" s="12">
        <v>2</v>
      </c>
      <c r="E39" s="11">
        <v>0</v>
      </c>
      <c r="F39" s="12">
        <v>179</v>
      </c>
      <c r="G39" s="11">
        <v>0</v>
      </c>
      <c r="H39" s="11">
        <v>0.53600000000000003</v>
      </c>
      <c r="I39" s="10">
        <v>952000</v>
      </c>
      <c r="J39" s="12" t="s">
        <v>6719</v>
      </c>
      <c r="K39" s="12">
        <v>96</v>
      </c>
      <c r="L39" s="12" t="s">
        <v>6720</v>
      </c>
      <c r="M39" s="10">
        <v>857897420</v>
      </c>
      <c r="N39" s="10">
        <v>98661</v>
      </c>
      <c r="O39" s="12">
        <v>39</v>
      </c>
    </row>
    <row r="40" spans="1:15" ht="15" customHeight="1" x14ac:dyDescent="0.3"/>
    <row r="41" spans="1:15" ht="15" customHeight="1" x14ac:dyDescent="0.3"/>
    <row r="42" spans="1:15" ht="15" customHeight="1" x14ac:dyDescent="0.3"/>
    <row r="43" spans="1:15" ht="15" customHeight="1" x14ac:dyDescent="0.3"/>
    <row r="44" spans="1:15" ht="15" customHeight="1" x14ac:dyDescent="0.3"/>
    <row r="45" spans="1:15" ht="15" customHeight="1" x14ac:dyDescent="0.3"/>
    <row r="46" spans="1:15" ht="15" customHeight="1" x14ac:dyDescent="0.3"/>
    <row r="47" spans="1:15" ht="15" customHeight="1" x14ac:dyDescent="0.3"/>
    <row r="48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A6695-21E9-4BC3-A5AD-10A0E2750F5F}">
  <dimension ref="A1:O65"/>
  <sheetViews>
    <sheetView showGridLines="0" workbookViewId="0">
      <selection activeCell="A5" sqref="A5:O11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9.25" bestFit="1" customWidth="1"/>
    <col min="10" max="10" width="18.3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6721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43558</v>
      </c>
      <c r="B5" s="12">
        <v>405</v>
      </c>
      <c r="C5" s="11">
        <v>7.5999999999999998E-2</v>
      </c>
      <c r="D5" s="12">
        <v>916</v>
      </c>
      <c r="E5" s="11">
        <v>5.2999999999999999E-2</v>
      </c>
      <c r="F5" s="10">
        <v>107739</v>
      </c>
      <c r="G5" s="11">
        <v>0.04</v>
      </c>
      <c r="H5" s="11">
        <v>8.2000000000000003E-2</v>
      </c>
      <c r="I5" s="10">
        <v>61761990</v>
      </c>
      <c r="J5" s="12" t="s">
        <v>6722</v>
      </c>
      <c r="K5" s="10">
        <v>8814</v>
      </c>
      <c r="L5" s="12" t="s">
        <v>6723</v>
      </c>
      <c r="M5" s="10">
        <v>160551490</v>
      </c>
      <c r="N5" s="10">
        <v>19964</v>
      </c>
      <c r="O5" s="12">
        <v>6</v>
      </c>
    </row>
    <row r="6" spans="1:15" ht="15" customHeight="1" x14ac:dyDescent="0.3">
      <c r="A6" s="9">
        <v>43559</v>
      </c>
      <c r="B6" s="12">
        <v>402</v>
      </c>
      <c r="C6" s="11">
        <v>7.1999999999999995E-2</v>
      </c>
      <c r="D6" s="12">
        <v>881</v>
      </c>
      <c r="E6" s="11">
        <v>5.1999999999999998E-2</v>
      </c>
      <c r="F6" s="10">
        <v>103426</v>
      </c>
      <c r="G6" s="11">
        <v>3.9E-2</v>
      </c>
      <c r="H6" s="11">
        <v>6.0999999999999999E-2</v>
      </c>
      <c r="I6" s="10">
        <v>45966370</v>
      </c>
      <c r="J6" s="12" t="s">
        <v>6724</v>
      </c>
      <c r="K6" s="10">
        <v>6349</v>
      </c>
      <c r="L6" s="12" t="s">
        <v>6725</v>
      </c>
      <c r="M6" s="10">
        <v>206517860</v>
      </c>
      <c r="N6" s="10">
        <v>26313</v>
      </c>
      <c r="O6" s="12">
        <v>7</v>
      </c>
    </row>
    <row r="7" spans="1:15" ht="15" customHeight="1" x14ac:dyDescent="0.3">
      <c r="A7" s="9">
        <v>43560</v>
      </c>
      <c r="B7" s="12">
        <v>383</v>
      </c>
      <c r="C7" s="11">
        <v>6.6000000000000003E-2</v>
      </c>
      <c r="D7" s="12">
        <v>775</v>
      </c>
      <c r="E7" s="11">
        <v>4.3999999999999997E-2</v>
      </c>
      <c r="F7" s="10">
        <v>91124</v>
      </c>
      <c r="G7" s="11">
        <v>3.3000000000000002E-2</v>
      </c>
      <c r="H7" s="11">
        <v>6.2E-2</v>
      </c>
      <c r="I7" s="10">
        <v>44978760</v>
      </c>
      <c r="J7" s="12" t="s">
        <v>6726</v>
      </c>
      <c r="K7" s="10">
        <v>5665</v>
      </c>
      <c r="L7" s="12" t="s">
        <v>6727</v>
      </c>
      <c r="M7" s="10">
        <v>251496620</v>
      </c>
      <c r="N7" s="10">
        <v>31978</v>
      </c>
      <c r="O7" s="12">
        <v>7</v>
      </c>
    </row>
    <row r="8" spans="1:15" ht="15" customHeight="1" x14ac:dyDescent="0.3">
      <c r="A8" s="9">
        <v>43561</v>
      </c>
      <c r="B8" s="12">
        <v>393</v>
      </c>
      <c r="C8" s="11">
        <v>6.2E-2</v>
      </c>
      <c r="D8" s="12">
        <v>639</v>
      </c>
      <c r="E8" s="11">
        <v>3.4000000000000002E-2</v>
      </c>
      <c r="F8" s="10">
        <v>72808</v>
      </c>
      <c r="G8" s="11">
        <v>2.5000000000000001E-2</v>
      </c>
      <c r="H8" s="11">
        <v>0.10199999999999999</v>
      </c>
      <c r="I8" s="10">
        <v>59982050</v>
      </c>
      <c r="J8" s="12" t="s">
        <v>6728</v>
      </c>
      <c r="K8" s="10">
        <v>7412</v>
      </c>
      <c r="L8" s="12" t="s">
        <v>6729</v>
      </c>
      <c r="M8" s="10">
        <v>311478670</v>
      </c>
      <c r="N8" s="10">
        <v>39390</v>
      </c>
      <c r="O8" s="12">
        <v>8</v>
      </c>
    </row>
    <row r="9" spans="1:15" ht="15" customHeight="1" x14ac:dyDescent="0.3">
      <c r="A9" s="9">
        <v>43562</v>
      </c>
      <c r="B9" s="12">
        <v>399</v>
      </c>
      <c r="C9" s="11">
        <v>6.4000000000000001E-2</v>
      </c>
      <c r="D9" s="12">
        <v>634</v>
      </c>
      <c r="E9" s="11">
        <v>3.5000000000000003E-2</v>
      </c>
      <c r="F9" s="10">
        <v>72599</v>
      </c>
      <c r="G9" s="11">
        <v>2.5999999999999999E-2</v>
      </c>
      <c r="H9" s="11">
        <v>0.104</v>
      </c>
      <c r="I9" s="10">
        <v>61129430</v>
      </c>
      <c r="J9" s="12" t="s">
        <v>6730</v>
      </c>
      <c r="K9" s="10">
        <v>7548</v>
      </c>
      <c r="L9" s="12" t="s">
        <v>6731</v>
      </c>
      <c r="M9" s="10">
        <v>372608100</v>
      </c>
      <c r="N9" s="10">
        <v>46938</v>
      </c>
      <c r="O9" s="12">
        <v>8</v>
      </c>
    </row>
    <row r="10" spans="1:15" ht="15" customHeight="1" x14ac:dyDescent="0.3">
      <c r="A10" s="9">
        <v>43563</v>
      </c>
      <c r="B10" s="12">
        <v>395</v>
      </c>
      <c r="C10" s="11">
        <v>7.2999999999999995E-2</v>
      </c>
      <c r="D10" s="12">
        <v>705</v>
      </c>
      <c r="E10" s="11">
        <v>4.2999999999999997E-2</v>
      </c>
      <c r="F10" s="10">
        <v>84353</v>
      </c>
      <c r="G10" s="11">
        <v>3.3000000000000002E-2</v>
      </c>
      <c r="H10" s="11">
        <v>5.8000000000000003E-2</v>
      </c>
      <c r="I10" s="10">
        <v>35081870</v>
      </c>
      <c r="J10" s="12" t="s">
        <v>6732</v>
      </c>
      <c r="K10" s="10">
        <v>4931</v>
      </c>
      <c r="L10" s="12" t="s">
        <v>6733</v>
      </c>
      <c r="M10" s="10">
        <v>407689970</v>
      </c>
      <c r="N10" s="10">
        <v>51869</v>
      </c>
      <c r="O10" s="12">
        <v>7</v>
      </c>
    </row>
    <row r="11" spans="1:15" ht="15" customHeight="1" x14ac:dyDescent="0.3">
      <c r="A11" s="9">
        <v>43564</v>
      </c>
      <c r="B11" s="12">
        <v>405</v>
      </c>
      <c r="C11" s="11">
        <v>7.3999999999999996E-2</v>
      </c>
      <c r="D11" s="12">
        <v>709</v>
      </c>
      <c r="E11" s="11">
        <v>4.4999999999999998E-2</v>
      </c>
      <c r="F11" s="10">
        <v>85686</v>
      </c>
      <c r="G11" s="11">
        <v>3.4000000000000002E-2</v>
      </c>
      <c r="H11" s="11">
        <v>6.2E-2</v>
      </c>
      <c r="I11" s="10">
        <v>37662840</v>
      </c>
      <c r="J11" s="12" t="s">
        <v>6734</v>
      </c>
      <c r="K11" s="10">
        <v>5343</v>
      </c>
      <c r="L11" s="12" t="s">
        <v>6735</v>
      </c>
      <c r="M11" s="10">
        <v>445352810</v>
      </c>
      <c r="N11" s="10">
        <v>57212</v>
      </c>
      <c r="O11" s="12">
        <v>7</v>
      </c>
    </row>
    <row r="12" spans="1:15" ht="15" customHeight="1" x14ac:dyDescent="0.3">
      <c r="A12" s="9">
        <v>43565</v>
      </c>
      <c r="B12" s="12">
        <v>149</v>
      </c>
      <c r="C12" s="11">
        <v>2.5999999999999999E-2</v>
      </c>
      <c r="D12" s="12">
        <v>226</v>
      </c>
      <c r="E12" s="11">
        <v>1.2999999999999999E-2</v>
      </c>
      <c r="F12" s="10">
        <v>26339</v>
      </c>
      <c r="G12" s="11">
        <v>0.01</v>
      </c>
      <c r="H12" s="11">
        <v>0.122</v>
      </c>
      <c r="I12" s="10">
        <v>21830130</v>
      </c>
      <c r="J12" s="12" t="s">
        <v>6736</v>
      </c>
      <c r="K12" s="10">
        <v>3214</v>
      </c>
      <c r="L12" s="12" t="s">
        <v>6737</v>
      </c>
      <c r="M12" s="10">
        <v>467182940</v>
      </c>
      <c r="N12" s="10">
        <v>60426</v>
      </c>
      <c r="O12" s="12">
        <v>10</v>
      </c>
    </row>
    <row r="13" spans="1:15" ht="15" customHeight="1" x14ac:dyDescent="0.3">
      <c r="A13" s="9">
        <v>43566</v>
      </c>
      <c r="B13" s="12">
        <v>75</v>
      </c>
      <c r="C13" s="11">
        <v>1.2E-2</v>
      </c>
      <c r="D13" s="12">
        <v>104</v>
      </c>
      <c r="E13" s="11">
        <v>6.0000000000000001E-3</v>
      </c>
      <c r="F13" s="10">
        <v>10859</v>
      </c>
      <c r="G13" s="11">
        <v>4.0000000000000001E-3</v>
      </c>
      <c r="H13" s="11">
        <v>0.153</v>
      </c>
      <c r="I13" s="10">
        <v>11880980</v>
      </c>
      <c r="J13" s="12" t="s">
        <v>6738</v>
      </c>
      <c r="K13" s="10">
        <v>1663</v>
      </c>
      <c r="L13" s="12" t="s">
        <v>6739</v>
      </c>
      <c r="M13" s="10">
        <v>479063920</v>
      </c>
      <c r="N13" s="10">
        <v>62089</v>
      </c>
      <c r="O13" s="12">
        <v>14</v>
      </c>
    </row>
    <row r="14" spans="1:15" ht="15" customHeight="1" x14ac:dyDescent="0.3">
      <c r="A14" s="9">
        <v>43567</v>
      </c>
      <c r="B14" s="12">
        <v>74</v>
      </c>
      <c r="C14" s="11">
        <v>1.2E-2</v>
      </c>
      <c r="D14" s="12">
        <v>102</v>
      </c>
      <c r="E14" s="11">
        <v>6.0000000000000001E-3</v>
      </c>
      <c r="F14" s="10">
        <v>12255</v>
      </c>
      <c r="G14" s="11">
        <v>4.0000000000000001E-3</v>
      </c>
      <c r="H14" s="11">
        <v>0.104</v>
      </c>
      <c r="I14" s="10">
        <v>8748000</v>
      </c>
      <c r="J14" s="12" t="s">
        <v>6740</v>
      </c>
      <c r="K14" s="10">
        <v>1280</v>
      </c>
      <c r="L14" s="12" t="s">
        <v>6741</v>
      </c>
      <c r="M14" s="10">
        <v>487811920</v>
      </c>
      <c r="N14" s="10">
        <v>63369</v>
      </c>
      <c r="O14" s="12">
        <v>14</v>
      </c>
    </row>
    <row r="15" spans="1:15" ht="15" customHeight="1" x14ac:dyDescent="0.3">
      <c r="A15" s="9">
        <v>43568</v>
      </c>
      <c r="B15" s="12">
        <v>72</v>
      </c>
      <c r="C15" s="11">
        <v>0.01</v>
      </c>
      <c r="D15" s="12">
        <v>99</v>
      </c>
      <c r="E15" s="11">
        <v>5.0000000000000001E-3</v>
      </c>
      <c r="F15" s="10">
        <v>10139</v>
      </c>
      <c r="G15" s="11">
        <v>3.0000000000000001E-3</v>
      </c>
      <c r="H15" s="11">
        <v>0.12</v>
      </c>
      <c r="I15" s="10">
        <v>9110180</v>
      </c>
      <c r="J15" s="12" t="s">
        <v>6742</v>
      </c>
      <c r="K15" s="10">
        <v>1216</v>
      </c>
      <c r="L15" s="12" t="s">
        <v>6743</v>
      </c>
      <c r="M15" s="10">
        <v>496922100</v>
      </c>
      <c r="N15" s="10">
        <v>64585</v>
      </c>
      <c r="O15" s="12">
        <v>15</v>
      </c>
    </row>
    <row r="16" spans="1:15" ht="15" customHeight="1" x14ac:dyDescent="0.3">
      <c r="A16" s="9">
        <v>43569</v>
      </c>
      <c r="B16" s="12">
        <v>77</v>
      </c>
      <c r="C16" s="11">
        <v>1.0999999999999999E-2</v>
      </c>
      <c r="D16" s="12">
        <v>105</v>
      </c>
      <c r="E16" s="11">
        <v>6.0000000000000001E-3</v>
      </c>
      <c r="F16" s="10">
        <v>10998</v>
      </c>
      <c r="G16" s="11">
        <v>4.0000000000000001E-3</v>
      </c>
      <c r="H16" s="11">
        <v>0.14699999999999999</v>
      </c>
      <c r="I16" s="10">
        <v>12493230</v>
      </c>
      <c r="J16" s="12" t="s">
        <v>6744</v>
      </c>
      <c r="K16" s="10">
        <v>1617</v>
      </c>
      <c r="L16" s="12" t="s">
        <v>6745</v>
      </c>
      <c r="M16" s="10">
        <v>509415330</v>
      </c>
      <c r="N16" s="10">
        <v>66202</v>
      </c>
      <c r="O16" s="12">
        <v>15</v>
      </c>
    </row>
    <row r="17" spans="1:15" ht="15" customHeight="1" x14ac:dyDescent="0.3">
      <c r="A17" s="9">
        <v>43570</v>
      </c>
      <c r="B17" s="12">
        <v>88</v>
      </c>
      <c r="C17" s="11">
        <v>1.4999999999999999E-2</v>
      </c>
      <c r="D17" s="12">
        <v>118</v>
      </c>
      <c r="E17" s="11">
        <v>7.0000000000000001E-3</v>
      </c>
      <c r="F17" s="10">
        <v>13803</v>
      </c>
      <c r="G17" s="11">
        <v>5.0000000000000001E-3</v>
      </c>
      <c r="H17" s="11">
        <v>9.1999999999999998E-2</v>
      </c>
      <c r="I17" s="10">
        <v>8149230</v>
      </c>
      <c r="J17" s="12" t="s">
        <v>6746</v>
      </c>
      <c r="K17" s="10">
        <v>1269</v>
      </c>
      <c r="L17" s="12" t="s">
        <v>6747</v>
      </c>
      <c r="M17" s="10">
        <v>517564560</v>
      </c>
      <c r="N17" s="10">
        <v>67471</v>
      </c>
      <c r="O17" s="12">
        <v>14</v>
      </c>
    </row>
    <row r="18" spans="1:15" ht="15" customHeight="1" x14ac:dyDescent="0.3">
      <c r="A18" s="9">
        <v>43571</v>
      </c>
      <c r="B18" s="12">
        <v>82</v>
      </c>
      <c r="C18" s="11">
        <v>1.4E-2</v>
      </c>
      <c r="D18" s="12">
        <v>112</v>
      </c>
      <c r="E18" s="11">
        <v>7.0000000000000001E-3</v>
      </c>
      <c r="F18" s="10">
        <v>13156</v>
      </c>
      <c r="G18" s="11">
        <v>5.0000000000000001E-3</v>
      </c>
      <c r="H18" s="11">
        <v>9.7000000000000003E-2</v>
      </c>
      <c r="I18" s="10">
        <v>8323900</v>
      </c>
      <c r="J18" s="12" t="s">
        <v>6748</v>
      </c>
      <c r="K18" s="10">
        <v>1280</v>
      </c>
      <c r="L18" s="12" t="s">
        <v>6749</v>
      </c>
      <c r="M18" s="10">
        <v>525888460</v>
      </c>
      <c r="N18" s="10">
        <v>68751</v>
      </c>
      <c r="O18" s="12">
        <v>15</v>
      </c>
    </row>
    <row r="19" spans="1:15" ht="15" customHeight="1" x14ac:dyDescent="0.3">
      <c r="A19" s="9">
        <v>43572</v>
      </c>
      <c r="B19" s="12">
        <v>51</v>
      </c>
      <c r="C19" s="11">
        <v>8.9999999999999993E-3</v>
      </c>
      <c r="D19" s="12">
        <v>65</v>
      </c>
      <c r="E19" s="11">
        <v>4.0000000000000001E-3</v>
      </c>
      <c r="F19" s="10">
        <v>7388</v>
      </c>
      <c r="G19" s="11">
        <v>3.0000000000000001E-3</v>
      </c>
      <c r="H19" s="11">
        <v>0.14199999999999999</v>
      </c>
      <c r="I19" s="10">
        <v>6730000</v>
      </c>
      <c r="J19" s="12" t="s">
        <v>6750</v>
      </c>
      <c r="K19" s="10">
        <v>1046</v>
      </c>
      <c r="L19" s="12" t="s">
        <v>6751</v>
      </c>
      <c r="M19" s="10">
        <v>532618460</v>
      </c>
      <c r="N19" s="10">
        <v>69797</v>
      </c>
      <c r="O19" s="12">
        <v>18</v>
      </c>
    </row>
    <row r="20" spans="1:15" ht="15" customHeight="1" x14ac:dyDescent="0.3">
      <c r="A20" s="9">
        <v>43573</v>
      </c>
      <c r="B20" s="12">
        <v>33</v>
      </c>
      <c r="C20" s="11">
        <v>5.0000000000000001E-3</v>
      </c>
      <c r="D20" s="12">
        <v>37</v>
      </c>
      <c r="E20" s="11">
        <v>2E-3</v>
      </c>
      <c r="F20" s="10">
        <v>4844</v>
      </c>
      <c r="G20" s="11">
        <v>2E-3</v>
      </c>
      <c r="H20" s="11">
        <v>0.126</v>
      </c>
      <c r="I20" s="10">
        <v>3691460</v>
      </c>
      <c r="J20" s="12" t="s">
        <v>6752</v>
      </c>
      <c r="K20" s="12">
        <v>612</v>
      </c>
      <c r="L20" s="12" t="s">
        <v>6753</v>
      </c>
      <c r="M20" s="10">
        <v>536309920</v>
      </c>
      <c r="N20" s="10">
        <v>70409</v>
      </c>
      <c r="O20" s="12">
        <v>25</v>
      </c>
    </row>
    <row r="21" spans="1:15" ht="15" customHeight="1" x14ac:dyDescent="0.3">
      <c r="A21" s="9">
        <v>43574</v>
      </c>
      <c r="B21" s="12">
        <v>34</v>
      </c>
      <c r="C21" s="11">
        <v>5.0000000000000001E-3</v>
      </c>
      <c r="D21" s="12">
        <v>40</v>
      </c>
      <c r="E21" s="11">
        <v>2E-3</v>
      </c>
      <c r="F21" s="10">
        <v>5156</v>
      </c>
      <c r="G21" s="11">
        <v>2E-3</v>
      </c>
      <c r="H21" s="11">
        <v>0.108</v>
      </c>
      <c r="I21" s="10">
        <v>3366600</v>
      </c>
      <c r="J21" s="12" t="s">
        <v>6754</v>
      </c>
      <c r="K21" s="12">
        <v>556</v>
      </c>
      <c r="L21" s="12" t="s">
        <v>6755</v>
      </c>
      <c r="M21" s="10">
        <v>539676520</v>
      </c>
      <c r="N21" s="10">
        <v>70965</v>
      </c>
      <c r="O21" s="12">
        <v>26</v>
      </c>
    </row>
    <row r="22" spans="1:15" ht="15" customHeight="1" x14ac:dyDescent="0.3">
      <c r="A22" s="9">
        <v>43575</v>
      </c>
      <c r="B22" s="12">
        <v>26</v>
      </c>
      <c r="C22" s="11">
        <v>3.0000000000000001E-3</v>
      </c>
      <c r="D22" s="12">
        <v>36</v>
      </c>
      <c r="E22" s="11">
        <v>2E-3</v>
      </c>
      <c r="F22" s="10">
        <v>4213</v>
      </c>
      <c r="G22" s="11">
        <v>1E-3</v>
      </c>
      <c r="H22" s="11">
        <v>0.126</v>
      </c>
      <c r="I22" s="10">
        <v>4070400</v>
      </c>
      <c r="J22" s="12" t="s">
        <v>6756</v>
      </c>
      <c r="K22" s="12">
        <v>531</v>
      </c>
      <c r="L22" s="12" t="s">
        <v>6757</v>
      </c>
      <c r="M22" s="10">
        <v>543746920</v>
      </c>
      <c r="N22" s="10">
        <v>71496</v>
      </c>
      <c r="O22" s="12">
        <v>31</v>
      </c>
    </row>
    <row r="23" spans="1:15" ht="15" customHeight="1" x14ac:dyDescent="0.3">
      <c r="A23" s="9">
        <v>43576</v>
      </c>
      <c r="B23" s="12">
        <v>24</v>
      </c>
      <c r="C23" s="11">
        <v>3.0000000000000001E-3</v>
      </c>
      <c r="D23" s="12">
        <v>32</v>
      </c>
      <c r="E23" s="11">
        <v>2E-3</v>
      </c>
      <c r="F23" s="10">
        <v>3915</v>
      </c>
      <c r="G23" s="11">
        <v>1E-3</v>
      </c>
      <c r="H23" s="11">
        <v>8.3000000000000004E-2</v>
      </c>
      <c r="I23" s="10">
        <v>2549700</v>
      </c>
      <c r="J23" s="12" t="s">
        <v>6758</v>
      </c>
      <c r="K23" s="12">
        <v>326</v>
      </c>
      <c r="L23" s="12" t="s">
        <v>6759</v>
      </c>
      <c r="M23" s="10">
        <v>546296620</v>
      </c>
      <c r="N23" s="10">
        <v>71822</v>
      </c>
      <c r="O23" s="12">
        <v>39</v>
      </c>
    </row>
    <row r="24" spans="1:15" ht="15" customHeight="1" x14ac:dyDescent="0.3">
      <c r="A24" s="9">
        <v>43577</v>
      </c>
      <c r="B24" s="12">
        <v>35</v>
      </c>
      <c r="C24" s="11">
        <v>6.0000000000000001E-3</v>
      </c>
      <c r="D24" s="12">
        <v>43</v>
      </c>
      <c r="E24" s="11">
        <v>3.0000000000000001E-3</v>
      </c>
      <c r="F24" s="10">
        <v>5680</v>
      </c>
      <c r="G24" s="11">
        <v>2E-3</v>
      </c>
      <c r="H24" s="11">
        <v>0.13300000000000001</v>
      </c>
      <c r="I24" s="10">
        <v>4408600</v>
      </c>
      <c r="J24" s="12" t="s">
        <v>6760</v>
      </c>
      <c r="K24" s="12">
        <v>757</v>
      </c>
      <c r="L24" s="12" t="s">
        <v>6761</v>
      </c>
      <c r="M24" s="10">
        <v>550705220</v>
      </c>
      <c r="N24" s="10">
        <v>72579</v>
      </c>
      <c r="O24" s="12">
        <v>19</v>
      </c>
    </row>
    <row r="25" spans="1:15" ht="15" customHeight="1" x14ac:dyDescent="0.3">
      <c r="A25" s="9">
        <v>43578</v>
      </c>
      <c r="B25" s="12">
        <v>45</v>
      </c>
      <c r="C25" s="11">
        <v>7.0000000000000001E-3</v>
      </c>
      <c r="D25" s="12">
        <v>53</v>
      </c>
      <c r="E25" s="11">
        <v>3.0000000000000001E-3</v>
      </c>
      <c r="F25" s="10">
        <v>5969</v>
      </c>
      <c r="G25" s="11">
        <v>2E-3</v>
      </c>
      <c r="H25" s="11">
        <v>0.191</v>
      </c>
      <c r="I25" s="10">
        <v>6476100</v>
      </c>
      <c r="J25" s="12" t="s">
        <v>6762</v>
      </c>
      <c r="K25" s="10">
        <v>1142</v>
      </c>
      <c r="L25" s="12" t="s">
        <v>6763</v>
      </c>
      <c r="M25" s="10">
        <v>557181320</v>
      </c>
      <c r="N25" s="10">
        <v>73721</v>
      </c>
      <c r="O25" s="12">
        <v>18</v>
      </c>
    </row>
    <row r="26" spans="1:15" ht="15" customHeight="1" x14ac:dyDescent="0.3">
      <c r="A26" s="9">
        <v>43579</v>
      </c>
      <c r="B26" s="12">
        <v>13</v>
      </c>
      <c r="C26" s="11">
        <v>3.0000000000000001E-3</v>
      </c>
      <c r="D26" s="12">
        <v>15</v>
      </c>
      <c r="E26" s="11">
        <v>1E-3</v>
      </c>
      <c r="F26" s="10">
        <v>1701</v>
      </c>
      <c r="G26" s="11">
        <v>1E-3</v>
      </c>
      <c r="H26" s="11">
        <v>0.48299999999999998</v>
      </c>
      <c r="I26" s="10">
        <v>4273150</v>
      </c>
      <c r="J26" s="12" t="s">
        <v>6764</v>
      </c>
      <c r="K26" s="12">
        <v>821</v>
      </c>
      <c r="L26" s="12" t="s">
        <v>6765</v>
      </c>
      <c r="M26" s="10">
        <v>561454470</v>
      </c>
      <c r="N26" s="10">
        <v>74542</v>
      </c>
      <c r="O26" s="12">
        <v>12</v>
      </c>
    </row>
    <row r="27" spans="1:15" ht="15" customHeight="1" x14ac:dyDescent="0.3">
      <c r="A27" s="9">
        <v>43580</v>
      </c>
      <c r="B27" s="12">
        <v>12</v>
      </c>
      <c r="C27" s="11">
        <v>2E-3</v>
      </c>
      <c r="D27" s="12">
        <v>13</v>
      </c>
      <c r="E27" s="11">
        <v>1E-3</v>
      </c>
      <c r="F27" s="10">
        <v>1564</v>
      </c>
      <c r="G27" s="11">
        <v>1E-3</v>
      </c>
      <c r="H27" s="11">
        <v>0.32100000000000001</v>
      </c>
      <c r="I27" s="10">
        <v>2641800</v>
      </c>
      <c r="J27" s="12" t="s">
        <v>6766</v>
      </c>
      <c r="K27" s="12">
        <v>502</v>
      </c>
      <c r="L27" s="12" t="s">
        <v>6767</v>
      </c>
      <c r="M27" s="10">
        <v>564096270</v>
      </c>
      <c r="N27" s="10">
        <v>75044</v>
      </c>
      <c r="O27" s="12">
        <v>14</v>
      </c>
    </row>
    <row r="28" spans="1:15" ht="15" customHeight="1" x14ac:dyDescent="0.3">
      <c r="A28" s="9">
        <v>43581</v>
      </c>
      <c r="B28" s="12">
        <v>10</v>
      </c>
      <c r="C28" s="11">
        <v>2E-3</v>
      </c>
      <c r="D28" s="12">
        <v>12</v>
      </c>
      <c r="E28" s="11">
        <v>1E-3</v>
      </c>
      <c r="F28" s="10">
        <v>1046</v>
      </c>
      <c r="G28" s="11">
        <v>0</v>
      </c>
      <c r="H28" s="11">
        <v>0.61799999999999999</v>
      </c>
      <c r="I28" s="10">
        <v>3579800</v>
      </c>
      <c r="J28" s="12" t="s">
        <v>6768</v>
      </c>
      <c r="K28" s="12">
        <v>646</v>
      </c>
      <c r="L28" s="12" t="s">
        <v>6769</v>
      </c>
      <c r="M28" s="10">
        <v>567676070</v>
      </c>
      <c r="N28" s="10">
        <v>75690</v>
      </c>
      <c r="O28" s="12">
        <v>11</v>
      </c>
    </row>
    <row r="29" spans="1:15" ht="15" customHeight="1" x14ac:dyDescent="0.3">
      <c r="A29" s="9">
        <v>43582</v>
      </c>
      <c r="B29" s="12">
        <v>4</v>
      </c>
      <c r="C29" s="11">
        <v>1E-3</v>
      </c>
      <c r="D29" s="12">
        <v>5</v>
      </c>
      <c r="E29" s="11">
        <v>0</v>
      </c>
      <c r="F29" s="12">
        <v>315</v>
      </c>
      <c r="G29" s="11">
        <v>0</v>
      </c>
      <c r="H29" s="11">
        <v>0.16500000000000001</v>
      </c>
      <c r="I29" s="10">
        <v>444000</v>
      </c>
      <c r="J29" s="12" t="s">
        <v>6770</v>
      </c>
      <c r="K29" s="12">
        <v>52</v>
      </c>
      <c r="L29" s="12" t="s">
        <v>6771</v>
      </c>
      <c r="M29" s="10">
        <v>568120070</v>
      </c>
      <c r="N29" s="10">
        <v>75742</v>
      </c>
      <c r="O29" s="12">
        <v>63</v>
      </c>
    </row>
    <row r="30" spans="1:15" ht="15" customHeight="1" x14ac:dyDescent="0.3">
      <c r="A30" s="9">
        <v>43583</v>
      </c>
      <c r="B30" s="12">
        <v>4</v>
      </c>
      <c r="C30" s="11">
        <v>1E-3</v>
      </c>
      <c r="D30" s="12">
        <v>5</v>
      </c>
      <c r="E30" s="11">
        <v>0</v>
      </c>
      <c r="F30" s="12">
        <v>401</v>
      </c>
      <c r="G30" s="11">
        <v>0</v>
      </c>
      <c r="H30" s="11">
        <v>0.122</v>
      </c>
      <c r="I30" s="10">
        <v>332650</v>
      </c>
      <c r="J30" s="12" t="s">
        <v>6772</v>
      </c>
      <c r="K30" s="12">
        <v>49</v>
      </c>
      <c r="L30" s="12" t="s">
        <v>6773</v>
      </c>
      <c r="M30" s="10">
        <v>568452720</v>
      </c>
      <c r="N30" s="10">
        <v>75791</v>
      </c>
      <c r="O30" s="12">
        <v>58</v>
      </c>
    </row>
    <row r="31" spans="1:15" ht="15" customHeight="1" x14ac:dyDescent="0.3">
      <c r="A31" s="9">
        <v>43584</v>
      </c>
      <c r="B31" s="12">
        <v>6</v>
      </c>
      <c r="C31" s="11">
        <v>1E-3</v>
      </c>
      <c r="D31" s="12">
        <v>8</v>
      </c>
      <c r="E31" s="11">
        <v>1E-3</v>
      </c>
      <c r="F31" s="12">
        <v>630</v>
      </c>
      <c r="G31" s="11">
        <v>0</v>
      </c>
      <c r="H31" s="11">
        <v>0.127</v>
      </c>
      <c r="I31" s="10">
        <v>452730</v>
      </c>
      <c r="J31" s="12" t="s">
        <v>6774</v>
      </c>
      <c r="K31" s="12">
        <v>80</v>
      </c>
      <c r="L31" s="12" t="s">
        <v>6775</v>
      </c>
      <c r="M31" s="10">
        <v>568905450</v>
      </c>
      <c r="N31" s="10">
        <v>75871</v>
      </c>
      <c r="O31" s="12">
        <v>53</v>
      </c>
    </row>
    <row r="32" spans="1:15" ht="15" customHeight="1" x14ac:dyDescent="0.3">
      <c r="A32" s="9">
        <v>43585</v>
      </c>
      <c r="B32" s="12">
        <v>4</v>
      </c>
      <c r="C32" s="11">
        <v>1E-3</v>
      </c>
      <c r="D32" s="12">
        <v>6</v>
      </c>
      <c r="E32" s="11">
        <v>0</v>
      </c>
      <c r="F32" s="12">
        <v>471</v>
      </c>
      <c r="G32" s="11">
        <v>0</v>
      </c>
      <c r="H32" s="11">
        <v>0.125</v>
      </c>
      <c r="I32" s="10">
        <v>412000</v>
      </c>
      <c r="J32" s="12" t="s">
        <v>6776</v>
      </c>
      <c r="K32" s="12">
        <v>59</v>
      </c>
      <c r="L32" s="12" t="s">
        <v>6777</v>
      </c>
      <c r="M32" s="10">
        <v>569317450</v>
      </c>
      <c r="N32" s="10">
        <v>75930</v>
      </c>
      <c r="O32" s="12">
        <v>64</v>
      </c>
    </row>
    <row r="33" spans="1:15" ht="15" customHeight="1" x14ac:dyDescent="0.3">
      <c r="A33" s="9">
        <v>43586</v>
      </c>
      <c r="B33" s="12">
        <v>2</v>
      </c>
      <c r="C33" s="11">
        <v>0</v>
      </c>
      <c r="D33" s="12">
        <v>3</v>
      </c>
      <c r="E33" s="11">
        <v>0</v>
      </c>
      <c r="F33" s="12">
        <v>316</v>
      </c>
      <c r="G33" s="11">
        <v>0</v>
      </c>
      <c r="H33" s="11">
        <v>0.33500000000000002</v>
      </c>
      <c r="I33" s="10">
        <v>648000</v>
      </c>
      <c r="J33" s="12" t="s">
        <v>6778</v>
      </c>
      <c r="K33" s="12">
        <v>106</v>
      </c>
      <c r="L33" s="12" t="s">
        <v>6779</v>
      </c>
      <c r="M33" s="10">
        <v>569965450</v>
      </c>
      <c r="N33" s="10">
        <v>76036</v>
      </c>
      <c r="O33" s="12">
        <v>46</v>
      </c>
    </row>
    <row r="34" spans="1:15" ht="15" customHeight="1" x14ac:dyDescent="0.3">
      <c r="A34" s="9">
        <v>43587</v>
      </c>
      <c r="B34" s="12">
        <v>6</v>
      </c>
      <c r="C34" s="11">
        <v>1E-3</v>
      </c>
      <c r="D34" s="12">
        <v>6</v>
      </c>
      <c r="E34" s="11">
        <v>0</v>
      </c>
      <c r="F34" s="12">
        <v>778</v>
      </c>
      <c r="G34" s="11">
        <v>0</v>
      </c>
      <c r="H34" s="11">
        <v>0.70199999999999996</v>
      </c>
      <c r="I34" s="10">
        <v>3001300</v>
      </c>
      <c r="J34" s="12" t="s">
        <v>6780</v>
      </c>
      <c r="K34" s="12">
        <v>546</v>
      </c>
      <c r="L34" s="12" t="s">
        <v>6781</v>
      </c>
      <c r="M34" s="10">
        <v>572966750</v>
      </c>
      <c r="N34" s="10">
        <v>76582</v>
      </c>
      <c r="O34" s="12">
        <v>18</v>
      </c>
    </row>
    <row r="35" spans="1:15" ht="15" customHeight="1" x14ac:dyDescent="0.3">
      <c r="A35" s="9">
        <v>43588</v>
      </c>
      <c r="B35" s="12">
        <v>1</v>
      </c>
      <c r="C35" s="11">
        <v>0</v>
      </c>
      <c r="D35" s="12">
        <v>1</v>
      </c>
      <c r="E35" s="11">
        <v>0</v>
      </c>
      <c r="F35" s="12">
        <v>39</v>
      </c>
      <c r="G35" s="11">
        <v>0</v>
      </c>
      <c r="H35" s="11">
        <v>0.64100000000000001</v>
      </c>
      <c r="I35" s="10">
        <v>125000</v>
      </c>
      <c r="J35" s="12" t="s">
        <v>6782</v>
      </c>
      <c r="K35" s="12">
        <v>25</v>
      </c>
      <c r="L35" s="12" t="s">
        <v>6783</v>
      </c>
      <c r="M35" s="10">
        <v>573091750</v>
      </c>
      <c r="N35" s="10">
        <v>76607</v>
      </c>
      <c r="O35" s="12">
        <v>64</v>
      </c>
    </row>
    <row r="36" spans="1:15" ht="15" customHeight="1" x14ac:dyDescent="0.3">
      <c r="A36" s="9">
        <v>43592</v>
      </c>
      <c r="B36" s="12">
        <v>2</v>
      </c>
      <c r="C36" s="11">
        <v>0</v>
      </c>
      <c r="D36" s="12">
        <v>2</v>
      </c>
      <c r="E36" s="11">
        <v>0</v>
      </c>
      <c r="F36" s="12">
        <v>155</v>
      </c>
      <c r="G36" s="11">
        <v>0</v>
      </c>
      <c r="H36" s="11">
        <v>0.17399999999999999</v>
      </c>
      <c r="I36" s="10">
        <v>138000</v>
      </c>
      <c r="J36" s="12" t="s">
        <v>6784</v>
      </c>
      <c r="K36" s="12">
        <v>27</v>
      </c>
      <c r="L36" s="12" t="s">
        <v>6785</v>
      </c>
      <c r="M36" s="10">
        <v>573229750</v>
      </c>
      <c r="N36" s="10">
        <v>76634</v>
      </c>
      <c r="O36" s="12">
        <v>61</v>
      </c>
    </row>
    <row r="37" spans="1:15" ht="15" customHeight="1" x14ac:dyDescent="0.3">
      <c r="A37" s="9">
        <v>43593</v>
      </c>
      <c r="B37" s="12">
        <v>5</v>
      </c>
      <c r="C37" s="11">
        <v>1E-3</v>
      </c>
      <c r="D37" s="12">
        <v>6</v>
      </c>
      <c r="E37" s="11">
        <v>0</v>
      </c>
      <c r="F37" s="12">
        <v>648</v>
      </c>
      <c r="G37" s="11">
        <v>0</v>
      </c>
      <c r="H37" s="11">
        <v>0.182</v>
      </c>
      <c r="I37" s="10">
        <v>628000</v>
      </c>
      <c r="J37" s="12" t="s">
        <v>6786</v>
      </c>
      <c r="K37" s="12">
        <v>118</v>
      </c>
      <c r="L37" s="12" t="s">
        <v>6787</v>
      </c>
      <c r="M37" s="10">
        <v>573857750</v>
      </c>
      <c r="N37" s="10">
        <v>76752</v>
      </c>
      <c r="O37" s="12">
        <v>40</v>
      </c>
    </row>
    <row r="38" spans="1:15" ht="15" customHeight="1" x14ac:dyDescent="0.3">
      <c r="A38" s="9">
        <v>43594</v>
      </c>
      <c r="B38" s="12">
        <v>4</v>
      </c>
      <c r="C38" s="11">
        <v>1E-3</v>
      </c>
      <c r="D38" s="12">
        <v>5</v>
      </c>
      <c r="E38" s="11">
        <v>0</v>
      </c>
      <c r="F38" s="12">
        <v>419</v>
      </c>
      <c r="G38" s="11">
        <v>0</v>
      </c>
      <c r="H38" s="11">
        <v>0.33700000000000002</v>
      </c>
      <c r="I38" s="10">
        <v>809000</v>
      </c>
      <c r="J38" s="12" t="s">
        <v>6788</v>
      </c>
      <c r="K38" s="12">
        <v>141</v>
      </c>
      <c r="L38" s="12" t="s">
        <v>6789</v>
      </c>
      <c r="M38" s="10">
        <v>574666750</v>
      </c>
      <c r="N38" s="10">
        <v>76893</v>
      </c>
      <c r="O38" s="12">
        <v>36</v>
      </c>
    </row>
    <row r="39" spans="1:15" ht="15" customHeight="1" x14ac:dyDescent="0.3">
      <c r="A39" s="9">
        <v>43596</v>
      </c>
      <c r="B39" s="12">
        <v>1</v>
      </c>
      <c r="C39" s="11">
        <v>0</v>
      </c>
      <c r="D39" s="12">
        <v>1</v>
      </c>
      <c r="E39" s="11">
        <v>0</v>
      </c>
      <c r="F39" s="12">
        <v>110</v>
      </c>
      <c r="G39" s="11">
        <v>0</v>
      </c>
      <c r="H39" s="11">
        <v>1.7999999999999999E-2</v>
      </c>
      <c r="I39" s="10">
        <v>15000</v>
      </c>
      <c r="J39" s="12" t="s">
        <v>5962</v>
      </c>
      <c r="K39" s="12">
        <v>2</v>
      </c>
      <c r="L39" s="12" t="s">
        <v>1408</v>
      </c>
      <c r="M39" s="10">
        <v>574681750</v>
      </c>
      <c r="N39" s="10">
        <v>76895</v>
      </c>
      <c r="O39" s="12">
        <v>97</v>
      </c>
    </row>
    <row r="40" spans="1:15" ht="15" customHeight="1" x14ac:dyDescent="0.3">
      <c r="A40" s="9">
        <v>43597</v>
      </c>
      <c r="B40" s="12">
        <v>1</v>
      </c>
      <c r="C40" s="11">
        <v>0</v>
      </c>
      <c r="D40" s="12">
        <v>2</v>
      </c>
      <c r="E40" s="11">
        <v>0</v>
      </c>
      <c r="F40" s="12">
        <v>220</v>
      </c>
      <c r="G40" s="11">
        <v>0</v>
      </c>
      <c r="H40" s="11">
        <v>2.3E-2</v>
      </c>
      <c r="I40" s="10">
        <v>41000</v>
      </c>
      <c r="J40" s="12" t="s">
        <v>6790</v>
      </c>
      <c r="K40" s="12">
        <v>5</v>
      </c>
      <c r="L40" s="12" t="s">
        <v>308</v>
      </c>
      <c r="M40" s="10">
        <v>574722750</v>
      </c>
      <c r="N40" s="10">
        <v>76900</v>
      </c>
      <c r="O40" s="12">
        <v>79</v>
      </c>
    </row>
    <row r="41" spans="1:15" ht="15" customHeight="1" x14ac:dyDescent="0.3">
      <c r="A41" s="9">
        <v>43598</v>
      </c>
      <c r="B41" s="12">
        <v>1</v>
      </c>
      <c r="C41" s="11">
        <v>0</v>
      </c>
      <c r="D41" s="12">
        <v>1</v>
      </c>
      <c r="E41" s="11">
        <v>0</v>
      </c>
      <c r="F41" s="12">
        <v>134</v>
      </c>
      <c r="G41" s="11">
        <v>0</v>
      </c>
      <c r="H41" s="11">
        <v>0.67200000000000004</v>
      </c>
      <c r="I41" s="10">
        <v>450000</v>
      </c>
      <c r="J41" s="12" t="s">
        <v>6791</v>
      </c>
      <c r="K41" s="12">
        <v>90</v>
      </c>
      <c r="L41" s="12" t="s">
        <v>6792</v>
      </c>
      <c r="M41" s="10">
        <v>575172750</v>
      </c>
      <c r="N41" s="10">
        <v>76990</v>
      </c>
      <c r="O41" s="12">
        <v>39</v>
      </c>
    </row>
    <row r="42" spans="1:15" ht="15" customHeight="1" x14ac:dyDescent="0.3">
      <c r="A42" s="9">
        <v>43599</v>
      </c>
      <c r="B42" s="12">
        <v>2</v>
      </c>
      <c r="C42" s="11">
        <v>0</v>
      </c>
      <c r="D42" s="12">
        <v>2</v>
      </c>
      <c r="E42" s="11">
        <v>0</v>
      </c>
      <c r="F42" s="12">
        <v>241</v>
      </c>
      <c r="G42" s="11">
        <v>0</v>
      </c>
      <c r="H42" s="11">
        <v>0.36099999999999999</v>
      </c>
      <c r="I42" s="10">
        <v>451000</v>
      </c>
      <c r="J42" s="12" t="s">
        <v>6793</v>
      </c>
      <c r="K42" s="12">
        <v>87</v>
      </c>
      <c r="L42" s="12" t="s">
        <v>6794</v>
      </c>
      <c r="M42" s="10">
        <v>575623750</v>
      </c>
      <c r="N42" s="10">
        <v>77077</v>
      </c>
      <c r="O42" s="12">
        <v>40</v>
      </c>
    </row>
    <row r="43" spans="1:15" ht="15" customHeight="1" x14ac:dyDescent="0.3">
      <c r="A43" s="9">
        <v>43600</v>
      </c>
      <c r="B43" s="12">
        <v>3</v>
      </c>
      <c r="C43" s="11">
        <v>1E-3</v>
      </c>
      <c r="D43" s="12">
        <v>3</v>
      </c>
      <c r="E43" s="11">
        <v>0</v>
      </c>
      <c r="F43" s="12">
        <v>291</v>
      </c>
      <c r="G43" s="11">
        <v>0</v>
      </c>
      <c r="H43" s="11">
        <v>0.45</v>
      </c>
      <c r="I43" s="10">
        <v>657000</v>
      </c>
      <c r="J43" s="12" t="s">
        <v>6795</v>
      </c>
      <c r="K43" s="12">
        <v>131</v>
      </c>
      <c r="L43" s="12" t="s">
        <v>6796</v>
      </c>
      <c r="M43" s="10">
        <v>576280750</v>
      </c>
      <c r="N43" s="10">
        <v>77208</v>
      </c>
      <c r="O43" s="12">
        <v>35</v>
      </c>
    </row>
    <row r="44" spans="1:15" ht="15" customHeight="1" x14ac:dyDescent="0.3">
      <c r="A44" s="9">
        <v>43601</v>
      </c>
      <c r="B44" s="12">
        <v>2</v>
      </c>
      <c r="C44" s="11">
        <v>0</v>
      </c>
      <c r="D44" s="12">
        <v>2</v>
      </c>
      <c r="E44" s="11">
        <v>0</v>
      </c>
      <c r="F44" s="12">
        <v>423</v>
      </c>
      <c r="G44" s="11">
        <v>0</v>
      </c>
      <c r="H44" s="11">
        <v>0.74</v>
      </c>
      <c r="I44" s="10">
        <v>1565000</v>
      </c>
      <c r="J44" s="12" t="s">
        <v>6797</v>
      </c>
      <c r="K44" s="12">
        <v>313</v>
      </c>
      <c r="L44" s="12" t="s">
        <v>6798</v>
      </c>
      <c r="M44" s="10">
        <v>577845750</v>
      </c>
      <c r="N44" s="10">
        <v>77521</v>
      </c>
      <c r="O44" s="12">
        <v>25</v>
      </c>
    </row>
    <row r="45" spans="1:15" ht="15" customHeight="1" x14ac:dyDescent="0.3">
      <c r="A45" s="9">
        <v>43602</v>
      </c>
      <c r="B45" s="12">
        <v>2</v>
      </c>
      <c r="C45" s="11">
        <v>0</v>
      </c>
      <c r="D45" s="12">
        <v>2</v>
      </c>
      <c r="E45" s="11">
        <v>0</v>
      </c>
      <c r="F45" s="12">
        <v>252</v>
      </c>
      <c r="G45" s="11">
        <v>0</v>
      </c>
      <c r="H45" s="11">
        <v>0.36899999999999999</v>
      </c>
      <c r="I45" s="10">
        <v>465000</v>
      </c>
      <c r="J45" s="12" t="s">
        <v>6799</v>
      </c>
      <c r="K45" s="12">
        <v>93</v>
      </c>
      <c r="L45" s="12" t="s">
        <v>6800</v>
      </c>
      <c r="M45" s="10">
        <v>578310750</v>
      </c>
      <c r="N45" s="10">
        <v>77614</v>
      </c>
      <c r="O45" s="12">
        <v>51</v>
      </c>
    </row>
    <row r="46" spans="1:15" ht="15" customHeight="1" x14ac:dyDescent="0.3">
      <c r="A46" s="9">
        <v>43603</v>
      </c>
      <c r="B46" s="12">
        <v>1</v>
      </c>
      <c r="C46" s="11">
        <v>0</v>
      </c>
      <c r="D46" s="12">
        <v>2</v>
      </c>
      <c r="E46" s="11">
        <v>0</v>
      </c>
      <c r="F46" s="12">
        <v>220</v>
      </c>
      <c r="G46" s="11">
        <v>0</v>
      </c>
      <c r="H46" s="11">
        <v>0.11799999999999999</v>
      </c>
      <c r="I46" s="10">
        <v>177000</v>
      </c>
      <c r="J46" s="12" t="s">
        <v>6801</v>
      </c>
      <c r="K46" s="12">
        <v>26</v>
      </c>
      <c r="L46" s="12" t="s">
        <v>6079</v>
      </c>
      <c r="M46" s="10">
        <v>578487750</v>
      </c>
      <c r="N46" s="10">
        <v>77640</v>
      </c>
      <c r="O46" s="12">
        <v>69</v>
      </c>
    </row>
    <row r="47" spans="1:15" ht="15" customHeight="1" x14ac:dyDescent="0.3">
      <c r="A47" s="9">
        <v>43604</v>
      </c>
      <c r="B47" s="12">
        <v>1</v>
      </c>
      <c r="C47" s="11">
        <v>0</v>
      </c>
      <c r="D47" s="12">
        <v>1</v>
      </c>
      <c r="E47" s="11">
        <v>0</v>
      </c>
      <c r="F47" s="12">
        <v>110</v>
      </c>
      <c r="G47" s="11">
        <v>0</v>
      </c>
      <c r="H47" s="11">
        <v>1.7999999999999999E-2</v>
      </c>
      <c r="I47" s="10">
        <v>18000</v>
      </c>
      <c r="J47" s="12" t="s">
        <v>6802</v>
      </c>
      <c r="K47" s="12">
        <v>2</v>
      </c>
      <c r="L47" s="12" t="s">
        <v>6803</v>
      </c>
      <c r="M47" s="10">
        <v>578505750</v>
      </c>
      <c r="N47" s="10">
        <v>77642</v>
      </c>
      <c r="O47" s="12">
        <v>89</v>
      </c>
    </row>
    <row r="48" spans="1:15" ht="15" customHeight="1" x14ac:dyDescent="0.3">
      <c r="A48" s="9">
        <v>43605</v>
      </c>
      <c r="B48" s="12">
        <v>1</v>
      </c>
      <c r="C48" s="11">
        <v>0</v>
      </c>
      <c r="D48" s="12">
        <v>1</v>
      </c>
      <c r="E48" s="11">
        <v>0</v>
      </c>
      <c r="F48" s="12">
        <v>110</v>
      </c>
      <c r="G48" s="11">
        <v>0</v>
      </c>
      <c r="H48" s="11">
        <v>0</v>
      </c>
      <c r="I48" s="12">
        <v>0</v>
      </c>
      <c r="J48" s="12" t="s">
        <v>6804</v>
      </c>
      <c r="K48" s="12">
        <v>0</v>
      </c>
      <c r="L48" s="12" t="s">
        <v>6805</v>
      </c>
      <c r="M48" s="10">
        <v>578505750</v>
      </c>
      <c r="N48" s="10">
        <v>77642</v>
      </c>
      <c r="O48" s="12">
        <v>94</v>
      </c>
    </row>
    <row r="49" spans="1:15" ht="15" customHeight="1" x14ac:dyDescent="0.3">
      <c r="A49" s="9">
        <v>43608</v>
      </c>
      <c r="B49" s="12">
        <v>2</v>
      </c>
      <c r="C49" s="11">
        <v>0</v>
      </c>
      <c r="D49" s="12">
        <v>2</v>
      </c>
      <c r="E49" s="11">
        <v>0</v>
      </c>
      <c r="F49" s="12">
        <v>172</v>
      </c>
      <c r="G49" s="11">
        <v>0</v>
      </c>
      <c r="H49" s="11">
        <v>0.28499999999999998</v>
      </c>
      <c r="I49" s="10">
        <v>255000</v>
      </c>
      <c r="J49" s="12" t="s">
        <v>6806</v>
      </c>
      <c r="K49" s="12">
        <v>49</v>
      </c>
      <c r="L49" s="12" t="s">
        <v>448</v>
      </c>
      <c r="M49" s="10">
        <v>578760750</v>
      </c>
      <c r="N49" s="10">
        <v>77691</v>
      </c>
      <c r="O49" s="12">
        <v>50</v>
      </c>
    </row>
    <row r="50" spans="1:15" ht="15" customHeight="1" x14ac:dyDescent="0.3">
      <c r="A50" s="9">
        <v>43610</v>
      </c>
      <c r="B50" s="12">
        <v>1</v>
      </c>
      <c r="C50" s="11">
        <v>0</v>
      </c>
      <c r="D50" s="12">
        <v>1</v>
      </c>
      <c r="E50" s="11">
        <v>0</v>
      </c>
      <c r="F50" s="12">
        <v>110</v>
      </c>
      <c r="G50" s="11">
        <v>0</v>
      </c>
      <c r="H50" s="11">
        <v>1.7999999999999999E-2</v>
      </c>
      <c r="I50" s="10">
        <v>12500</v>
      </c>
      <c r="J50" s="12" t="s">
        <v>6807</v>
      </c>
      <c r="K50" s="12">
        <v>2</v>
      </c>
      <c r="L50" s="12" t="s">
        <v>1408</v>
      </c>
      <c r="M50" s="10">
        <v>578773250</v>
      </c>
      <c r="N50" s="10">
        <v>77693</v>
      </c>
      <c r="O50" s="12">
        <v>110</v>
      </c>
    </row>
    <row r="51" spans="1:15" ht="15" customHeight="1" x14ac:dyDescent="0.3">
      <c r="A51" s="9">
        <v>43612</v>
      </c>
      <c r="B51" s="12">
        <v>4</v>
      </c>
      <c r="C51" s="11">
        <v>1E-3</v>
      </c>
      <c r="D51" s="12">
        <v>5</v>
      </c>
      <c r="E51" s="11">
        <v>0</v>
      </c>
      <c r="F51" s="12">
        <v>416</v>
      </c>
      <c r="G51" s="11">
        <v>0</v>
      </c>
      <c r="H51" s="11">
        <v>0.47599999999999998</v>
      </c>
      <c r="I51" s="10">
        <v>995650</v>
      </c>
      <c r="J51" s="12" t="s">
        <v>6808</v>
      </c>
      <c r="K51" s="12">
        <v>198</v>
      </c>
      <c r="L51" s="12" t="s">
        <v>6809</v>
      </c>
      <c r="M51" s="10">
        <v>579768900</v>
      </c>
      <c r="N51" s="10">
        <v>77891</v>
      </c>
      <c r="O51" s="12">
        <v>25</v>
      </c>
    </row>
    <row r="52" spans="1:15" ht="15" customHeight="1" x14ac:dyDescent="0.3">
      <c r="A52" s="9">
        <v>43613</v>
      </c>
      <c r="B52" s="12">
        <v>2</v>
      </c>
      <c r="C52" s="11">
        <v>0</v>
      </c>
      <c r="D52" s="12">
        <v>2</v>
      </c>
      <c r="E52" s="11">
        <v>0</v>
      </c>
      <c r="F52" s="12">
        <v>101</v>
      </c>
      <c r="G52" s="11">
        <v>0</v>
      </c>
      <c r="H52" s="11">
        <v>1</v>
      </c>
      <c r="I52" s="10">
        <v>505000</v>
      </c>
      <c r="J52" s="12" t="s">
        <v>6810</v>
      </c>
      <c r="K52" s="12">
        <v>101</v>
      </c>
      <c r="L52" s="12" t="s">
        <v>6811</v>
      </c>
      <c r="M52" s="10">
        <v>580273900</v>
      </c>
      <c r="N52" s="10">
        <v>77992</v>
      </c>
      <c r="O52" s="12">
        <v>42</v>
      </c>
    </row>
    <row r="53" spans="1:15" ht="15" customHeight="1" x14ac:dyDescent="0.3">
      <c r="A53" s="9">
        <v>43626</v>
      </c>
      <c r="B53" s="12">
        <v>1</v>
      </c>
      <c r="C53" s="11">
        <v>0</v>
      </c>
      <c r="D53" s="12">
        <v>1</v>
      </c>
      <c r="E53" s="11">
        <v>0</v>
      </c>
      <c r="F53" s="12">
        <v>400</v>
      </c>
      <c r="G53" s="11">
        <v>0</v>
      </c>
      <c r="H53" s="11">
        <v>0.82799999999999996</v>
      </c>
      <c r="I53" s="10">
        <v>1655000</v>
      </c>
      <c r="J53" s="12" t="s">
        <v>6812</v>
      </c>
      <c r="K53" s="12">
        <v>331</v>
      </c>
      <c r="L53" s="12" t="s">
        <v>6813</v>
      </c>
      <c r="M53" s="10">
        <v>581928900</v>
      </c>
      <c r="N53" s="10">
        <v>78323</v>
      </c>
      <c r="O53" s="12">
        <v>18</v>
      </c>
    </row>
    <row r="54" spans="1:15" ht="15" customHeight="1" x14ac:dyDescent="0.3">
      <c r="A54" s="9">
        <v>43627</v>
      </c>
      <c r="B54" s="12">
        <v>1</v>
      </c>
      <c r="C54" s="11">
        <v>0</v>
      </c>
      <c r="D54" s="12">
        <v>1</v>
      </c>
      <c r="E54" s="11">
        <v>0</v>
      </c>
      <c r="F54" s="12">
        <v>400</v>
      </c>
      <c r="G54" s="11">
        <v>0</v>
      </c>
      <c r="H54" s="11">
        <v>0.77500000000000002</v>
      </c>
      <c r="I54" s="10">
        <v>1550000</v>
      </c>
      <c r="J54" s="12" t="s">
        <v>6814</v>
      </c>
      <c r="K54" s="12">
        <v>310</v>
      </c>
      <c r="L54" s="12" t="s">
        <v>6815</v>
      </c>
      <c r="M54" s="10">
        <v>583478900</v>
      </c>
      <c r="N54" s="10">
        <v>78633</v>
      </c>
      <c r="O54" s="12">
        <v>28</v>
      </c>
    </row>
    <row r="55" spans="1:15" ht="15" customHeight="1" x14ac:dyDescent="0.3">
      <c r="A55" s="9">
        <v>43636</v>
      </c>
      <c r="B55" s="12">
        <v>1</v>
      </c>
      <c r="C55" s="11">
        <v>0</v>
      </c>
      <c r="D55" s="12">
        <v>1</v>
      </c>
      <c r="E55" s="11">
        <v>0</v>
      </c>
      <c r="F55" s="12">
        <v>338</v>
      </c>
      <c r="G55" s="11">
        <v>0</v>
      </c>
      <c r="H55" s="11">
        <v>0.44700000000000001</v>
      </c>
      <c r="I55" s="10">
        <v>755000</v>
      </c>
      <c r="J55" s="12" t="s">
        <v>6816</v>
      </c>
      <c r="K55" s="12">
        <v>151</v>
      </c>
      <c r="L55" s="12" t="s">
        <v>6317</v>
      </c>
      <c r="M55" s="10">
        <v>584233900</v>
      </c>
      <c r="N55" s="10">
        <v>78784</v>
      </c>
      <c r="O55" s="12">
        <v>35</v>
      </c>
    </row>
    <row r="56" spans="1:15" ht="15" customHeight="1" x14ac:dyDescent="0.3">
      <c r="A56" s="9">
        <v>43654</v>
      </c>
      <c r="B56" s="12">
        <v>1</v>
      </c>
      <c r="C56" s="11">
        <v>0</v>
      </c>
      <c r="D56" s="12">
        <v>1</v>
      </c>
      <c r="E56" s="11">
        <v>0</v>
      </c>
      <c r="F56" s="12">
        <v>279</v>
      </c>
      <c r="G56" s="11">
        <v>0</v>
      </c>
      <c r="H56" s="11">
        <v>0.47</v>
      </c>
      <c r="I56" s="10">
        <v>655000</v>
      </c>
      <c r="J56" s="12" t="s">
        <v>6817</v>
      </c>
      <c r="K56" s="12">
        <v>131</v>
      </c>
      <c r="L56" s="12" t="s">
        <v>6818</v>
      </c>
      <c r="M56" s="10">
        <v>584888900</v>
      </c>
      <c r="N56" s="10">
        <v>78915</v>
      </c>
      <c r="O56" s="12">
        <v>31</v>
      </c>
    </row>
    <row r="57" spans="1:15" ht="15" customHeight="1" x14ac:dyDescent="0.3">
      <c r="A57" s="9">
        <v>43656</v>
      </c>
      <c r="B57" s="12">
        <v>2</v>
      </c>
      <c r="C57" s="11">
        <v>0</v>
      </c>
      <c r="D57" s="12">
        <v>2</v>
      </c>
      <c r="E57" s="11">
        <v>0</v>
      </c>
      <c r="F57" s="12">
        <v>113</v>
      </c>
      <c r="G57" s="11">
        <v>0</v>
      </c>
      <c r="H57" s="11">
        <v>0.96499999999999997</v>
      </c>
      <c r="I57" s="10">
        <v>545000</v>
      </c>
      <c r="J57" s="12" t="s">
        <v>6819</v>
      </c>
      <c r="K57" s="12">
        <v>109</v>
      </c>
      <c r="L57" s="12" t="s">
        <v>6820</v>
      </c>
      <c r="M57" s="10">
        <v>585433900</v>
      </c>
      <c r="N57" s="10">
        <v>79024</v>
      </c>
      <c r="O57" s="12">
        <v>40</v>
      </c>
    </row>
    <row r="58" spans="1:15" ht="15" customHeight="1" x14ac:dyDescent="0.3">
      <c r="A58" s="9">
        <v>43657</v>
      </c>
      <c r="B58" s="12">
        <v>2</v>
      </c>
      <c r="C58" s="11">
        <v>0</v>
      </c>
      <c r="D58" s="12">
        <v>2</v>
      </c>
      <c r="E58" s="11">
        <v>0</v>
      </c>
      <c r="F58" s="12">
        <v>113</v>
      </c>
      <c r="G58" s="11">
        <v>0</v>
      </c>
      <c r="H58" s="11">
        <v>0.96499999999999997</v>
      </c>
      <c r="I58" s="10">
        <v>545000</v>
      </c>
      <c r="J58" s="12" t="s">
        <v>292</v>
      </c>
      <c r="K58" s="12">
        <v>109</v>
      </c>
      <c r="L58" s="12" t="s">
        <v>292</v>
      </c>
      <c r="M58" s="10">
        <v>585978900</v>
      </c>
      <c r="N58" s="10">
        <v>79133</v>
      </c>
      <c r="O58" s="12">
        <v>46</v>
      </c>
    </row>
    <row r="59" spans="1:15" ht="15" customHeight="1" x14ac:dyDescent="0.3"/>
    <row r="60" spans="1:15" ht="15" customHeight="1" x14ac:dyDescent="0.3"/>
    <row r="61" spans="1:15" ht="15" customHeight="1" x14ac:dyDescent="0.3"/>
    <row r="62" spans="1:15" ht="15" customHeight="1" x14ac:dyDescent="0.3"/>
    <row r="63" spans="1:15" ht="15" customHeight="1" x14ac:dyDescent="0.3"/>
    <row r="64" spans="1:15" ht="15" customHeight="1" x14ac:dyDescent="0.3"/>
    <row r="6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1361-F74C-485E-A531-B613678BD97D}">
  <dimension ref="A1:O35"/>
  <sheetViews>
    <sheetView showGridLines="0" workbookViewId="0">
      <selection activeCell="A5" sqref="A5:O8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9.25" bestFit="1" customWidth="1"/>
    <col min="10" max="10" width="18.12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6821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43572</v>
      </c>
      <c r="B5" s="12">
        <v>488</v>
      </c>
      <c r="C5" s="11">
        <v>8.2000000000000003E-2</v>
      </c>
      <c r="D5" s="10">
        <v>1501</v>
      </c>
      <c r="E5" s="11">
        <v>0.09</v>
      </c>
      <c r="F5" s="10">
        <v>208296</v>
      </c>
      <c r="G5" s="11">
        <v>7.9000000000000001E-2</v>
      </c>
      <c r="H5" s="11">
        <v>3.9E-2</v>
      </c>
      <c r="I5" s="10">
        <v>64820050</v>
      </c>
      <c r="J5" s="12" t="s">
        <v>6822</v>
      </c>
      <c r="K5" s="10">
        <v>8181</v>
      </c>
      <c r="L5" s="12" t="s">
        <v>6823</v>
      </c>
      <c r="M5" s="10">
        <v>86417050</v>
      </c>
      <c r="N5" s="10">
        <v>10764</v>
      </c>
      <c r="O5" s="12">
        <v>5</v>
      </c>
    </row>
    <row r="6" spans="1:15" ht="15" customHeight="1" x14ac:dyDescent="0.3">
      <c r="A6" s="9">
        <v>43573</v>
      </c>
      <c r="B6" s="12">
        <v>465</v>
      </c>
      <c r="C6" s="11">
        <v>7.0999999999999994E-2</v>
      </c>
      <c r="D6" s="10">
        <v>1289</v>
      </c>
      <c r="E6" s="11">
        <v>7.8E-2</v>
      </c>
      <c r="F6" s="10">
        <v>181184</v>
      </c>
      <c r="G6" s="11">
        <v>6.9000000000000006E-2</v>
      </c>
      <c r="H6" s="11">
        <v>3.4000000000000002E-2</v>
      </c>
      <c r="I6" s="10">
        <v>48280450</v>
      </c>
      <c r="J6" s="12" t="s">
        <v>6824</v>
      </c>
      <c r="K6" s="10">
        <v>6125</v>
      </c>
      <c r="L6" s="12" t="s">
        <v>6825</v>
      </c>
      <c r="M6" s="10">
        <v>134697500</v>
      </c>
      <c r="N6" s="10">
        <v>16889</v>
      </c>
      <c r="O6" s="12">
        <v>7</v>
      </c>
    </row>
    <row r="7" spans="1:15" ht="15" customHeight="1" x14ac:dyDescent="0.3">
      <c r="A7" s="9">
        <v>43574</v>
      </c>
      <c r="B7" s="12">
        <v>475</v>
      </c>
      <c r="C7" s="11">
        <v>6.9000000000000006E-2</v>
      </c>
      <c r="D7" s="10">
        <v>1287</v>
      </c>
      <c r="E7" s="11">
        <v>7.3999999999999996E-2</v>
      </c>
      <c r="F7" s="10">
        <v>179699</v>
      </c>
      <c r="G7" s="11">
        <v>6.5000000000000002E-2</v>
      </c>
      <c r="H7" s="11">
        <v>4.3999999999999997E-2</v>
      </c>
      <c r="I7" s="10">
        <v>68752825</v>
      </c>
      <c r="J7" s="12" t="s">
        <v>6826</v>
      </c>
      <c r="K7" s="10">
        <v>7957</v>
      </c>
      <c r="L7" s="12" t="s">
        <v>6827</v>
      </c>
      <c r="M7" s="10">
        <v>203450325</v>
      </c>
      <c r="N7" s="10">
        <v>24846</v>
      </c>
      <c r="O7" s="12">
        <v>7</v>
      </c>
    </row>
    <row r="8" spans="1:15" ht="15" customHeight="1" x14ac:dyDescent="0.3">
      <c r="A8" s="9">
        <v>43575</v>
      </c>
      <c r="B8" s="12">
        <v>484</v>
      </c>
      <c r="C8" s="11">
        <v>6.4000000000000001E-2</v>
      </c>
      <c r="D8" s="10">
        <v>1243</v>
      </c>
      <c r="E8" s="11">
        <v>6.5000000000000002E-2</v>
      </c>
      <c r="F8" s="10">
        <v>165339</v>
      </c>
      <c r="G8" s="11">
        <v>5.5E-2</v>
      </c>
      <c r="H8" s="11">
        <v>6.7000000000000004E-2</v>
      </c>
      <c r="I8" s="10">
        <v>97115607</v>
      </c>
      <c r="J8" s="12" t="s">
        <v>6828</v>
      </c>
      <c r="K8" s="10">
        <v>11130</v>
      </c>
      <c r="L8" s="12" t="s">
        <v>6829</v>
      </c>
      <c r="M8" s="10">
        <v>300565932</v>
      </c>
      <c r="N8" s="10">
        <v>35976</v>
      </c>
      <c r="O8" s="12">
        <v>8</v>
      </c>
    </row>
    <row r="9" spans="1:15" ht="15" customHeight="1" x14ac:dyDescent="0.3">
      <c r="A9" s="9">
        <v>43576</v>
      </c>
      <c r="B9" s="12">
        <v>463</v>
      </c>
      <c r="C9" s="11">
        <v>6.2E-2</v>
      </c>
      <c r="D9" s="10">
        <v>1164</v>
      </c>
      <c r="E9" s="11">
        <v>6.3E-2</v>
      </c>
      <c r="F9" s="10">
        <v>156606</v>
      </c>
      <c r="G9" s="11">
        <v>5.3999999999999999E-2</v>
      </c>
      <c r="H9" s="11">
        <v>6.5000000000000002E-2</v>
      </c>
      <c r="I9" s="10">
        <v>90034330</v>
      </c>
      <c r="J9" s="12" t="s">
        <v>6830</v>
      </c>
      <c r="K9" s="10">
        <v>10163</v>
      </c>
      <c r="L9" s="12" t="s">
        <v>6831</v>
      </c>
      <c r="M9" s="10">
        <v>390600262</v>
      </c>
      <c r="N9" s="10">
        <v>46139</v>
      </c>
      <c r="O9" s="12">
        <v>8</v>
      </c>
    </row>
    <row r="10" spans="1:15" ht="15" customHeight="1" x14ac:dyDescent="0.3">
      <c r="A10" s="9">
        <v>43577</v>
      </c>
      <c r="B10" s="12">
        <v>413</v>
      </c>
      <c r="C10" s="11">
        <v>6.5000000000000002E-2</v>
      </c>
      <c r="D10" s="12">
        <v>908</v>
      </c>
      <c r="E10" s="11">
        <v>5.8000000000000003E-2</v>
      </c>
      <c r="F10" s="10">
        <v>123755</v>
      </c>
      <c r="G10" s="11">
        <v>0.05</v>
      </c>
      <c r="H10" s="11">
        <v>3.2000000000000001E-2</v>
      </c>
      <c r="I10" s="10">
        <v>31016690</v>
      </c>
      <c r="J10" s="12" t="s">
        <v>6832</v>
      </c>
      <c r="K10" s="10">
        <v>3922</v>
      </c>
      <c r="L10" s="12" t="s">
        <v>6833</v>
      </c>
      <c r="M10" s="10">
        <v>421616952</v>
      </c>
      <c r="N10" s="10">
        <v>50061</v>
      </c>
      <c r="O10" s="12">
        <v>8</v>
      </c>
    </row>
    <row r="11" spans="1:15" ht="15" customHeight="1" x14ac:dyDescent="0.3">
      <c r="A11" s="9">
        <v>43578</v>
      </c>
      <c r="B11" s="12">
        <v>423</v>
      </c>
      <c r="C11" s="11">
        <v>6.5000000000000002E-2</v>
      </c>
      <c r="D11" s="12">
        <v>866</v>
      </c>
      <c r="E11" s="11">
        <v>5.6000000000000001E-2</v>
      </c>
      <c r="F11" s="10">
        <v>118271</v>
      </c>
      <c r="G11" s="11">
        <v>4.8000000000000001E-2</v>
      </c>
      <c r="H11" s="11">
        <v>2.9000000000000001E-2</v>
      </c>
      <c r="I11" s="10">
        <v>27763310</v>
      </c>
      <c r="J11" s="12" t="s">
        <v>6834</v>
      </c>
      <c r="K11" s="10">
        <v>3439</v>
      </c>
      <c r="L11" s="12" t="s">
        <v>6835</v>
      </c>
      <c r="M11" s="10">
        <v>449380262</v>
      </c>
      <c r="N11" s="10">
        <v>53500</v>
      </c>
      <c r="O11" s="12">
        <v>10</v>
      </c>
    </row>
    <row r="12" spans="1:15" ht="15" customHeight="1" x14ac:dyDescent="0.3">
      <c r="A12" s="9">
        <v>43579</v>
      </c>
      <c r="B12" s="12">
        <v>34</v>
      </c>
      <c r="C12" s="11">
        <v>7.0000000000000001E-3</v>
      </c>
      <c r="D12" s="12">
        <v>47</v>
      </c>
      <c r="E12" s="11">
        <v>3.0000000000000001E-3</v>
      </c>
      <c r="F12" s="10">
        <v>5363</v>
      </c>
      <c r="G12" s="11">
        <v>2E-3</v>
      </c>
      <c r="H12" s="11">
        <v>8.3000000000000004E-2</v>
      </c>
      <c r="I12" s="10">
        <v>3531500</v>
      </c>
      <c r="J12" s="12" t="s">
        <v>6836</v>
      </c>
      <c r="K12" s="12">
        <v>443</v>
      </c>
      <c r="L12" s="12" t="s">
        <v>6837</v>
      </c>
      <c r="M12" s="10">
        <v>452911762</v>
      </c>
      <c r="N12" s="10">
        <v>53943</v>
      </c>
      <c r="O12" s="12">
        <v>18</v>
      </c>
    </row>
    <row r="13" spans="1:15" ht="15" customHeight="1" x14ac:dyDescent="0.3">
      <c r="A13" s="9">
        <v>43580</v>
      </c>
      <c r="B13" s="12">
        <v>23</v>
      </c>
      <c r="C13" s="11">
        <v>5.0000000000000001E-3</v>
      </c>
      <c r="D13" s="12">
        <v>24</v>
      </c>
      <c r="E13" s="11">
        <v>2E-3</v>
      </c>
      <c r="F13" s="10">
        <v>2291</v>
      </c>
      <c r="G13" s="11">
        <v>1E-3</v>
      </c>
      <c r="H13" s="11">
        <v>3.7999999999999999E-2</v>
      </c>
      <c r="I13" s="10">
        <v>661500</v>
      </c>
      <c r="J13" s="12" t="s">
        <v>6838</v>
      </c>
      <c r="K13" s="12">
        <v>88</v>
      </c>
      <c r="L13" s="12" t="s">
        <v>6839</v>
      </c>
      <c r="M13" s="10">
        <v>453573262</v>
      </c>
      <c r="N13" s="10">
        <v>54031</v>
      </c>
      <c r="O13" s="12">
        <v>51</v>
      </c>
    </row>
    <row r="14" spans="1:15" ht="15" customHeight="1" x14ac:dyDescent="0.3">
      <c r="A14" s="9">
        <v>43581</v>
      </c>
      <c r="B14" s="12">
        <v>19</v>
      </c>
      <c r="C14" s="11">
        <v>4.0000000000000001E-3</v>
      </c>
      <c r="D14" s="12">
        <v>20</v>
      </c>
      <c r="E14" s="11">
        <v>1E-3</v>
      </c>
      <c r="F14" s="10">
        <v>1951</v>
      </c>
      <c r="G14" s="11">
        <v>1E-3</v>
      </c>
      <c r="H14" s="11">
        <v>6.7000000000000004E-2</v>
      </c>
      <c r="I14" s="10">
        <v>1195600</v>
      </c>
      <c r="J14" s="12" t="s">
        <v>6840</v>
      </c>
      <c r="K14" s="12">
        <v>131</v>
      </c>
      <c r="L14" s="12" t="s">
        <v>6841</v>
      </c>
      <c r="M14" s="10">
        <v>454768862</v>
      </c>
      <c r="N14" s="10">
        <v>54162</v>
      </c>
      <c r="O14" s="12">
        <v>38</v>
      </c>
    </row>
    <row r="15" spans="1:15" ht="15" customHeight="1" x14ac:dyDescent="0.3">
      <c r="A15" s="9">
        <v>43582</v>
      </c>
      <c r="B15" s="12">
        <v>19</v>
      </c>
      <c r="C15" s="11">
        <v>4.0000000000000001E-3</v>
      </c>
      <c r="D15" s="12">
        <v>21</v>
      </c>
      <c r="E15" s="11">
        <v>1E-3</v>
      </c>
      <c r="F15" s="10">
        <v>2381</v>
      </c>
      <c r="G15" s="11">
        <v>1E-3</v>
      </c>
      <c r="H15" s="11">
        <v>5.2999999999999999E-2</v>
      </c>
      <c r="I15" s="10">
        <v>1001600</v>
      </c>
      <c r="J15" s="12" t="s">
        <v>6842</v>
      </c>
      <c r="K15" s="12">
        <v>126</v>
      </c>
      <c r="L15" s="12" t="s">
        <v>6843</v>
      </c>
      <c r="M15" s="10">
        <v>455770462</v>
      </c>
      <c r="N15" s="10">
        <v>54288</v>
      </c>
      <c r="O15" s="12">
        <v>47</v>
      </c>
    </row>
    <row r="16" spans="1:15" ht="15" customHeight="1" x14ac:dyDescent="0.3">
      <c r="A16" s="9">
        <v>43583</v>
      </c>
      <c r="B16" s="12">
        <v>18</v>
      </c>
      <c r="C16" s="11">
        <v>4.0000000000000001E-3</v>
      </c>
      <c r="D16" s="12">
        <v>18</v>
      </c>
      <c r="E16" s="11">
        <v>1E-3</v>
      </c>
      <c r="F16" s="10">
        <v>2243</v>
      </c>
      <c r="G16" s="11">
        <v>1E-3</v>
      </c>
      <c r="H16" s="11">
        <v>7.1999999999999995E-2</v>
      </c>
      <c r="I16" s="10">
        <v>1298800</v>
      </c>
      <c r="J16" s="12" t="s">
        <v>6844</v>
      </c>
      <c r="K16" s="12">
        <v>161</v>
      </c>
      <c r="L16" s="12" t="s">
        <v>6845</v>
      </c>
      <c r="M16" s="10">
        <v>457069262</v>
      </c>
      <c r="N16" s="10">
        <v>54449</v>
      </c>
      <c r="O16" s="12">
        <v>37</v>
      </c>
    </row>
    <row r="17" spans="1:15" ht="15" customHeight="1" x14ac:dyDescent="0.3">
      <c r="A17" s="9">
        <v>43584</v>
      </c>
      <c r="B17" s="12">
        <v>10</v>
      </c>
      <c r="C17" s="11">
        <v>2E-3</v>
      </c>
      <c r="D17" s="12">
        <v>10</v>
      </c>
      <c r="E17" s="11">
        <v>1E-3</v>
      </c>
      <c r="F17" s="12">
        <v>757</v>
      </c>
      <c r="G17" s="11">
        <v>0</v>
      </c>
      <c r="H17" s="11">
        <v>6.2E-2</v>
      </c>
      <c r="I17" s="10">
        <v>350000</v>
      </c>
      <c r="J17" s="12" t="s">
        <v>6846</v>
      </c>
      <c r="K17" s="12">
        <v>47</v>
      </c>
      <c r="L17" s="12" t="s">
        <v>6847</v>
      </c>
      <c r="M17" s="10">
        <v>457419262</v>
      </c>
      <c r="N17" s="10">
        <v>54496</v>
      </c>
      <c r="O17" s="12">
        <v>62</v>
      </c>
    </row>
    <row r="18" spans="1:15" ht="15" customHeight="1" x14ac:dyDescent="0.3">
      <c r="A18" s="9">
        <v>43585</v>
      </c>
      <c r="B18" s="12">
        <v>29</v>
      </c>
      <c r="C18" s="11">
        <v>6.0000000000000001E-3</v>
      </c>
      <c r="D18" s="12">
        <v>30</v>
      </c>
      <c r="E18" s="11">
        <v>2E-3</v>
      </c>
      <c r="F18" s="10">
        <v>2641</v>
      </c>
      <c r="G18" s="11">
        <v>1E-3</v>
      </c>
      <c r="H18" s="11">
        <v>0.14499999999999999</v>
      </c>
      <c r="I18" s="10">
        <v>2394000</v>
      </c>
      <c r="J18" s="12" t="s">
        <v>6848</v>
      </c>
      <c r="K18" s="12">
        <v>382</v>
      </c>
      <c r="L18" s="12" t="s">
        <v>6849</v>
      </c>
      <c r="M18" s="10">
        <v>459813262</v>
      </c>
      <c r="N18" s="10">
        <v>54878</v>
      </c>
      <c r="O18" s="12">
        <v>24</v>
      </c>
    </row>
    <row r="19" spans="1:15" ht="15" customHeight="1" x14ac:dyDescent="0.3">
      <c r="A19" s="9">
        <v>43586</v>
      </c>
      <c r="B19" s="12">
        <v>8</v>
      </c>
      <c r="C19" s="11">
        <v>2E-3</v>
      </c>
      <c r="D19" s="12">
        <v>8</v>
      </c>
      <c r="E19" s="11">
        <v>0</v>
      </c>
      <c r="F19" s="10">
        <v>1085</v>
      </c>
      <c r="G19" s="11">
        <v>0</v>
      </c>
      <c r="H19" s="11">
        <v>4.5999999999999999E-2</v>
      </c>
      <c r="I19" s="10">
        <v>359000</v>
      </c>
      <c r="J19" s="12" t="s">
        <v>6850</v>
      </c>
      <c r="K19" s="12">
        <v>50</v>
      </c>
      <c r="L19" s="12" t="s">
        <v>6851</v>
      </c>
      <c r="M19" s="10">
        <v>460172262</v>
      </c>
      <c r="N19" s="10">
        <v>54928</v>
      </c>
      <c r="O19" s="12">
        <v>60</v>
      </c>
    </row>
    <row r="20" spans="1:15" ht="15" customHeight="1" x14ac:dyDescent="0.3">
      <c r="A20" s="9">
        <v>43587</v>
      </c>
      <c r="B20" s="12">
        <v>7</v>
      </c>
      <c r="C20" s="11">
        <v>1E-3</v>
      </c>
      <c r="D20" s="12">
        <v>7</v>
      </c>
      <c r="E20" s="11">
        <v>0</v>
      </c>
      <c r="F20" s="12">
        <v>883</v>
      </c>
      <c r="G20" s="11">
        <v>0</v>
      </c>
      <c r="H20" s="11">
        <v>6.7000000000000004E-2</v>
      </c>
      <c r="I20" s="10">
        <v>414000</v>
      </c>
      <c r="J20" s="12" t="s">
        <v>6852</v>
      </c>
      <c r="K20" s="12">
        <v>59</v>
      </c>
      <c r="L20" s="12" t="s">
        <v>694</v>
      </c>
      <c r="M20" s="10">
        <v>460586262</v>
      </c>
      <c r="N20" s="10">
        <v>54987</v>
      </c>
      <c r="O20" s="12">
        <v>52</v>
      </c>
    </row>
    <row r="21" spans="1:15" ht="15" customHeight="1" x14ac:dyDescent="0.3">
      <c r="A21" s="9">
        <v>43588</v>
      </c>
      <c r="B21" s="12">
        <v>5</v>
      </c>
      <c r="C21" s="11">
        <v>1E-3</v>
      </c>
      <c r="D21" s="12">
        <v>5</v>
      </c>
      <c r="E21" s="11">
        <v>0</v>
      </c>
      <c r="F21" s="12">
        <v>784</v>
      </c>
      <c r="G21" s="11">
        <v>0</v>
      </c>
      <c r="H21" s="11">
        <v>3.7999999999999999E-2</v>
      </c>
      <c r="I21" s="10">
        <v>240000</v>
      </c>
      <c r="J21" s="12" t="s">
        <v>6853</v>
      </c>
      <c r="K21" s="12">
        <v>30</v>
      </c>
      <c r="L21" s="12" t="s">
        <v>6854</v>
      </c>
      <c r="M21" s="10">
        <v>460826262</v>
      </c>
      <c r="N21" s="10">
        <v>55017</v>
      </c>
      <c r="O21" s="12">
        <v>62</v>
      </c>
    </row>
    <row r="22" spans="1:15" ht="15" customHeight="1" x14ac:dyDescent="0.3">
      <c r="A22" s="9">
        <v>43589</v>
      </c>
      <c r="B22" s="12">
        <v>6</v>
      </c>
      <c r="C22" s="11">
        <v>1E-3</v>
      </c>
      <c r="D22" s="12">
        <v>6</v>
      </c>
      <c r="E22" s="11">
        <v>0</v>
      </c>
      <c r="F22" s="12">
        <v>849</v>
      </c>
      <c r="G22" s="11">
        <v>0</v>
      </c>
      <c r="H22" s="11">
        <v>0.04</v>
      </c>
      <c r="I22" s="10">
        <v>262000</v>
      </c>
      <c r="J22" s="12" t="s">
        <v>6855</v>
      </c>
      <c r="K22" s="12">
        <v>34</v>
      </c>
      <c r="L22" s="12" t="s">
        <v>6856</v>
      </c>
      <c r="M22" s="10">
        <v>461088262</v>
      </c>
      <c r="N22" s="10">
        <v>55051</v>
      </c>
      <c r="O22" s="12">
        <v>57</v>
      </c>
    </row>
    <row r="23" spans="1:15" ht="15" customHeight="1" x14ac:dyDescent="0.3">
      <c r="A23" s="9">
        <v>43590</v>
      </c>
      <c r="B23" s="12">
        <v>5</v>
      </c>
      <c r="C23" s="11">
        <v>1E-3</v>
      </c>
      <c r="D23" s="12">
        <v>5</v>
      </c>
      <c r="E23" s="11">
        <v>0</v>
      </c>
      <c r="F23" s="12">
        <v>784</v>
      </c>
      <c r="G23" s="11">
        <v>0</v>
      </c>
      <c r="H23" s="11">
        <v>4.1000000000000002E-2</v>
      </c>
      <c r="I23" s="10">
        <v>250000</v>
      </c>
      <c r="J23" s="12" t="s">
        <v>6857</v>
      </c>
      <c r="K23" s="12">
        <v>32</v>
      </c>
      <c r="L23" s="12" t="s">
        <v>6858</v>
      </c>
      <c r="M23" s="10">
        <v>461338262</v>
      </c>
      <c r="N23" s="10">
        <v>55083</v>
      </c>
      <c r="O23" s="12">
        <v>54</v>
      </c>
    </row>
    <row r="24" spans="1:15" ht="15" customHeight="1" x14ac:dyDescent="0.3">
      <c r="A24" s="9">
        <v>43591</v>
      </c>
      <c r="B24" s="12">
        <v>5</v>
      </c>
      <c r="C24" s="11">
        <v>1E-3</v>
      </c>
      <c r="D24" s="12">
        <v>5</v>
      </c>
      <c r="E24" s="11">
        <v>0</v>
      </c>
      <c r="F24" s="12">
        <v>784</v>
      </c>
      <c r="G24" s="11">
        <v>0</v>
      </c>
      <c r="H24" s="11">
        <v>3.7999999999999999E-2</v>
      </c>
      <c r="I24" s="10">
        <v>240000</v>
      </c>
      <c r="J24" s="12" t="s">
        <v>6859</v>
      </c>
      <c r="K24" s="12">
        <v>30</v>
      </c>
      <c r="L24" s="12" t="s">
        <v>6860</v>
      </c>
      <c r="M24" s="10">
        <v>461578262</v>
      </c>
      <c r="N24" s="10">
        <v>55113</v>
      </c>
      <c r="O24" s="12">
        <v>60</v>
      </c>
    </row>
    <row r="25" spans="1:15" ht="15" customHeight="1" x14ac:dyDescent="0.3">
      <c r="A25" s="9">
        <v>43592</v>
      </c>
      <c r="B25" s="12">
        <v>6</v>
      </c>
      <c r="C25" s="11">
        <v>1E-3</v>
      </c>
      <c r="D25" s="12">
        <v>6</v>
      </c>
      <c r="E25" s="11">
        <v>0</v>
      </c>
      <c r="F25" s="12">
        <v>818</v>
      </c>
      <c r="G25" s="11">
        <v>0</v>
      </c>
      <c r="H25" s="11">
        <v>6.7000000000000004E-2</v>
      </c>
      <c r="I25" s="10">
        <v>388000</v>
      </c>
      <c r="J25" s="12" t="s">
        <v>6861</v>
      </c>
      <c r="K25" s="12">
        <v>55</v>
      </c>
      <c r="L25" s="12" t="s">
        <v>6862</v>
      </c>
      <c r="M25" s="10">
        <v>461966262</v>
      </c>
      <c r="N25" s="10">
        <v>55168</v>
      </c>
      <c r="O25" s="12">
        <v>51</v>
      </c>
    </row>
    <row r="26" spans="1:15" ht="15" customHeight="1" x14ac:dyDescent="0.3">
      <c r="A26" s="9">
        <v>43593</v>
      </c>
      <c r="B26" s="12">
        <v>7</v>
      </c>
      <c r="C26" s="11">
        <v>2E-3</v>
      </c>
      <c r="D26" s="12">
        <v>7</v>
      </c>
      <c r="E26" s="11">
        <v>0</v>
      </c>
      <c r="F26" s="12">
        <v>883</v>
      </c>
      <c r="G26" s="11">
        <v>0</v>
      </c>
      <c r="H26" s="11">
        <v>4.4999999999999998E-2</v>
      </c>
      <c r="I26" s="10">
        <v>306000</v>
      </c>
      <c r="J26" s="12" t="s">
        <v>6863</v>
      </c>
      <c r="K26" s="12">
        <v>40</v>
      </c>
      <c r="L26" s="12" t="s">
        <v>6864</v>
      </c>
      <c r="M26" s="10">
        <v>462272262</v>
      </c>
      <c r="N26" s="10">
        <v>55208</v>
      </c>
      <c r="O26" s="12">
        <v>62</v>
      </c>
    </row>
    <row r="27" spans="1:15" ht="15" customHeight="1" x14ac:dyDescent="0.3">
      <c r="A27" s="9">
        <v>43594</v>
      </c>
      <c r="B27" s="12">
        <v>5</v>
      </c>
      <c r="C27" s="11">
        <v>1E-3</v>
      </c>
      <c r="D27" s="12">
        <v>5</v>
      </c>
      <c r="E27" s="11">
        <v>0</v>
      </c>
      <c r="F27" s="12">
        <v>784</v>
      </c>
      <c r="G27" s="11">
        <v>0</v>
      </c>
      <c r="H27" s="11">
        <v>4.1000000000000002E-2</v>
      </c>
      <c r="I27" s="10">
        <v>250000</v>
      </c>
      <c r="J27" s="12" t="s">
        <v>6865</v>
      </c>
      <c r="K27" s="12">
        <v>32</v>
      </c>
      <c r="L27" s="12" t="s">
        <v>6866</v>
      </c>
      <c r="M27" s="10">
        <v>462522262</v>
      </c>
      <c r="N27" s="10">
        <v>55240</v>
      </c>
      <c r="O27" s="12">
        <v>60</v>
      </c>
    </row>
    <row r="28" spans="1:15" ht="15" customHeight="1" x14ac:dyDescent="0.3">
      <c r="A28" s="9">
        <v>43595</v>
      </c>
      <c r="B28" s="12">
        <v>5</v>
      </c>
      <c r="C28" s="11">
        <v>1E-3</v>
      </c>
      <c r="D28" s="12">
        <v>5</v>
      </c>
      <c r="E28" s="11">
        <v>0</v>
      </c>
      <c r="F28" s="12">
        <v>784</v>
      </c>
      <c r="G28" s="11">
        <v>0</v>
      </c>
      <c r="H28" s="11">
        <v>4.1000000000000002E-2</v>
      </c>
      <c r="I28" s="10">
        <v>250000</v>
      </c>
      <c r="J28" s="12" t="s">
        <v>292</v>
      </c>
      <c r="K28" s="12">
        <v>32</v>
      </c>
      <c r="L28" s="12" t="s">
        <v>292</v>
      </c>
      <c r="M28" s="10">
        <v>462772262</v>
      </c>
      <c r="N28" s="10">
        <v>55272</v>
      </c>
      <c r="O28" s="12">
        <v>59</v>
      </c>
    </row>
    <row r="29" spans="1:15" ht="15" customHeight="1" x14ac:dyDescent="0.3">
      <c r="A29" s="9">
        <v>43596</v>
      </c>
      <c r="B29" s="12">
        <v>5</v>
      </c>
      <c r="C29" s="11">
        <v>1E-3</v>
      </c>
      <c r="D29" s="12">
        <v>5</v>
      </c>
      <c r="E29" s="11">
        <v>0</v>
      </c>
      <c r="F29" s="12">
        <v>784</v>
      </c>
      <c r="G29" s="11">
        <v>0</v>
      </c>
      <c r="H29" s="11">
        <v>4.2999999999999997E-2</v>
      </c>
      <c r="I29" s="10">
        <v>260000</v>
      </c>
      <c r="J29" s="12" t="s">
        <v>6867</v>
      </c>
      <c r="K29" s="12">
        <v>34</v>
      </c>
      <c r="L29" s="12" t="s">
        <v>6868</v>
      </c>
      <c r="M29" s="10">
        <v>463032262</v>
      </c>
      <c r="N29" s="10">
        <v>55306</v>
      </c>
      <c r="O29" s="12">
        <v>63</v>
      </c>
    </row>
    <row r="30" spans="1:15" ht="15" customHeight="1" x14ac:dyDescent="0.3">
      <c r="A30" s="9">
        <v>43597</v>
      </c>
      <c r="B30" s="12">
        <v>5</v>
      </c>
      <c r="C30" s="11">
        <v>1E-3</v>
      </c>
      <c r="D30" s="12">
        <v>5</v>
      </c>
      <c r="E30" s="11">
        <v>0</v>
      </c>
      <c r="F30" s="12">
        <v>784</v>
      </c>
      <c r="G30" s="11">
        <v>0</v>
      </c>
      <c r="H30" s="11">
        <v>4.2999999999999997E-2</v>
      </c>
      <c r="I30" s="10">
        <v>260000</v>
      </c>
      <c r="J30" s="12" t="s">
        <v>292</v>
      </c>
      <c r="K30" s="12">
        <v>34</v>
      </c>
      <c r="L30" s="12" t="s">
        <v>292</v>
      </c>
      <c r="M30" s="10">
        <v>463292262</v>
      </c>
      <c r="N30" s="10">
        <v>55340</v>
      </c>
      <c r="O30" s="12">
        <v>55</v>
      </c>
    </row>
    <row r="31" spans="1:15" ht="15" customHeight="1" x14ac:dyDescent="0.3">
      <c r="A31" s="9">
        <v>43598</v>
      </c>
      <c r="B31" s="12">
        <v>5</v>
      </c>
      <c r="C31" s="11">
        <v>1E-3</v>
      </c>
      <c r="D31" s="12">
        <v>5</v>
      </c>
      <c r="E31" s="11">
        <v>0</v>
      </c>
      <c r="F31" s="12">
        <v>784</v>
      </c>
      <c r="G31" s="11">
        <v>0</v>
      </c>
      <c r="H31" s="11">
        <v>3.3000000000000002E-2</v>
      </c>
      <c r="I31" s="10">
        <v>220000</v>
      </c>
      <c r="J31" s="12" t="s">
        <v>6869</v>
      </c>
      <c r="K31" s="12">
        <v>26</v>
      </c>
      <c r="L31" s="12" t="s">
        <v>6870</v>
      </c>
      <c r="M31" s="10">
        <v>463512262</v>
      </c>
      <c r="N31" s="10">
        <v>55366</v>
      </c>
      <c r="O31" s="12">
        <v>56</v>
      </c>
    </row>
    <row r="32" spans="1:15" ht="15" customHeight="1" x14ac:dyDescent="0.3"/>
    <row r="33" ht="15" customHeight="1" x14ac:dyDescent="0.3"/>
    <row r="34" ht="15" customHeight="1" x14ac:dyDescent="0.3"/>
    <row r="3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0776D-558D-47F2-A68B-48F10D734F53}">
  <dimension ref="A1:O76"/>
  <sheetViews>
    <sheetView showGridLines="0" workbookViewId="0">
      <selection activeCell="A5" sqref="A5:O19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21.2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6871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43586</v>
      </c>
      <c r="B5" s="12">
        <v>734</v>
      </c>
      <c r="C5" s="11">
        <v>0.14199999999999999</v>
      </c>
      <c r="D5" s="10">
        <v>3019</v>
      </c>
      <c r="E5" s="11">
        <v>0.17799999999999999</v>
      </c>
      <c r="F5" s="10">
        <v>375483</v>
      </c>
      <c r="G5" s="11">
        <v>0.14599999999999999</v>
      </c>
      <c r="H5" s="11">
        <v>0.35399999999999998</v>
      </c>
      <c r="I5" s="10">
        <v>1031612550</v>
      </c>
      <c r="J5" s="12" t="s">
        <v>6872</v>
      </c>
      <c r="K5" s="10">
        <v>133028</v>
      </c>
      <c r="L5" s="12" t="s">
        <v>6873</v>
      </c>
      <c r="M5" s="10">
        <v>1278181050</v>
      </c>
      <c r="N5" s="10">
        <v>169371</v>
      </c>
      <c r="O5" s="12">
        <v>2</v>
      </c>
    </row>
    <row r="6" spans="1:15" ht="15" customHeight="1" x14ac:dyDescent="0.3">
      <c r="A6" s="9">
        <v>43587</v>
      </c>
      <c r="B6" s="12">
        <v>770</v>
      </c>
      <c r="C6" s="11">
        <v>0.159</v>
      </c>
      <c r="D6" s="10">
        <v>3147</v>
      </c>
      <c r="E6" s="11">
        <v>0.19700000000000001</v>
      </c>
      <c r="F6" s="10">
        <v>388326</v>
      </c>
      <c r="G6" s="11">
        <v>0.159</v>
      </c>
      <c r="H6" s="11">
        <v>0.186</v>
      </c>
      <c r="I6" s="10">
        <v>564562100</v>
      </c>
      <c r="J6" s="12" t="s">
        <v>6874</v>
      </c>
      <c r="K6" s="10">
        <v>72339</v>
      </c>
      <c r="L6" s="12" t="s">
        <v>6875</v>
      </c>
      <c r="M6" s="10">
        <v>1842743150</v>
      </c>
      <c r="N6" s="10">
        <v>241710</v>
      </c>
      <c r="O6" s="12">
        <v>2</v>
      </c>
    </row>
    <row r="7" spans="1:15" ht="15" customHeight="1" x14ac:dyDescent="0.3">
      <c r="A7" s="9">
        <v>43588</v>
      </c>
      <c r="B7" s="12">
        <v>784</v>
      </c>
      <c r="C7" s="11">
        <v>0.16</v>
      </c>
      <c r="D7" s="10">
        <v>3129</v>
      </c>
      <c r="E7" s="11">
        <v>0.191</v>
      </c>
      <c r="F7" s="10">
        <v>384477</v>
      </c>
      <c r="G7" s="11">
        <v>0.153</v>
      </c>
      <c r="H7" s="11">
        <v>0.254</v>
      </c>
      <c r="I7" s="10">
        <v>822674110</v>
      </c>
      <c r="J7" s="12" t="s">
        <v>6876</v>
      </c>
      <c r="K7" s="10">
        <v>97692</v>
      </c>
      <c r="L7" s="12" t="s">
        <v>6877</v>
      </c>
      <c r="M7" s="10">
        <v>2665417260</v>
      </c>
      <c r="N7" s="10">
        <v>339402</v>
      </c>
      <c r="O7" s="12">
        <v>2</v>
      </c>
    </row>
    <row r="8" spans="1:15" ht="15" customHeight="1" x14ac:dyDescent="0.3">
      <c r="A8" s="9">
        <v>43589</v>
      </c>
      <c r="B8" s="12">
        <v>745</v>
      </c>
      <c r="C8" s="11">
        <v>0.13200000000000001</v>
      </c>
      <c r="D8" s="10">
        <v>2746</v>
      </c>
      <c r="E8" s="11">
        <v>0.153</v>
      </c>
      <c r="F8" s="10">
        <v>336746</v>
      </c>
      <c r="G8" s="11">
        <v>0.124</v>
      </c>
      <c r="H8" s="11">
        <v>0.436</v>
      </c>
      <c r="I8" s="10">
        <v>1257268950</v>
      </c>
      <c r="J8" s="12" t="s">
        <v>6878</v>
      </c>
      <c r="K8" s="10">
        <v>146784</v>
      </c>
      <c r="L8" s="12" t="s">
        <v>6879</v>
      </c>
      <c r="M8" s="10">
        <v>3922686210</v>
      </c>
      <c r="N8" s="10">
        <v>486186</v>
      </c>
      <c r="O8" s="12">
        <v>2</v>
      </c>
    </row>
    <row r="9" spans="1:15" ht="15" customHeight="1" x14ac:dyDescent="0.3">
      <c r="A9" s="9">
        <v>43590</v>
      </c>
      <c r="B9" s="12">
        <v>785</v>
      </c>
      <c r="C9" s="11">
        <v>0.13700000000000001</v>
      </c>
      <c r="D9" s="10">
        <v>2842</v>
      </c>
      <c r="E9" s="11">
        <v>0.157</v>
      </c>
      <c r="F9" s="10">
        <v>348819</v>
      </c>
      <c r="G9" s="11">
        <v>0.128</v>
      </c>
      <c r="H9" s="11">
        <v>0.501</v>
      </c>
      <c r="I9" s="10">
        <v>1505051040</v>
      </c>
      <c r="J9" s="12" t="s">
        <v>6880</v>
      </c>
      <c r="K9" s="10">
        <v>174663</v>
      </c>
      <c r="L9" s="12" t="s">
        <v>6881</v>
      </c>
      <c r="M9" s="10">
        <v>5427737250</v>
      </c>
      <c r="N9" s="10">
        <v>660849</v>
      </c>
      <c r="O9" s="12">
        <v>2</v>
      </c>
    </row>
    <row r="10" spans="1:15" ht="15" customHeight="1" x14ac:dyDescent="0.3">
      <c r="A10" s="9">
        <v>43591</v>
      </c>
      <c r="B10" s="12">
        <v>811</v>
      </c>
      <c r="C10" s="11">
        <v>0.14599999999999999</v>
      </c>
      <c r="D10" s="10">
        <v>3060</v>
      </c>
      <c r="E10" s="11">
        <v>0.17699999999999999</v>
      </c>
      <c r="F10" s="10">
        <v>379555</v>
      </c>
      <c r="G10" s="11">
        <v>0.14499999999999999</v>
      </c>
      <c r="H10" s="11">
        <v>0.46899999999999997</v>
      </c>
      <c r="I10" s="10">
        <v>1503659450</v>
      </c>
      <c r="J10" s="12" t="s">
        <v>6882</v>
      </c>
      <c r="K10" s="10">
        <v>177830</v>
      </c>
      <c r="L10" s="12" t="s">
        <v>6883</v>
      </c>
      <c r="M10" s="10">
        <v>6931396700</v>
      </c>
      <c r="N10" s="10">
        <v>838679</v>
      </c>
      <c r="O10" s="12">
        <v>2</v>
      </c>
    </row>
    <row r="11" spans="1:15" ht="15" customHeight="1" x14ac:dyDescent="0.3">
      <c r="A11" s="9">
        <v>43592</v>
      </c>
      <c r="B11" s="12">
        <v>936</v>
      </c>
      <c r="C11" s="11">
        <v>0.193</v>
      </c>
      <c r="D11" s="10">
        <v>3697</v>
      </c>
      <c r="E11" s="11">
        <v>0.24399999999999999</v>
      </c>
      <c r="F11" s="10">
        <v>469612</v>
      </c>
      <c r="G11" s="11">
        <v>0.20200000000000001</v>
      </c>
      <c r="H11" s="11">
        <v>0.16900000000000001</v>
      </c>
      <c r="I11" s="10">
        <v>581629660</v>
      </c>
      <c r="J11" s="12" t="s">
        <v>6884</v>
      </c>
      <c r="K11" s="10">
        <v>79340</v>
      </c>
      <c r="L11" s="12" t="s">
        <v>6885</v>
      </c>
      <c r="M11" s="10">
        <v>7513026360</v>
      </c>
      <c r="N11" s="10">
        <v>918019</v>
      </c>
      <c r="O11" s="12">
        <v>2</v>
      </c>
    </row>
    <row r="12" spans="1:15" ht="15" customHeight="1" x14ac:dyDescent="0.3">
      <c r="A12" s="9">
        <v>43593</v>
      </c>
      <c r="B12" s="12">
        <v>855</v>
      </c>
      <c r="C12" s="11">
        <v>0.188</v>
      </c>
      <c r="D12" s="10">
        <v>3582</v>
      </c>
      <c r="E12" s="11">
        <v>0.24099999999999999</v>
      </c>
      <c r="F12" s="10">
        <v>453032</v>
      </c>
      <c r="G12" s="11">
        <v>0.19800000000000001</v>
      </c>
      <c r="H12" s="11">
        <v>0.129</v>
      </c>
      <c r="I12" s="10">
        <v>460295900</v>
      </c>
      <c r="J12" s="12" t="s">
        <v>6886</v>
      </c>
      <c r="K12" s="10">
        <v>58566</v>
      </c>
      <c r="L12" s="12" t="s">
        <v>6887</v>
      </c>
      <c r="M12" s="10">
        <v>7973322260</v>
      </c>
      <c r="N12" s="10">
        <v>976585</v>
      </c>
      <c r="O12" s="12">
        <v>2</v>
      </c>
    </row>
    <row r="13" spans="1:15" ht="15" customHeight="1" x14ac:dyDescent="0.3">
      <c r="A13" s="9">
        <v>43594</v>
      </c>
      <c r="B13" s="12">
        <v>714</v>
      </c>
      <c r="C13" s="11">
        <v>0.14000000000000001</v>
      </c>
      <c r="D13" s="10">
        <v>2513</v>
      </c>
      <c r="E13" s="11">
        <v>0.151</v>
      </c>
      <c r="F13" s="10">
        <v>325880</v>
      </c>
      <c r="G13" s="11">
        <v>0.129</v>
      </c>
      <c r="H13" s="11">
        <v>0.125</v>
      </c>
      <c r="I13" s="10">
        <v>324065930</v>
      </c>
      <c r="J13" s="12" t="s">
        <v>6888</v>
      </c>
      <c r="K13" s="10">
        <v>40725</v>
      </c>
      <c r="L13" s="12" t="s">
        <v>6889</v>
      </c>
      <c r="M13" s="10">
        <v>8297388190</v>
      </c>
      <c r="N13" s="10">
        <v>1017310</v>
      </c>
      <c r="O13" s="12">
        <v>3</v>
      </c>
    </row>
    <row r="14" spans="1:15" ht="15" customHeight="1" x14ac:dyDescent="0.3">
      <c r="A14" s="9">
        <v>43595</v>
      </c>
      <c r="B14" s="12">
        <v>770</v>
      </c>
      <c r="C14" s="11">
        <v>0.14899999999999999</v>
      </c>
      <c r="D14" s="10">
        <v>2648</v>
      </c>
      <c r="E14" s="11">
        <v>0.155</v>
      </c>
      <c r="F14" s="10">
        <v>351628</v>
      </c>
      <c r="G14" s="11">
        <v>0.13500000000000001</v>
      </c>
      <c r="H14" s="11">
        <v>0.16500000000000001</v>
      </c>
      <c r="I14" s="10">
        <v>486374813</v>
      </c>
      <c r="J14" s="12" t="s">
        <v>6890</v>
      </c>
      <c r="K14" s="10">
        <v>58107</v>
      </c>
      <c r="L14" s="12" t="s">
        <v>6891</v>
      </c>
      <c r="M14" s="10">
        <v>8783763003</v>
      </c>
      <c r="N14" s="10">
        <v>1075417</v>
      </c>
      <c r="O14" s="12">
        <v>3</v>
      </c>
    </row>
    <row r="15" spans="1:15" ht="15" customHeight="1" x14ac:dyDescent="0.3">
      <c r="A15" s="9">
        <v>43596</v>
      </c>
      <c r="B15" s="12">
        <v>787</v>
      </c>
      <c r="C15" s="11">
        <v>0.13700000000000001</v>
      </c>
      <c r="D15" s="10">
        <v>2734</v>
      </c>
      <c r="E15" s="11">
        <v>0.151</v>
      </c>
      <c r="F15" s="10">
        <v>362426</v>
      </c>
      <c r="G15" s="11">
        <v>0.13200000000000001</v>
      </c>
      <c r="H15" s="11">
        <v>0.29299999999999998</v>
      </c>
      <c r="I15" s="10">
        <v>917884091</v>
      </c>
      <c r="J15" s="12" t="s">
        <v>6892</v>
      </c>
      <c r="K15" s="10">
        <v>106174</v>
      </c>
      <c r="L15" s="12" t="s">
        <v>6893</v>
      </c>
      <c r="M15" s="10">
        <v>9701647094</v>
      </c>
      <c r="N15" s="10">
        <v>1181591</v>
      </c>
      <c r="O15" s="12">
        <v>3</v>
      </c>
    </row>
    <row r="16" spans="1:15" ht="15" customHeight="1" x14ac:dyDescent="0.3">
      <c r="A16" s="9">
        <v>43597</v>
      </c>
      <c r="B16" s="12">
        <v>783</v>
      </c>
      <c r="C16" s="11">
        <v>0.13600000000000001</v>
      </c>
      <c r="D16" s="10">
        <v>2655</v>
      </c>
      <c r="E16" s="11">
        <v>0.14899999999999999</v>
      </c>
      <c r="F16" s="10">
        <v>353266</v>
      </c>
      <c r="G16" s="11">
        <v>0.13100000000000001</v>
      </c>
      <c r="H16" s="11">
        <v>0.26600000000000001</v>
      </c>
      <c r="I16" s="10">
        <v>813812630</v>
      </c>
      <c r="J16" s="12" t="s">
        <v>6894</v>
      </c>
      <c r="K16" s="10">
        <v>93812</v>
      </c>
      <c r="L16" s="12" t="s">
        <v>6895</v>
      </c>
      <c r="M16" s="10">
        <v>10515459724</v>
      </c>
      <c r="N16" s="10">
        <v>1275403</v>
      </c>
      <c r="O16" s="12">
        <v>4</v>
      </c>
    </row>
    <row r="17" spans="1:15" ht="15" customHeight="1" x14ac:dyDescent="0.3">
      <c r="A17" s="9">
        <v>43598</v>
      </c>
      <c r="B17" s="12">
        <v>689</v>
      </c>
      <c r="C17" s="11">
        <v>0.14399999999999999</v>
      </c>
      <c r="D17" s="10">
        <v>2582</v>
      </c>
      <c r="E17" s="11">
        <v>0.16</v>
      </c>
      <c r="F17" s="10">
        <v>331223</v>
      </c>
      <c r="G17" s="11">
        <v>0.13400000000000001</v>
      </c>
      <c r="H17" s="11">
        <v>8.4000000000000005E-2</v>
      </c>
      <c r="I17" s="10">
        <v>224573760</v>
      </c>
      <c r="J17" s="12" t="s">
        <v>6896</v>
      </c>
      <c r="K17" s="10">
        <v>27915</v>
      </c>
      <c r="L17" s="12" t="s">
        <v>6897</v>
      </c>
      <c r="M17" s="10">
        <v>10740033484</v>
      </c>
      <c r="N17" s="10">
        <v>1303318</v>
      </c>
      <c r="O17" s="12">
        <v>3</v>
      </c>
    </row>
    <row r="18" spans="1:15" ht="15" customHeight="1" x14ac:dyDescent="0.3">
      <c r="A18" s="9">
        <v>43599</v>
      </c>
      <c r="B18" s="12">
        <v>741</v>
      </c>
      <c r="C18" s="11">
        <v>0.14899999999999999</v>
      </c>
      <c r="D18" s="10">
        <v>2601</v>
      </c>
      <c r="E18" s="11">
        <v>0.161</v>
      </c>
      <c r="F18" s="10">
        <v>333105</v>
      </c>
      <c r="G18" s="11">
        <v>0.13500000000000001</v>
      </c>
      <c r="H18" s="11">
        <v>8.5000000000000006E-2</v>
      </c>
      <c r="I18" s="10">
        <v>219853220</v>
      </c>
      <c r="J18" s="12" t="s">
        <v>6898</v>
      </c>
      <c r="K18" s="10">
        <v>28428</v>
      </c>
      <c r="L18" s="12" t="s">
        <v>6899</v>
      </c>
      <c r="M18" s="10">
        <v>10959886704</v>
      </c>
      <c r="N18" s="10">
        <v>1331746</v>
      </c>
      <c r="O18" s="12">
        <v>3</v>
      </c>
    </row>
    <row r="19" spans="1:15" ht="15" customHeight="1" x14ac:dyDescent="0.3">
      <c r="A19" s="9">
        <v>43600</v>
      </c>
      <c r="B19" s="12">
        <v>514</v>
      </c>
      <c r="C19" s="11">
        <v>9.7000000000000003E-2</v>
      </c>
      <c r="D19" s="10">
        <v>1320</v>
      </c>
      <c r="E19" s="11">
        <v>7.4999999999999997E-2</v>
      </c>
      <c r="F19" s="10">
        <v>160917</v>
      </c>
      <c r="G19" s="11">
        <v>5.8999999999999997E-2</v>
      </c>
      <c r="H19" s="11">
        <v>0.125</v>
      </c>
      <c r="I19" s="10">
        <v>152702690</v>
      </c>
      <c r="J19" s="12" t="s">
        <v>6900</v>
      </c>
      <c r="K19" s="10">
        <v>20174</v>
      </c>
      <c r="L19" s="12" t="s">
        <v>6901</v>
      </c>
      <c r="M19" s="10">
        <v>11112589394</v>
      </c>
      <c r="N19" s="10">
        <v>1351920</v>
      </c>
      <c r="O19" s="12">
        <v>5</v>
      </c>
    </row>
    <row r="20" spans="1:15" ht="15" customHeight="1" x14ac:dyDescent="0.3">
      <c r="A20" s="9">
        <v>43601</v>
      </c>
      <c r="B20" s="12">
        <v>478</v>
      </c>
      <c r="C20" s="11">
        <v>8.4000000000000005E-2</v>
      </c>
      <c r="D20" s="10">
        <v>1061</v>
      </c>
      <c r="E20" s="11">
        <v>6.0999999999999999E-2</v>
      </c>
      <c r="F20" s="10">
        <v>130842</v>
      </c>
      <c r="G20" s="11">
        <v>4.8000000000000001E-2</v>
      </c>
      <c r="H20" s="11">
        <v>0.1</v>
      </c>
      <c r="I20" s="10">
        <v>96027590</v>
      </c>
      <c r="J20" s="12" t="s">
        <v>6902</v>
      </c>
      <c r="K20" s="10">
        <v>13062</v>
      </c>
      <c r="L20" s="12" t="s">
        <v>6903</v>
      </c>
      <c r="M20" s="10">
        <v>11208616984</v>
      </c>
      <c r="N20" s="10">
        <v>1364982</v>
      </c>
      <c r="O20" s="12">
        <v>5</v>
      </c>
    </row>
    <row r="21" spans="1:15" ht="15" customHeight="1" x14ac:dyDescent="0.3">
      <c r="A21" s="9">
        <v>43602</v>
      </c>
      <c r="B21" s="12">
        <v>478</v>
      </c>
      <c r="C21" s="11">
        <v>8.2000000000000003E-2</v>
      </c>
      <c r="D21" s="10">
        <v>1077</v>
      </c>
      <c r="E21" s="11">
        <v>5.8999999999999997E-2</v>
      </c>
      <c r="F21" s="10">
        <v>131815</v>
      </c>
      <c r="G21" s="11">
        <v>4.7E-2</v>
      </c>
      <c r="H21" s="11">
        <v>0.113</v>
      </c>
      <c r="I21" s="10">
        <v>118886340</v>
      </c>
      <c r="J21" s="12" t="s">
        <v>6904</v>
      </c>
      <c r="K21" s="10">
        <v>14961</v>
      </c>
      <c r="L21" s="12" t="s">
        <v>6905</v>
      </c>
      <c r="M21" s="10">
        <v>11327503324</v>
      </c>
      <c r="N21" s="10">
        <v>1379943</v>
      </c>
      <c r="O21" s="12">
        <v>5</v>
      </c>
    </row>
    <row r="22" spans="1:15" ht="15" customHeight="1" x14ac:dyDescent="0.3">
      <c r="A22" s="9">
        <v>43603</v>
      </c>
      <c r="B22" s="12">
        <v>496</v>
      </c>
      <c r="C22" s="11">
        <v>7.6999999999999999E-2</v>
      </c>
      <c r="D22" s="10">
        <v>1003</v>
      </c>
      <c r="E22" s="11">
        <v>5.1999999999999998E-2</v>
      </c>
      <c r="F22" s="10">
        <v>118425</v>
      </c>
      <c r="G22" s="11">
        <v>0.04</v>
      </c>
      <c r="H22" s="11">
        <v>0.22700000000000001</v>
      </c>
      <c r="I22" s="10">
        <v>222771070</v>
      </c>
      <c r="J22" s="12" t="s">
        <v>6906</v>
      </c>
      <c r="K22" s="10">
        <v>26837</v>
      </c>
      <c r="L22" s="12" t="s">
        <v>6907</v>
      </c>
      <c r="M22" s="10">
        <v>11550274394</v>
      </c>
      <c r="N22" s="10">
        <v>1406780</v>
      </c>
      <c r="O22" s="12">
        <v>6</v>
      </c>
    </row>
    <row r="23" spans="1:15" ht="15" customHeight="1" x14ac:dyDescent="0.3">
      <c r="A23" s="9">
        <v>43604</v>
      </c>
      <c r="B23" s="12">
        <v>483</v>
      </c>
      <c r="C23" s="11">
        <v>7.5999999999999998E-2</v>
      </c>
      <c r="D23" s="12">
        <v>941</v>
      </c>
      <c r="E23" s="11">
        <v>0.05</v>
      </c>
      <c r="F23" s="10">
        <v>110415</v>
      </c>
      <c r="G23" s="11">
        <v>3.7999999999999999E-2</v>
      </c>
      <c r="H23" s="11">
        <v>0.217</v>
      </c>
      <c r="I23" s="10">
        <v>200158470</v>
      </c>
      <c r="J23" s="12" t="s">
        <v>6908</v>
      </c>
      <c r="K23" s="10">
        <v>24011</v>
      </c>
      <c r="L23" s="12" t="s">
        <v>6909</v>
      </c>
      <c r="M23" s="10">
        <v>11750432864</v>
      </c>
      <c r="N23" s="10">
        <v>1430791</v>
      </c>
      <c r="O23" s="12">
        <v>6</v>
      </c>
    </row>
    <row r="24" spans="1:15" ht="15" customHeight="1" x14ac:dyDescent="0.3">
      <c r="A24" s="9">
        <v>43605</v>
      </c>
      <c r="B24" s="12">
        <v>430</v>
      </c>
      <c r="C24" s="11">
        <v>7.9000000000000001E-2</v>
      </c>
      <c r="D24" s="12">
        <v>901</v>
      </c>
      <c r="E24" s="11">
        <v>5.1999999999999998E-2</v>
      </c>
      <c r="F24" s="10">
        <v>107604</v>
      </c>
      <c r="G24" s="11">
        <v>0.04</v>
      </c>
      <c r="H24" s="11">
        <v>6.4000000000000001E-2</v>
      </c>
      <c r="I24" s="10">
        <v>52956680</v>
      </c>
      <c r="J24" s="12" t="s">
        <v>6910</v>
      </c>
      <c r="K24" s="10">
        <v>6865</v>
      </c>
      <c r="L24" s="12" t="s">
        <v>6911</v>
      </c>
      <c r="M24" s="10">
        <v>11803389544</v>
      </c>
      <c r="N24" s="10">
        <v>1437656</v>
      </c>
      <c r="O24" s="12">
        <v>5</v>
      </c>
    </row>
    <row r="25" spans="1:15" ht="15" customHeight="1" x14ac:dyDescent="0.3">
      <c r="A25" s="9">
        <v>43606</v>
      </c>
      <c r="B25" s="12">
        <v>440</v>
      </c>
      <c r="C25" s="11">
        <v>0.08</v>
      </c>
      <c r="D25" s="12">
        <v>895</v>
      </c>
      <c r="E25" s="11">
        <v>5.1999999999999998E-2</v>
      </c>
      <c r="F25" s="10">
        <v>107241</v>
      </c>
      <c r="G25" s="11">
        <v>0.04</v>
      </c>
      <c r="H25" s="11">
        <v>6.2E-2</v>
      </c>
      <c r="I25" s="10">
        <v>50975100</v>
      </c>
      <c r="J25" s="12" t="s">
        <v>6912</v>
      </c>
      <c r="K25" s="10">
        <v>6670</v>
      </c>
      <c r="L25" s="12" t="s">
        <v>6913</v>
      </c>
      <c r="M25" s="10">
        <v>11854364644</v>
      </c>
      <c r="N25" s="10">
        <v>1444326</v>
      </c>
      <c r="O25" s="12">
        <v>5</v>
      </c>
    </row>
    <row r="26" spans="1:15" ht="15" customHeight="1" x14ac:dyDescent="0.3">
      <c r="A26" s="9">
        <v>43607</v>
      </c>
      <c r="B26" s="12">
        <v>287</v>
      </c>
      <c r="C26" s="11">
        <v>5.6000000000000001E-2</v>
      </c>
      <c r="D26" s="12">
        <v>583</v>
      </c>
      <c r="E26" s="11">
        <v>3.3000000000000002E-2</v>
      </c>
      <c r="F26" s="10">
        <v>70195</v>
      </c>
      <c r="G26" s="11">
        <v>2.5000000000000001E-2</v>
      </c>
      <c r="H26" s="11">
        <v>8.3000000000000004E-2</v>
      </c>
      <c r="I26" s="10">
        <v>42687180</v>
      </c>
      <c r="J26" s="12" t="s">
        <v>6914</v>
      </c>
      <c r="K26" s="10">
        <v>5800</v>
      </c>
      <c r="L26" s="12" t="s">
        <v>6915</v>
      </c>
      <c r="M26" s="10">
        <v>11897051824</v>
      </c>
      <c r="N26" s="10">
        <v>1450126</v>
      </c>
      <c r="O26" s="12">
        <v>6</v>
      </c>
    </row>
    <row r="27" spans="1:15" ht="15" customHeight="1" x14ac:dyDescent="0.3">
      <c r="A27" s="9">
        <v>43608</v>
      </c>
      <c r="B27" s="12">
        <v>109</v>
      </c>
      <c r="C27" s="11">
        <v>1.9E-2</v>
      </c>
      <c r="D27" s="12">
        <v>148</v>
      </c>
      <c r="E27" s="11">
        <v>8.0000000000000002E-3</v>
      </c>
      <c r="F27" s="10">
        <v>16299</v>
      </c>
      <c r="G27" s="11">
        <v>6.0000000000000001E-3</v>
      </c>
      <c r="H27" s="11">
        <v>0.21299999999999999</v>
      </c>
      <c r="I27" s="10">
        <v>22096300</v>
      </c>
      <c r="J27" s="12" t="s">
        <v>6916</v>
      </c>
      <c r="K27" s="10">
        <v>3464</v>
      </c>
      <c r="L27" s="12" t="s">
        <v>6917</v>
      </c>
      <c r="M27" s="10">
        <v>11919148124</v>
      </c>
      <c r="N27" s="10">
        <v>1453590</v>
      </c>
      <c r="O27" s="12">
        <v>8</v>
      </c>
    </row>
    <row r="28" spans="1:15" ht="15" customHeight="1" x14ac:dyDescent="0.3">
      <c r="A28" s="9">
        <v>43609</v>
      </c>
      <c r="B28" s="12">
        <v>113</v>
      </c>
      <c r="C28" s="11">
        <v>1.9E-2</v>
      </c>
      <c r="D28" s="12">
        <v>164</v>
      </c>
      <c r="E28" s="11">
        <v>8.9999999999999993E-3</v>
      </c>
      <c r="F28" s="10">
        <v>16939</v>
      </c>
      <c r="G28" s="11">
        <v>6.0000000000000001E-3</v>
      </c>
      <c r="H28" s="11">
        <v>0.215</v>
      </c>
      <c r="I28" s="10">
        <v>24014800</v>
      </c>
      <c r="J28" s="12" t="s">
        <v>6918</v>
      </c>
      <c r="K28" s="10">
        <v>3642</v>
      </c>
      <c r="L28" s="12" t="s">
        <v>6919</v>
      </c>
      <c r="M28" s="10">
        <v>11943162924</v>
      </c>
      <c r="N28" s="10">
        <v>1457232</v>
      </c>
      <c r="O28" s="12">
        <v>8</v>
      </c>
    </row>
    <row r="29" spans="1:15" ht="15" customHeight="1" x14ac:dyDescent="0.3">
      <c r="A29" s="9">
        <v>43610</v>
      </c>
      <c r="B29" s="12">
        <v>93</v>
      </c>
      <c r="C29" s="11">
        <v>1.4E-2</v>
      </c>
      <c r="D29" s="12">
        <v>128</v>
      </c>
      <c r="E29" s="11">
        <v>7.0000000000000001E-3</v>
      </c>
      <c r="F29" s="10">
        <v>13277</v>
      </c>
      <c r="G29" s="11">
        <v>4.0000000000000001E-3</v>
      </c>
      <c r="H29" s="11">
        <v>0.188</v>
      </c>
      <c r="I29" s="10">
        <v>19497150</v>
      </c>
      <c r="J29" s="12" t="s">
        <v>6920</v>
      </c>
      <c r="K29" s="10">
        <v>2491</v>
      </c>
      <c r="L29" s="12" t="s">
        <v>6921</v>
      </c>
      <c r="M29" s="10">
        <v>11962660074</v>
      </c>
      <c r="N29" s="10">
        <v>1459723</v>
      </c>
      <c r="O29" s="12">
        <v>12</v>
      </c>
    </row>
    <row r="30" spans="1:15" ht="15" customHeight="1" x14ac:dyDescent="0.3">
      <c r="A30" s="9">
        <v>43611</v>
      </c>
      <c r="B30" s="12">
        <v>88</v>
      </c>
      <c r="C30" s="11">
        <v>1.2999999999999999E-2</v>
      </c>
      <c r="D30" s="12">
        <v>119</v>
      </c>
      <c r="E30" s="11">
        <v>6.0000000000000001E-3</v>
      </c>
      <c r="F30" s="10">
        <v>12587</v>
      </c>
      <c r="G30" s="11">
        <v>4.0000000000000001E-3</v>
      </c>
      <c r="H30" s="11">
        <v>0.215</v>
      </c>
      <c r="I30" s="10">
        <v>21313310</v>
      </c>
      <c r="J30" s="12" t="s">
        <v>6922</v>
      </c>
      <c r="K30" s="10">
        <v>2711</v>
      </c>
      <c r="L30" s="12" t="s">
        <v>6923</v>
      </c>
      <c r="M30" s="10">
        <v>11983973384</v>
      </c>
      <c r="N30" s="10">
        <v>1462434</v>
      </c>
      <c r="O30" s="12">
        <v>12</v>
      </c>
    </row>
    <row r="31" spans="1:15" ht="15" customHeight="1" x14ac:dyDescent="0.3">
      <c r="A31" s="9">
        <v>43612</v>
      </c>
      <c r="B31" s="12">
        <v>84</v>
      </c>
      <c r="C31" s="11">
        <v>1.4999999999999999E-2</v>
      </c>
      <c r="D31" s="12">
        <v>113</v>
      </c>
      <c r="E31" s="11">
        <v>6.0000000000000001E-3</v>
      </c>
      <c r="F31" s="10">
        <v>12112</v>
      </c>
      <c r="G31" s="11">
        <v>4.0000000000000001E-3</v>
      </c>
      <c r="H31" s="11">
        <v>8.2000000000000003E-2</v>
      </c>
      <c r="I31" s="10">
        <v>6704620</v>
      </c>
      <c r="J31" s="12" t="s">
        <v>6924</v>
      </c>
      <c r="K31" s="12">
        <v>988</v>
      </c>
      <c r="L31" s="12" t="s">
        <v>6925</v>
      </c>
      <c r="M31" s="10">
        <v>11990678004</v>
      </c>
      <c r="N31" s="10">
        <v>1463422</v>
      </c>
      <c r="O31" s="12">
        <v>12</v>
      </c>
    </row>
    <row r="32" spans="1:15" ht="15" customHeight="1" x14ac:dyDescent="0.3">
      <c r="A32" s="9">
        <v>43613</v>
      </c>
      <c r="B32" s="12">
        <v>91</v>
      </c>
      <c r="C32" s="11">
        <v>1.4999999999999999E-2</v>
      </c>
      <c r="D32" s="12">
        <v>121</v>
      </c>
      <c r="E32" s="11">
        <v>7.0000000000000001E-3</v>
      </c>
      <c r="F32" s="10">
        <v>13409</v>
      </c>
      <c r="G32" s="11">
        <v>5.0000000000000001E-3</v>
      </c>
      <c r="H32" s="11">
        <v>0.153</v>
      </c>
      <c r="I32" s="10">
        <v>11895370</v>
      </c>
      <c r="J32" s="12" t="s">
        <v>6926</v>
      </c>
      <c r="K32" s="10">
        <v>2049</v>
      </c>
      <c r="L32" s="12" t="s">
        <v>6927</v>
      </c>
      <c r="M32" s="10">
        <v>12002573374</v>
      </c>
      <c r="N32" s="10">
        <v>1465471</v>
      </c>
      <c r="O32" s="12">
        <v>11</v>
      </c>
    </row>
    <row r="33" spans="1:15" ht="15" customHeight="1" x14ac:dyDescent="0.3">
      <c r="A33" s="9">
        <v>43614</v>
      </c>
      <c r="B33" s="12">
        <v>33</v>
      </c>
      <c r="C33" s="11">
        <v>6.0000000000000001E-3</v>
      </c>
      <c r="D33" s="12">
        <v>42</v>
      </c>
      <c r="E33" s="11">
        <v>2E-3</v>
      </c>
      <c r="F33" s="10">
        <v>3976</v>
      </c>
      <c r="G33" s="11">
        <v>1E-3</v>
      </c>
      <c r="H33" s="11">
        <v>0.34599999999999997</v>
      </c>
      <c r="I33" s="10">
        <v>7758000</v>
      </c>
      <c r="J33" s="12" t="s">
        <v>6928</v>
      </c>
      <c r="K33" s="10">
        <v>1376</v>
      </c>
      <c r="L33" s="12" t="s">
        <v>6929</v>
      </c>
      <c r="M33" s="10">
        <v>12010331374</v>
      </c>
      <c r="N33" s="10">
        <v>1466847</v>
      </c>
      <c r="O33" s="12">
        <v>12</v>
      </c>
    </row>
    <row r="34" spans="1:15" ht="15" customHeight="1" x14ac:dyDescent="0.3">
      <c r="A34" s="9">
        <v>43615</v>
      </c>
      <c r="B34" s="12">
        <v>18</v>
      </c>
      <c r="C34" s="11">
        <v>3.0000000000000001E-3</v>
      </c>
      <c r="D34" s="12">
        <v>23</v>
      </c>
      <c r="E34" s="11">
        <v>1E-3</v>
      </c>
      <c r="F34" s="10">
        <v>2729</v>
      </c>
      <c r="G34" s="11">
        <v>1E-3</v>
      </c>
      <c r="H34" s="11">
        <v>0.63</v>
      </c>
      <c r="I34" s="10">
        <v>9413000</v>
      </c>
      <c r="J34" s="12" t="s">
        <v>6930</v>
      </c>
      <c r="K34" s="10">
        <v>1718</v>
      </c>
      <c r="L34" s="12" t="s">
        <v>6931</v>
      </c>
      <c r="M34" s="10">
        <v>12019744374</v>
      </c>
      <c r="N34" s="10">
        <v>1468565</v>
      </c>
      <c r="O34" s="12">
        <v>9</v>
      </c>
    </row>
    <row r="35" spans="1:15" ht="15" customHeight="1" x14ac:dyDescent="0.3">
      <c r="A35" s="9">
        <v>43616</v>
      </c>
      <c r="B35" s="12">
        <v>22</v>
      </c>
      <c r="C35" s="11">
        <v>4.0000000000000001E-3</v>
      </c>
      <c r="D35" s="12">
        <v>26</v>
      </c>
      <c r="E35" s="11">
        <v>1E-3</v>
      </c>
      <c r="F35" s="10">
        <v>3061</v>
      </c>
      <c r="G35" s="11">
        <v>1E-3</v>
      </c>
      <c r="H35" s="11">
        <v>0.50800000000000001</v>
      </c>
      <c r="I35" s="10">
        <v>9403000</v>
      </c>
      <c r="J35" s="12" t="s">
        <v>6932</v>
      </c>
      <c r="K35" s="10">
        <v>1555</v>
      </c>
      <c r="L35" s="12" t="s">
        <v>6933</v>
      </c>
      <c r="M35" s="10">
        <v>12029147374</v>
      </c>
      <c r="N35" s="10">
        <v>1470120</v>
      </c>
      <c r="O35" s="12">
        <v>11</v>
      </c>
    </row>
    <row r="36" spans="1:15" ht="15" customHeight="1" x14ac:dyDescent="0.3">
      <c r="A36" s="9">
        <v>43617</v>
      </c>
      <c r="B36" s="12">
        <v>8</v>
      </c>
      <c r="C36" s="11">
        <v>1E-3</v>
      </c>
      <c r="D36" s="12">
        <v>9</v>
      </c>
      <c r="E36" s="11">
        <v>0</v>
      </c>
      <c r="F36" s="12">
        <v>862</v>
      </c>
      <c r="G36" s="11">
        <v>0</v>
      </c>
      <c r="H36" s="11">
        <v>0.10100000000000001</v>
      </c>
      <c r="I36" s="10">
        <v>617100</v>
      </c>
      <c r="J36" s="12" t="s">
        <v>6934</v>
      </c>
      <c r="K36" s="12">
        <v>87</v>
      </c>
      <c r="L36" s="12" t="s">
        <v>6935</v>
      </c>
      <c r="M36" s="10">
        <v>12029764474</v>
      </c>
      <c r="N36" s="10">
        <v>1470207</v>
      </c>
      <c r="O36" s="12">
        <v>45</v>
      </c>
    </row>
    <row r="37" spans="1:15" ht="15" customHeight="1" x14ac:dyDescent="0.3">
      <c r="A37" s="9">
        <v>43618</v>
      </c>
      <c r="B37" s="12">
        <v>5</v>
      </c>
      <c r="C37" s="11">
        <v>1E-3</v>
      </c>
      <c r="D37" s="12">
        <v>5</v>
      </c>
      <c r="E37" s="11">
        <v>0</v>
      </c>
      <c r="F37" s="12">
        <v>587</v>
      </c>
      <c r="G37" s="11">
        <v>0</v>
      </c>
      <c r="H37" s="11">
        <v>7.8E-2</v>
      </c>
      <c r="I37" s="10">
        <v>417000</v>
      </c>
      <c r="J37" s="12" t="s">
        <v>6936</v>
      </c>
      <c r="K37" s="12">
        <v>46</v>
      </c>
      <c r="L37" s="12" t="s">
        <v>6937</v>
      </c>
      <c r="M37" s="10">
        <v>12030181474</v>
      </c>
      <c r="N37" s="10">
        <v>1470253</v>
      </c>
      <c r="O37" s="12">
        <v>52</v>
      </c>
    </row>
    <row r="38" spans="1:15" ht="15" customHeight="1" x14ac:dyDescent="0.3">
      <c r="A38" s="9">
        <v>43619</v>
      </c>
      <c r="B38" s="12">
        <v>9</v>
      </c>
      <c r="C38" s="11">
        <v>2E-3</v>
      </c>
      <c r="D38" s="12">
        <v>9</v>
      </c>
      <c r="E38" s="11">
        <v>1E-3</v>
      </c>
      <c r="F38" s="10">
        <v>1166</v>
      </c>
      <c r="G38" s="11">
        <v>0</v>
      </c>
      <c r="H38" s="11">
        <v>0.17599999999999999</v>
      </c>
      <c r="I38" s="10">
        <v>1148600</v>
      </c>
      <c r="J38" s="12" t="s">
        <v>6938</v>
      </c>
      <c r="K38" s="12">
        <v>205</v>
      </c>
      <c r="L38" s="12" t="s">
        <v>6939</v>
      </c>
      <c r="M38" s="10">
        <v>12031330074</v>
      </c>
      <c r="N38" s="10">
        <v>1470458</v>
      </c>
      <c r="O38" s="12">
        <v>25</v>
      </c>
    </row>
    <row r="39" spans="1:15" ht="15" customHeight="1" x14ac:dyDescent="0.3">
      <c r="A39" s="9">
        <v>43620</v>
      </c>
      <c r="B39" s="12">
        <v>7</v>
      </c>
      <c r="C39" s="11">
        <v>1E-3</v>
      </c>
      <c r="D39" s="12">
        <v>7</v>
      </c>
      <c r="E39" s="11">
        <v>0</v>
      </c>
      <c r="F39" s="12">
        <v>866</v>
      </c>
      <c r="G39" s="11">
        <v>0</v>
      </c>
      <c r="H39" s="11">
        <v>0.14799999999999999</v>
      </c>
      <c r="I39" s="10">
        <v>726000</v>
      </c>
      <c r="J39" s="12" t="s">
        <v>6940</v>
      </c>
      <c r="K39" s="12">
        <v>128</v>
      </c>
      <c r="L39" s="12" t="s">
        <v>6941</v>
      </c>
      <c r="M39" s="10">
        <v>12032056074</v>
      </c>
      <c r="N39" s="10">
        <v>1470586</v>
      </c>
      <c r="O39" s="12">
        <v>34</v>
      </c>
    </row>
    <row r="40" spans="1:15" ht="15" customHeight="1" x14ac:dyDescent="0.3">
      <c r="A40" s="9">
        <v>43621</v>
      </c>
      <c r="B40" s="12">
        <v>13</v>
      </c>
      <c r="C40" s="11">
        <v>2E-3</v>
      </c>
      <c r="D40" s="12">
        <v>13</v>
      </c>
      <c r="E40" s="11">
        <v>1E-3</v>
      </c>
      <c r="F40" s="10">
        <v>2293</v>
      </c>
      <c r="G40" s="11">
        <v>1E-3</v>
      </c>
      <c r="H40" s="11">
        <v>0.67700000000000005</v>
      </c>
      <c r="I40" s="10">
        <v>11720000</v>
      </c>
      <c r="J40" s="12" t="s">
        <v>6942</v>
      </c>
      <c r="K40" s="10">
        <v>1553</v>
      </c>
      <c r="L40" s="12" t="s">
        <v>6943</v>
      </c>
      <c r="M40" s="10">
        <v>12043776074</v>
      </c>
      <c r="N40" s="10">
        <v>1472139</v>
      </c>
      <c r="O40" s="12">
        <v>10</v>
      </c>
    </row>
    <row r="41" spans="1:15" ht="15" customHeight="1" x14ac:dyDescent="0.3">
      <c r="A41" s="9">
        <v>43622</v>
      </c>
      <c r="B41" s="12">
        <v>4</v>
      </c>
      <c r="C41" s="11">
        <v>1E-3</v>
      </c>
      <c r="D41" s="12">
        <v>4</v>
      </c>
      <c r="E41" s="11">
        <v>0</v>
      </c>
      <c r="F41" s="12">
        <v>502</v>
      </c>
      <c r="G41" s="11">
        <v>0</v>
      </c>
      <c r="H41" s="11">
        <v>8.0000000000000002E-3</v>
      </c>
      <c r="I41" s="10">
        <v>26000</v>
      </c>
      <c r="J41" s="12" t="s">
        <v>6944</v>
      </c>
      <c r="K41" s="12">
        <v>4</v>
      </c>
      <c r="L41" s="12" t="s">
        <v>6945</v>
      </c>
      <c r="M41" s="10">
        <v>12043802074</v>
      </c>
      <c r="N41" s="10">
        <v>1472143</v>
      </c>
      <c r="O41" s="12">
        <v>86</v>
      </c>
    </row>
    <row r="42" spans="1:15" ht="15" customHeight="1" x14ac:dyDescent="0.3">
      <c r="A42" s="9">
        <v>43623</v>
      </c>
      <c r="B42" s="12">
        <v>4</v>
      </c>
      <c r="C42" s="11">
        <v>1E-3</v>
      </c>
      <c r="D42" s="12">
        <v>4</v>
      </c>
      <c r="E42" s="11">
        <v>0</v>
      </c>
      <c r="F42" s="12">
        <v>502</v>
      </c>
      <c r="G42" s="11">
        <v>0</v>
      </c>
      <c r="H42" s="11">
        <v>8.0000000000000002E-3</v>
      </c>
      <c r="I42" s="10">
        <v>26000</v>
      </c>
      <c r="J42" s="12" t="s">
        <v>292</v>
      </c>
      <c r="K42" s="12">
        <v>4</v>
      </c>
      <c r="L42" s="12" t="s">
        <v>292</v>
      </c>
      <c r="M42" s="10">
        <v>12043828074</v>
      </c>
      <c r="N42" s="10">
        <v>1472147</v>
      </c>
      <c r="O42" s="12">
        <v>87</v>
      </c>
    </row>
    <row r="43" spans="1:15" ht="15" customHeight="1" x14ac:dyDescent="0.3">
      <c r="A43" s="9">
        <v>43624</v>
      </c>
      <c r="B43" s="12">
        <v>4</v>
      </c>
      <c r="C43" s="11">
        <v>1E-3</v>
      </c>
      <c r="D43" s="12">
        <v>4</v>
      </c>
      <c r="E43" s="11">
        <v>0</v>
      </c>
      <c r="F43" s="12">
        <v>502</v>
      </c>
      <c r="G43" s="11">
        <v>0</v>
      </c>
      <c r="H43" s="11">
        <v>8.0000000000000002E-3</v>
      </c>
      <c r="I43" s="10">
        <v>26000</v>
      </c>
      <c r="J43" s="12" t="s">
        <v>292</v>
      </c>
      <c r="K43" s="12">
        <v>4</v>
      </c>
      <c r="L43" s="12" t="s">
        <v>292</v>
      </c>
      <c r="M43" s="10">
        <v>12043854074</v>
      </c>
      <c r="N43" s="10">
        <v>1472151</v>
      </c>
      <c r="O43" s="12">
        <v>89</v>
      </c>
    </row>
    <row r="44" spans="1:15" ht="15" customHeight="1" x14ac:dyDescent="0.3">
      <c r="A44" s="9">
        <v>43625</v>
      </c>
      <c r="B44" s="12">
        <v>5</v>
      </c>
      <c r="C44" s="11">
        <v>1E-3</v>
      </c>
      <c r="D44" s="12">
        <v>5</v>
      </c>
      <c r="E44" s="11">
        <v>0</v>
      </c>
      <c r="F44" s="12">
        <v>552</v>
      </c>
      <c r="G44" s="11">
        <v>0</v>
      </c>
      <c r="H44" s="11">
        <v>9.8000000000000004E-2</v>
      </c>
      <c r="I44" s="10">
        <v>276000</v>
      </c>
      <c r="J44" s="12" t="s">
        <v>6946</v>
      </c>
      <c r="K44" s="12">
        <v>54</v>
      </c>
      <c r="L44" s="12" t="s">
        <v>6947</v>
      </c>
      <c r="M44" s="10">
        <v>12044130074</v>
      </c>
      <c r="N44" s="10">
        <v>1472205</v>
      </c>
      <c r="O44" s="12">
        <v>47</v>
      </c>
    </row>
    <row r="45" spans="1:15" ht="15" customHeight="1" x14ac:dyDescent="0.3">
      <c r="A45" s="9">
        <v>43626</v>
      </c>
      <c r="B45" s="12">
        <v>3</v>
      </c>
      <c r="C45" s="11">
        <v>1E-3</v>
      </c>
      <c r="D45" s="12">
        <v>3</v>
      </c>
      <c r="E45" s="11">
        <v>0</v>
      </c>
      <c r="F45" s="12">
        <v>432</v>
      </c>
      <c r="G45" s="11">
        <v>0</v>
      </c>
      <c r="H45" s="11">
        <v>7.0000000000000001E-3</v>
      </c>
      <c r="I45" s="10">
        <v>20000</v>
      </c>
      <c r="J45" s="12" t="s">
        <v>6948</v>
      </c>
      <c r="K45" s="12">
        <v>3</v>
      </c>
      <c r="L45" s="12" t="s">
        <v>6949</v>
      </c>
      <c r="M45" s="10">
        <v>12044150074</v>
      </c>
      <c r="N45" s="10">
        <v>1472208</v>
      </c>
      <c r="O45" s="12">
        <v>72</v>
      </c>
    </row>
    <row r="46" spans="1:15" ht="15" customHeight="1" x14ac:dyDescent="0.3">
      <c r="A46" s="9">
        <v>43627</v>
      </c>
      <c r="B46" s="12">
        <v>6</v>
      </c>
      <c r="C46" s="11">
        <v>1E-3</v>
      </c>
      <c r="D46" s="12">
        <v>7</v>
      </c>
      <c r="E46" s="11">
        <v>0</v>
      </c>
      <c r="F46" s="12">
        <v>896</v>
      </c>
      <c r="G46" s="11">
        <v>0</v>
      </c>
      <c r="H46" s="11">
        <v>0.36399999999999999</v>
      </c>
      <c r="I46" s="10">
        <v>1996000</v>
      </c>
      <c r="J46" s="12" t="s">
        <v>6950</v>
      </c>
      <c r="K46" s="12">
        <v>326</v>
      </c>
      <c r="L46" s="12" t="s">
        <v>6951</v>
      </c>
      <c r="M46" s="10">
        <v>12046146074</v>
      </c>
      <c r="N46" s="10">
        <v>1472534</v>
      </c>
      <c r="O46" s="12">
        <v>26</v>
      </c>
    </row>
    <row r="47" spans="1:15" ht="15" customHeight="1" x14ac:dyDescent="0.3">
      <c r="A47" s="9">
        <v>43628</v>
      </c>
      <c r="B47" s="12">
        <v>6</v>
      </c>
      <c r="C47" s="11">
        <v>1E-3</v>
      </c>
      <c r="D47" s="12">
        <v>6</v>
      </c>
      <c r="E47" s="11">
        <v>0</v>
      </c>
      <c r="F47" s="12">
        <v>873</v>
      </c>
      <c r="G47" s="11">
        <v>0</v>
      </c>
      <c r="H47" s="11">
        <v>0.33300000000000002</v>
      </c>
      <c r="I47" s="10">
        <v>1809000</v>
      </c>
      <c r="J47" s="12" t="s">
        <v>6952</v>
      </c>
      <c r="K47" s="12">
        <v>291</v>
      </c>
      <c r="L47" s="12" t="s">
        <v>6953</v>
      </c>
      <c r="M47" s="10">
        <v>12047955074</v>
      </c>
      <c r="N47" s="10">
        <v>1472825</v>
      </c>
      <c r="O47" s="12">
        <v>23</v>
      </c>
    </row>
    <row r="48" spans="1:15" ht="15" customHeight="1" x14ac:dyDescent="0.3">
      <c r="A48" s="9">
        <v>43629</v>
      </c>
      <c r="B48" s="12">
        <v>1</v>
      </c>
      <c r="C48" s="11">
        <v>0</v>
      </c>
      <c r="D48" s="12">
        <v>1</v>
      </c>
      <c r="E48" s="11">
        <v>0</v>
      </c>
      <c r="F48" s="12">
        <v>73</v>
      </c>
      <c r="G48" s="11">
        <v>0</v>
      </c>
      <c r="H48" s="11">
        <v>1.4E-2</v>
      </c>
      <c r="I48" s="10">
        <v>6000</v>
      </c>
      <c r="J48" s="12" t="s">
        <v>6954</v>
      </c>
      <c r="K48" s="12">
        <v>1</v>
      </c>
      <c r="L48" s="12" t="s">
        <v>6955</v>
      </c>
      <c r="M48" s="10">
        <v>12047961074</v>
      </c>
      <c r="N48" s="10">
        <v>1472826</v>
      </c>
      <c r="O48" s="12">
        <v>95</v>
      </c>
    </row>
    <row r="49" spans="1:15" ht="15" customHeight="1" x14ac:dyDescent="0.3">
      <c r="A49" s="9">
        <v>43631</v>
      </c>
      <c r="B49" s="12">
        <v>1</v>
      </c>
      <c r="C49" s="11">
        <v>0</v>
      </c>
      <c r="D49" s="12">
        <v>1</v>
      </c>
      <c r="E49" s="11">
        <v>0</v>
      </c>
      <c r="F49" s="12">
        <v>104</v>
      </c>
      <c r="G49" s="11">
        <v>0</v>
      </c>
      <c r="H49" s="11">
        <v>1.9E-2</v>
      </c>
      <c r="I49" s="10">
        <v>10000</v>
      </c>
      <c r="J49" s="12" t="s">
        <v>1407</v>
      </c>
      <c r="K49" s="12">
        <v>2</v>
      </c>
      <c r="L49" s="12" t="s">
        <v>1408</v>
      </c>
      <c r="M49" s="10">
        <v>12047971074</v>
      </c>
      <c r="N49" s="10">
        <v>1472828</v>
      </c>
      <c r="O49" s="12">
        <v>98</v>
      </c>
    </row>
    <row r="50" spans="1:15" ht="15" customHeight="1" x14ac:dyDescent="0.3">
      <c r="A50" s="9">
        <v>43634</v>
      </c>
      <c r="B50" s="12">
        <v>1</v>
      </c>
      <c r="C50" s="11">
        <v>0</v>
      </c>
      <c r="D50" s="12">
        <v>1</v>
      </c>
      <c r="E50" s="11">
        <v>0</v>
      </c>
      <c r="F50" s="12">
        <v>226</v>
      </c>
      <c r="G50" s="11">
        <v>0</v>
      </c>
      <c r="H50" s="11">
        <v>0.5</v>
      </c>
      <c r="I50" s="10">
        <v>565000</v>
      </c>
      <c r="J50" s="12" t="s">
        <v>6956</v>
      </c>
      <c r="K50" s="12">
        <v>113</v>
      </c>
      <c r="L50" s="12" t="s">
        <v>6957</v>
      </c>
      <c r="M50" s="10">
        <v>12048536074</v>
      </c>
      <c r="N50" s="10">
        <v>1472941</v>
      </c>
      <c r="O50" s="12">
        <v>41</v>
      </c>
    </row>
    <row r="51" spans="1:15" ht="15" customHeight="1" x14ac:dyDescent="0.3">
      <c r="A51" s="9">
        <v>43635</v>
      </c>
      <c r="B51" s="12">
        <v>2</v>
      </c>
      <c r="C51" s="11">
        <v>0</v>
      </c>
      <c r="D51" s="12">
        <v>2</v>
      </c>
      <c r="E51" s="11">
        <v>0</v>
      </c>
      <c r="F51" s="12">
        <v>170</v>
      </c>
      <c r="G51" s="11">
        <v>0</v>
      </c>
      <c r="H51" s="11">
        <v>0.91800000000000004</v>
      </c>
      <c r="I51" s="10">
        <v>912000</v>
      </c>
      <c r="J51" s="12" t="s">
        <v>6958</v>
      </c>
      <c r="K51" s="12">
        <v>156</v>
      </c>
      <c r="L51" s="12" t="s">
        <v>6959</v>
      </c>
      <c r="M51" s="10">
        <v>12049448074</v>
      </c>
      <c r="N51" s="10">
        <v>1473097</v>
      </c>
      <c r="O51" s="12">
        <v>34</v>
      </c>
    </row>
    <row r="52" spans="1:15" ht="15" customHeight="1" x14ac:dyDescent="0.3">
      <c r="A52" s="9">
        <v>43636</v>
      </c>
      <c r="B52" s="12">
        <v>3</v>
      </c>
      <c r="C52" s="11">
        <v>1E-3</v>
      </c>
      <c r="D52" s="12">
        <v>3</v>
      </c>
      <c r="E52" s="11">
        <v>0</v>
      </c>
      <c r="F52" s="12">
        <v>268</v>
      </c>
      <c r="G52" s="11">
        <v>0</v>
      </c>
      <c r="H52" s="11">
        <v>0.754</v>
      </c>
      <c r="I52" s="10">
        <v>1112000</v>
      </c>
      <c r="J52" s="12" t="s">
        <v>6960</v>
      </c>
      <c r="K52" s="12">
        <v>202</v>
      </c>
      <c r="L52" s="12" t="s">
        <v>6961</v>
      </c>
      <c r="M52" s="10">
        <v>12050560074</v>
      </c>
      <c r="N52" s="10">
        <v>1473299</v>
      </c>
      <c r="O52" s="12">
        <v>29</v>
      </c>
    </row>
    <row r="53" spans="1:15" ht="15" customHeight="1" x14ac:dyDescent="0.3">
      <c r="A53" s="9">
        <v>43637</v>
      </c>
      <c r="B53" s="12">
        <v>4</v>
      </c>
      <c r="C53" s="11">
        <v>1E-3</v>
      </c>
      <c r="D53" s="12">
        <v>4</v>
      </c>
      <c r="E53" s="11">
        <v>0</v>
      </c>
      <c r="F53" s="12">
        <v>362</v>
      </c>
      <c r="G53" s="11">
        <v>0</v>
      </c>
      <c r="H53" s="11">
        <v>0.73499999999999999</v>
      </c>
      <c r="I53" s="10">
        <v>2202000</v>
      </c>
      <c r="J53" s="12" t="s">
        <v>6962</v>
      </c>
      <c r="K53" s="12">
        <v>266</v>
      </c>
      <c r="L53" s="12" t="s">
        <v>6963</v>
      </c>
      <c r="M53" s="10">
        <v>12052762074</v>
      </c>
      <c r="N53" s="10">
        <v>1473565</v>
      </c>
      <c r="O53" s="12">
        <v>22</v>
      </c>
    </row>
    <row r="54" spans="1:15" ht="15" customHeight="1" x14ac:dyDescent="0.3">
      <c r="A54" s="9">
        <v>43638</v>
      </c>
      <c r="B54" s="12">
        <v>1</v>
      </c>
      <c r="C54" s="11">
        <v>0</v>
      </c>
      <c r="D54" s="12">
        <v>1</v>
      </c>
      <c r="E54" s="11">
        <v>0</v>
      </c>
      <c r="F54" s="12">
        <v>193</v>
      </c>
      <c r="G54" s="11">
        <v>0</v>
      </c>
      <c r="H54" s="11">
        <v>0.51800000000000002</v>
      </c>
      <c r="I54" s="10">
        <v>500000</v>
      </c>
      <c r="J54" s="12" t="s">
        <v>6964</v>
      </c>
      <c r="K54" s="12">
        <v>100</v>
      </c>
      <c r="L54" s="12" t="s">
        <v>6965</v>
      </c>
      <c r="M54" s="10">
        <v>12053262074</v>
      </c>
      <c r="N54" s="10">
        <v>1473665</v>
      </c>
      <c r="O54" s="12">
        <v>41</v>
      </c>
    </row>
    <row r="55" spans="1:15" ht="15" customHeight="1" x14ac:dyDescent="0.3">
      <c r="A55" s="9">
        <v>43641</v>
      </c>
      <c r="B55" s="12">
        <v>1</v>
      </c>
      <c r="C55" s="11">
        <v>0</v>
      </c>
      <c r="D55" s="12">
        <v>1</v>
      </c>
      <c r="E55" s="11">
        <v>0</v>
      </c>
      <c r="F55" s="12">
        <v>228</v>
      </c>
      <c r="G55" s="11">
        <v>0</v>
      </c>
      <c r="H55" s="11">
        <v>0.99099999999999999</v>
      </c>
      <c r="I55" s="10">
        <v>1356000</v>
      </c>
      <c r="J55" s="12" t="s">
        <v>6318</v>
      </c>
      <c r="K55" s="12">
        <v>226</v>
      </c>
      <c r="L55" s="12" t="s">
        <v>6319</v>
      </c>
      <c r="M55" s="10">
        <v>12054618074</v>
      </c>
      <c r="N55" s="10">
        <v>1473891</v>
      </c>
      <c r="O55" s="12">
        <v>30</v>
      </c>
    </row>
    <row r="56" spans="1:15" ht="15" customHeight="1" x14ac:dyDescent="0.3">
      <c r="A56" s="9">
        <v>43642</v>
      </c>
      <c r="B56" s="12">
        <v>1</v>
      </c>
      <c r="C56" s="11">
        <v>0</v>
      </c>
      <c r="D56" s="12">
        <v>1</v>
      </c>
      <c r="E56" s="11">
        <v>0</v>
      </c>
      <c r="F56" s="12">
        <v>226</v>
      </c>
      <c r="G56" s="11">
        <v>0</v>
      </c>
      <c r="H56" s="11">
        <v>0.442</v>
      </c>
      <c r="I56" s="10">
        <v>500000</v>
      </c>
      <c r="J56" s="12" t="s">
        <v>6966</v>
      </c>
      <c r="K56" s="12">
        <v>100</v>
      </c>
      <c r="L56" s="12" t="s">
        <v>6967</v>
      </c>
      <c r="M56" s="10">
        <v>12055118074</v>
      </c>
      <c r="N56" s="10">
        <v>1473991</v>
      </c>
      <c r="O56" s="12">
        <v>42</v>
      </c>
    </row>
    <row r="57" spans="1:15" ht="15" customHeight="1" x14ac:dyDescent="0.3">
      <c r="A57" s="9">
        <v>43648</v>
      </c>
      <c r="B57" s="12">
        <v>1</v>
      </c>
      <c r="C57" s="11">
        <v>0</v>
      </c>
      <c r="D57" s="12">
        <v>1</v>
      </c>
      <c r="E57" s="11">
        <v>0</v>
      </c>
      <c r="F57" s="12">
        <v>193</v>
      </c>
      <c r="G57" s="11">
        <v>0</v>
      </c>
      <c r="H57" s="11">
        <v>0.45600000000000002</v>
      </c>
      <c r="I57" s="10">
        <v>440000</v>
      </c>
      <c r="J57" s="12" t="s">
        <v>6968</v>
      </c>
      <c r="K57" s="12">
        <v>88</v>
      </c>
      <c r="L57" s="12" t="s">
        <v>6969</v>
      </c>
      <c r="M57" s="10">
        <v>12055558074</v>
      </c>
      <c r="N57" s="10">
        <v>1474079</v>
      </c>
      <c r="O57" s="12">
        <v>45</v>
      </c>
    </row>
    <row r="58" spans="1:15" ht="15" customHeight="1" x14ac:dyDescent="0.3">
      <c r="A58" s="9">
        <v>43649</v>
      </c>
      <c r="B58" s="12">
        <v>1</v>
      </c>
      <c r="C58" s="11">
        <v>0</v>
      </c>
      <c r="D58" s="12">
        <v>1</v>
      </c>
      <c r="E58" s="11">
        <v>0</v>
      </c>
      <c r="F58" s="12">
        <v>96</v>
      </c>
      <c r="G58" s="11">
        <v>0</v>
      </c>
      <c r="H58" s="11">
        <v>1</v>
      </c>
      <c r="I58" s="10">
        <v>672000</v>
      </c>
      <c r="J58" s="12" t="s">
        <v>6970</v>
      </c>
      <c r="K58" s="12">
        <v>96</v>
      </c>
      <c r="L58" s="12" t="s">
        <v>6971</v>
      </c>
      <c r="M58" s="10">
        <v>12056230074</v>
      </c>
      <c r="N58" s="10">
        <v>1474175</v>
      </c>
      <c r="O58" s="12">
        <v>41</v>
      </c>
    </row>
    <row r="59" spans="1:15" ht="15" customHeight="1" x14ac:dyDescent="0.3">
      <c r="A59" s="9">
        <v>43650</v>
      </c>
      <c r="B59" s="12">
        <v>2</v>
      </c>
      <c r="C59" s="11">
        <v>0</v>
      </c>
      <c r="D59" s="12">
        <v>2</v>
      </c>
      <c r="E59" s="11">
        <v>0</v>
      </c>
      <c r="F59" s="12">
        <v>146</v>
      </c>
      <c r="G59" s="11">
        <v>0</v>
      </c>
      <c r="H59" s="11">
        <v>0.877</v>
      </c>
      <c r="I59" s="10">
        <v>834000</v>
      </c>
      <c r="J59" s="12" t="s">
        <v>6972</v>
      </c>
      <c r="K59" s="12">
        <v>128</v>
      </c>
      <c r="L59" s="12" t="s">
        <v>6973</v>
      </c>
      <c r="M59" s="10">
        <v>12057064074</v>
      </c>
      <c r="N59" s="10">
        <v>1474303</v>
      </c>
      <c r="O59" s="12">
        <v>38</v>
      </c>
    </row>
    <row r="60" spans="1:15" ht="15" customHeight="1" x14ac:dyDescent="0.3">
      <c r="A60" s="9">
        <v>43658</v>
      </c>
      <c r="B60" s="12">
        <v>1</v>
      </c>
      <c r="C60" s="11">
        <v>0</v>
      </c>
      <c r="D60" s="12">
        <v>1</v>
      </c>
      <c r="E60" s="11">
        <v>0</v>
      </c>
      <c r="F60" s="12">
        <v>336</v>
      </c>
      <c r="G60" s="11">
        <v>0</v>
      </c>
      <c r="H60" s="11">
        <v>0.89300000000000002</v>
      </c>
      <c r="I60" s="10">
        <v>1500000</v>
      </c>
      <c r="J60" s="12" t="s">
        <v>472</v>
      </c>
      <c r="K60" s="12">
        <v>300</v>
      </c>
      <c r="L60" s="12" t="s">
        <v>3558</v>
      </c>
      <c r="M60" s="10">
        <v>12058564074</v>
      </c>
      <c r="N60" s="10">
        <v>1474603</v>
      </c>
      <c r="O60" s="12">
        <v>28</v>
      </c>
    </row>
    <row r="61" spans="1:15" ht="15" customHeight="1" x14ac:dyDescent="0.3">
      <c r="A61" s="9">
        <v>43663</v>
      </c>
      <c r="B61" s="12">
        <v>1</v>
      </c>
      <c r="C61" s="11">
        <v>0</v>
      </c>
      <c r="D61" s="12">
        <v>1</v>
      </c>
      <c r="E61" s="11">
        <v>0</v>
      </c>
      <c r="F61" s="12">
        <v>172</v>
      </c>
      <c r="G61" s="11">
        <v>0</v>
      </c>
      <c r="H61" s="11">
        <v>1</v>
      </c>
      <c r="I61" s="10">
        <v>874000</v>
      </c>
      <c r="J61" s="12" t="s">
        <v>6974</v>
      </c>
      <c r="K61" s="12">
        <v>172</v>
      </c>
      <c r="L61" s="12" t="s">
        <v>5154</v>
      </c>
      <c r="M61" s="10">
        <v>12059438074</v>
      </c>
      <c r="N61" s="10">
        <v>1474775</v>
      </c>
      <c r="O61" s="12">
        <v>35</v>
      </c>
    </row>
    <row r="62" spans="1:15" ht="15" customHeight="1" x14ac:dyDescent="0.3"/>
    <row r="63" spans="1:15" ht="15" customHeight="1" x14ac:dyDescent="0.3"/>
    <row r="64" spans="1:15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74312-9F6D-4004-8722-956198E4BF3D}">
  <dimension ref="A1:O58"/>
  <sheetViews>
    <sheetView showGridLines="0" workbookViewId="0">
      <selection activeCell="A5" sqref="A5:O8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6.375" bestFit="1" customWidth="1"/>
    <col min="7" max="8" width="9.625" bestFit="1" customWidth="1"/>
    <col min="9" max="9" width="9.25" bestFit="1" customWidth="1"/>
    <col min="10" max="10" width="18.12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6975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43551</v>
      </c>
      <c r="B5" s="12">
        <v>162</v>
      </c>
      <c r="C5" s="11">
        <v>2.5999999999999999E-2</v>
      </c>
      <c r="D5" s="12">
        <v>283</v>
      </c>
      <c r="E5" s="11">
        <v>1.6E-2</v>
      </c>
      <c r="F5" s="10">
        <v>37215</v>
      </c>
      <c r="G5" s="11">
        <v>1.2999999999999999E-2</v>
      </c>
      <c r="H5" s="11">
        <v>0.112</v>
      </c>
      <c r="I5" s="10">
        <v>26985710</v>
      </c>
      <c r="J5" s="12" t="s">
        <v>6976</v>
      </c>
      <c r="K5" s="10">
        <v>4169</v>
      </c>
      <c r="L5" s="12" t="s">
        <v>6977</v>
      </c>
      <c r="M5" s="10">
        <v>38253710</v>
      </c>
      <c r="N5" s="10">
        <v>5439</v>
      </c>
      <c r="O5" s="12">
        <v>11</v>
      </c>
    </row>
    <row r="6" spans="1:15" ht="15" customHeight="1" x14ac:dyDescent="0.3">
      <c r="A6" s="9">
        <v>43552</v>
      </c>
      <c r="B6" s="12">
        <v>167</v>
      </c>
      <c r="C6" s="11">
        <v>2.8000000000000001E-2</v>
      </c>
      <c r="D6" s="12">
        <v>282</v>
      </c>
      <c r="E6" s="11">
        <v>1.6E-2</v>
      </c>
      <c r="F6" s="10">
        <v>38011</v>
      </c>
      <c r="G6" s="11">
        <v>1.4E-2</v>
      </c>
      <c r="H6" s="11">
        <v>8.5999999999999993E-2</v>
      </c>
      <c r="I6" s="10">
        <v>25759010</v>
      </c>
      <c r="J6" s="12" t="s">
        <v>6978</v>
      </c>
      <c r="K6" s="10">
        <v>3262</v>
      </c>
      <c r="L6" s="12" t="s">
        <v>6979</v>
      </c>
      <c r="M6" s="10">
        <v>64012720</v>
      </c>
      <c r="N6" s="10">
        <v>8701</v>
      </c>
      <c r="O6" s="12">
        <v>9</v>
      </c>
    </row>
    <row r="7" spans="1:15" ht="15" customHeight="1" x14ac:dyDescent="0.3">
      <c r="A7" s="9">
        <v>43553</v>
      </c>
      <c r="B7" s="12">
        <v>169</v>
      </c>
      <c r="C7" s="11">
        <v>2.9000000000000001E-2</v>
      </c>
      <c r="D7" s="12">
        <v>286</v>
      </c>
      <c r="E7" s="11">
        <v>1.6E-2</v>
      </c>
      <c r="F7" s="10">
        <v>39425</v>
      </c>
      <c r="G7" s="11">
        <v>1.4E-2</v>
      </c>
      <c r="H7" s="11">
        <v>8.6999999999999994E-2</v>
      </c>
      <c r="I7" s="10">
        <v>30232271</v>
      </c>
      <c r="J7" s="12" t="s">
        <v>6980</v>
      </c>
      <c r="K7" s="10">
        <v>3448</v>
      </c>
      <c r="L7" s="12" t="s">
        <v>6981</v>
      </c>
      <c r="M7" s="10">
        <v>94244991</v>
      </c>
      <c r="N7" s="10">
        <v>12149</v>
      </c>
      <c r="O7" s="12">
        <v>7</v>
      </c>
    </row>
    <row r="8" spans="1:15" ht="15" customHeight="1" x14ac:dyDescent="0.3">
      <c r="A8" s="9">
        <v>43554</v>
      </c>
      <c r="B8" s="12">
        <v>157</v>
      </c>
      <c r="C8" s="11">
        <v>2.5000000000000001E-2</v>
      </c>
      <c r="D8" s="12">
        <v>250</v>
      </c>
      <c r="E8" s="11">
        <v>1.2999999999999999E-2</v>
      </c>
      <c r="F8" s="10">
        <v>32166</v>
      </c>
      <c r="G8" s="11">
        <v>1.0999999999999999E-2</v>
      </c>
      <c r="H8" s="11">
        <v>0.161</v>
      </c>
      <c r="I8" s="10">
        <v>45504160</v>
      </c>
      <c r="J8" s="12" t="s">
        <v>6982</v>
      </c>
      <c r="K8" s="10">
        <v>5164</v>
      </c>
      <c r="L8" s="12" t="s">
        <v>6983</v>
      </c>
      <c r="M8" s="10">
        <v>139749151</v>
      </c>
      <c r="N8" s="10">
        <v>17313</v>
      </c>
      <c r="O8" s="12">
        <v>8</v>
      </c>
    </row>
    <row r="9" spans="1:15" ht="15" customHeight="1" x14ac:dyDescent="0.3">
      <c r="A9" s="9">
        <v>43555</v>
      </c>
      <c r="B9" s="12">
        <v>157</v>
      </c>
      <c r="C9" s="11">
        <v>2.5000000000000001E-2</v>
      </c>
      <c r="D9" s="12">
        <v>245</v>
      </c>
      <c r="E9" s="11">
        <v>1.2999999999999999E-2</v>
      </c>
      <c r="F9" s="10">
        <v>31402</v>
      </c>
      <c r="G9" s="11">
        <v>1.0999999999999999E-2</v>
      </c>
      <c r="H9" s="11">
        <v>0.16</v>
      </c>
      <c r="I9" s="10">
        <v>44201060</v>
      </c>
      <c r="J9" s="12" t="s">
        <v>6984</v>
      </c>
      <c r="K9" s="10">
        <v>5028</v>
      </c>
      <c r="L9" s="12" t="s">
        <v>6985</v>
      </c>
      <c r="M9" s="10">
        <v>183950211</v>
      </c>
      <c r="N9" s="10">
        <v>22341</v>
      </c>
      <c r="O9" s="12">
        <v>8</v>
      </c>
    </row>
    <row r="10" spans="1:15" ht="15" customHeight="1" x14ac:dyDescent="0.3">
      <c r="A10" s="9">
        <v>43556</v>
      </c>
      <c r="B10" s="12">
        <v>161</v>
      </c>
      <c r="C10" s="11">
        <v>2.9000000000000001E-2</v>
      </c>
      <c r="D10" s="12">
        <v>271</v>
      </c>
      <c r="E10" s="11">
        <v>1.6E-2</v>
      </c>
      <c r="F10" s="10">
        <v>34747</v>
      </c>
      <c r="G10" s="11">
        <v>1.2999999999999999E-2</v>
      </c>
      <c r="H10" s="11">
        <v>8.7999999999999995E-2</v>
      </c>
      <c r="I10" s="10">
        <v>23511590</v>
      </c>
      <c r="J10" s="12" t="s">
        <v>6986</v>
      </c>
      <c r="K10" s="10">
        <v>3055</v>
      </c>
      <c r="L10" s="12" t="s">
        <v>6987</v>
      </c>
      <c r="M10" s="10">
        <v>207461801</v>
      </c>
      <c r="N10" s="10">
        <v>25396</v>
      </c>
      <c r="O10" s="12">
        <v>8</v>
      </c>
    </row>
    <row r="11" spans="1:15" ht="15" customHeight="1" x14ac:dyDescent="0.3">
      <c r="A11" s="9">
        <v>43557</v>
      </c>
      <c r="B11" s="12">
        <v>155</v>
      </c>
      <c r="C11" s="11">
        <v>2.8000000000000001E-2</v>
      </c>
      <c r="D11" s="12">
        <v>269</v>
      </c>
      <c r="E11" s="11">
        <v>1.6E-2</v>
      </c>
      <c r="F11" s="10">
        <v>34701</v>
      </c>
      <c r="G11" s="11">
        <v>1.2999999999999999E-2</v>
      </c>
      <c r="H11" s="11">
        <v>9.4E-2</v>
      </c>
      <c r="I11" s="10">
        <v>25121250</v>
      </c>
      <c r="J11" s="12" t="s">
        <v>6988</v>
      </c>
      <c r="K11" s="10">
        <v>3259</v>
      </c>
      <c r="L11" s="12" t="s">
        <v>6989</v>
      </c>
      <c r="M11" s="10">
        <v>232583051</v>
      </c>
      <c r="N11" s="10">
        <v>28655</v>
      </c>
      <c r="O11" s="12">
        <v>7</v>
      </c>
    </row>
    <row r="12" spans="1:15" ht="15" customHeight="1" x14ac:dyDescent="0.3">
      <c r="A12" s="9">
        <v>43558</v>
      </c>
      <c r="B12" s="12">
        <v>38</v>
      </c>
      <c r="C12" s="11">
        <v>7.0000000000000001E-3</v>
      </c>
      <c r="D12" s="12">
        <v>63</v>
      </c>
      <c r="E12" s="11">
        <v>4.0000000000000001E-3</v>
      </c>
      <c r="F12" s="10">
        <v>9152</v>
      </c>
      <c r="G12" s="11">
        <v>3.0000000000000001E-3</v>
      </c>
      <c r="H12" s="11">
        <v>0.11</v>
      </c>
      <c r="I12" s="10">
        <v>7733900</v>
      </c>
      <c r="J12" s="12" t="s">
        <v>6990</v>
      </c>
      <c r="K12" s="10">
        <v>1007</v>
      </c>
      <c r="L12" s="12" t="s">
        <v>6991</v>
      </c>
      <c r="M12" s="10">
        <v>240316951</v>
      </c>
      <c r="N12" s="10">
        <v>29662</v>
      </c>
      <c r="O12" s="12">
        <v>11</v>
      </c>
    </row>
    <row r="13" spans="1:15" ht="15" customHeight="1" x14ac:dyDescent="0.3">
      <c r="A13" s="9">
        <v>43559</v>
      </c>
      <c r="B13" s="12">
        <v>49</v>
      </c>
      <c r="C13" s="11">
        <v>8.9999999999999993E-3</v>
      </c>
      <c r="D13" s="12">
        <v>69</v>
      </c>
      <c r="E13" s="11">
        <v>4.0000000000000001E-3</v>
      </c>
      <c r="F13" s="10">
        <v>9804</v>
      </c>
      <c r="G13" s="11">
        <v>4.0000000000000001E-3</v>
      </c>
      <c r="H13" s="11">
        <v>0.109</v>
      </c>
      <c r="I13" s="10">
        <v>7965250</v>
      </c>
      <c r="J13" s="12" t="s">
        <v>6992</v>
      </c>
      <c r="K13" s="10">
        <v>1065</v>
      </c>
      <c r="L13" s="12" t="s">
        <v>6993</v>
      </c>
      <c r="M13" s="10">
        <v>248282201</v>
      </c>
      <c r="N13" s="10">
        <v>30727</v>
      </c>
      <c r="O13" s="12">
        <v>11</v>
      </c>
    </row>
    <row r="14" spans="1:15" ht="15" customHeight="1" x14ac:dyDescent="0.3">
      <c r="A14" s="9">
        <v>43560</v>
      </c>
      <c r="B14" s="12">
        <v>47</v>
      </c>
      <c r="C14" s="11">
        <v>8.0000000000000002E-3</v>
      </c>
      <c r="D14" s="12">
        <v>74</v>
      </c>
      <c r="E14" s="11">
        <v>4.0000000000000001E-3</v>
      </c>
      <c r="F14" s="10">
        <v>10233</v>
      </c>
      <c r="G14" s="11">
        <v>4.0000000000000001E-3</v>
      </c>
      <c r="H14" s="11">
        <v>0.11700000000000001</v>
      </c>
      <c r="I14" s="10">
        <v>10007830</v>
      </c>
      <c r="J14" s="12" t="s">
        <v>6994</v>
      </c>
      <c r="K14" s="10">
        <v>1197</v>
      </c>
      <c r="L14" s="12" t="s">
        <v>6995</v>
      </c>
      <c r="M14" s="10">
        <v>258290031</v>
      </c>
      <c r="N14" s="10">
        <v>31924</v>
      </c>
      <c r="O14" s="12">
        <v>11</v>
      </c>
    </row>
    <row r="15" spans="1:15" ht="15" customHeight="1" x14ac:dyDescent="0.3">
      <c r="A15" s="9">
        <v>43561</v>
      </c>
      <c r="B15" s="12">
        <v>45</v>
      </c>
      <c r="C15" s="11">
        <v>7.0000000000000001E-3</v>
      </c>
      <c r="D15" s="12">
        <v>74</v>
      </c>
      <c r="E15" s="11">
        <v>4.0000000000000001E-3</v>
      </c>
      <c r="F15" s="10">
        <v>9705</v>
      </c>
      <c r="G15" s="11">
        <v>3.0000000000000001E-3</v>
      </c>
      <c r="H15" s="11">
        <v>0.186</v>
      </c>
      <c r="I15" s="10">
        <v>15751880</v>
      </c>
      <c r="J15" s="12" t="s">
        <v>6996</v>
      </c>
      <c r="K15" s="10">
        <v>1809</v>
      </c>
      <c r="L15" s="12" t="s">
        <v>6997</v>
      </c>
      <c r="M15" s="10">
        <v>274041911</v>
      </c>
      <c r="N15" s="10">
        <v>33733</v>
      </c>
      <c r="O15" s="12">
        <v>10</v>
      </c>
    </row>
    <row r="16" spans="1:15" ht="15" customHeight="1" x14ac:dyDescent="0.3">
      <c r="A16" s="9">
        <v>43562</v>
      </c>
      <c r="B16" s="12">
        <v>45</v>
      </c>
      <c r="C16" s="11">
        <v>7.0000000000000001E-3</v>
      </c>
      <c r="D16" s="12">
        <v>70</v>
      </c>
      <c r="E16" s="11">
        <v>4.0000000000000001E-3</v>
      </c>
      <c r="F16" s="10">
        <v>9087</v>
      </c>
      <c r="G16" s="11">
        <v>3.0000000000000001E-3</v>
      </c>
      <c r="H16" s="11">
        <v>0.16400000000000001</v>
      </c>
      <c r="I16" s="10">
        <v>13024680</v>
      </c>
      <c r="J16" s="12" t="s">
        <v>6998</v>
      </c>
      <c r="K16" s="10">
        <v>1490</v>
      </c>
      <c r="L16" s="12" t="s">
        <v>6999</v>
      </c>
      <c r="M16" s="10">
        <v>287066591</v>
      </c>
      <c r="N16" s="10">
        <v>35223</v>
      </c>
      <c r="O16" s="12">
        <v>10</v>
      </c>
    </row>
    <row r="17" spans="1:15" ht="15" customHeight="1" x14ac:dyDescent="0.3">
      <c r="A17" s="9">
        <v>43563</v>
      </c>
      <c r="B17" s="12">
        <v>51</v>
      </c>
      <c r="C17" s="11">
        <v>8.9999999999999993E-3</v>
      </c>
      <c r="D17" s="12">
        <v>77</v>
      </c>
      <c r="E17" s="11">
        <v>5.0000000000000001E-3</v>
      </c>
      <c r="F17" s="10">
        <v>10471</v>
      </c>
      <c r="G17" s="11">
        <v>4.0000000000000001E-3</v>
      </c>
      <c r="H17" s="11">
        <v>9.8000000000000004E-2</v>
      </c>
      <c r="I17" s="10">
        <v>7695140</v>
      </c>
      <c r="J17" s="12" t="s">
        <v>7000</v>
      </c>
      <c r="K17" s="10">
        <v>1029</v>
      </c>
      <c r="L17" s="12" t="s">
        <v>7001</v>
      </c>
      <c r="M17" s="10">
        <v>294761731</v>
      </c>
      <c r="N17" s="10">
        <v>36252</v>
      </c>
      <c r="O17" s="12">
        <v>10</v>
      </c>
    </row>
    <row r="18" spans="1:15" ht="15" customHeight="1" x14ac:dyDescent="0.3">
      <c r="A18" s="9">
        <v>43564</v>
      </c>
      <c r="B18" s="12">
        <v>51</v>
      </c>
      <c r="C18" s="11">
        <v>8.9999999999999993E-3</v>
      </c>
      <c r="D18" s="12">
        <v>76</v>
      </c>
      <c r="E18" s="11">
        <v>5.0000000000000001E-3</v>
      </c>
      <c r="F18" s="10">
        <v>9943</v>
      </c>
      <c r="G18" s="11">
        <v>4.0000000000000001E-3</v>
      </c>
      <c r="H18" s="11">
        <v>9.0999999999999998E-2</v>
      </c>
      <c r="I18" s="10">
        <v>6775080</v>
      </c>
      <c r="J18" s="12" t="s">
        <v>7002</v>
      </c>
      <c r="K18" s="12">
        <v>902</v>
      </c>
      <c r="L18" s="12" t="s">
        <v>7003</v>
      </c>
      <c r="M18" s="10">
        <v>301536811</v>
      </c>
      <c r="N18" s="10">
        <v>37154</v>
      </c>
      <c r="O18" s="12">
        <v>12</v>
      </c>
    </row>
    <row r="19" spans="1:15" ht="15" customHeight="1" x14ac:dyDescent="0.3">
      <c r="A19" s="9">
        <v>43565</v>
      </c>
      <c r="B19" s="12">
        <v>67</v>
      </c>
      <c r="C19" s="11">
        <v>1.2E-2</v>
      </c>
      <c r="D19" s="12">
        <v>94</v>
      </c>
      <c r="E19" s="11">
        <v>6.0000000000000001E-3</v>
      </c>
      <c r="F19" s="10">
        <v>11590</v>
      </c>
      <c r="G19" s="11">
        <v>4.0000000000000001E-3</v>
      </c>
      <c r="H19" s="11">
        <v>0.186</v>
      </c>
      <c r="I19" s="10">
        <v>15110030</v>
      </c>
      <c r="J19" s="12" t="s">
        <v>7004</v>
      </c>
      <c r="K19" s="10">
        <v>2150</v>
      </c>
      <c r="L19" s="12" t="s">
        <v>7005</v>
      </c>
      <c r="M19" s="10">
        <v>316646841</v>
      </c>
      <c r="N19" s="10">
        <v>39304</v>
      </c>
      <c r="O19" s="12">
        <v>11</v>
      </c>
    </row>
    <row r="20" spans="1:15" ht="15" customHeight="1" x14ac:dyDescent="0.3">
      <c r="A20" s="9">
        <v>43566</v>
      </c>
      <c r="B20" s="12">
        <v>56</v>
      </c>
      <c r="C20" s="11">
        <v>8.9999999999999993E-3</v>
      </c>
      <c r="D20" s="12">
        <v>71</v>
      </c>
      <c r="E20" s="11">
        <v>4.0000000000000001E-3</v>
      </c>
      <c r="F20" s="10">
        <v>9501</v>
      </c>
      <c r="G20" s="11">
        <v>4.0000000000000001E-3</v>
      </c>
      <c r="H20" s="11">
        <v>0.222</v>
      </c>
      <c r="I20" s="10">
        <v>18245900</v>
      </c>
      <c r="J20" s="12" t="s">
        <v>7006</v>
      </c>
      <c r="K20" s="10">
        <v>2111</v>
      </c>
      <c r="L20" s="12" t="s">
        <v>7007</v>
      </c>
      <c r="M20" s="10">
        <v>334892741</v>
      </c>
      <c r="N20" s="10">
        <v>41415</v>
      </c>
      <c r="O20" s="12">
        <v>13</v>
      </c>
    </row>
    <row r="21" spans="1:15" ht="15" customHeight="1" x14ac:dyDescent="0.3">
      <c r="A21" s="9">
        <v>43567</v>
      </c>
      <c r="B21" s="12">
        <v>46</v>
      </c>
      <c r="C21" s="11">
        <v>7.0000000000000001E-3</v>
      </c>
      <c r="D21" s="12">
        <v>61</v>
      </c>
      <c r="E21" s="11">
        <v>3.0000000000000001E-3</v>
      </c>
      <c r="F21" s="10">
        <v>7207</v>
      </c>
      <c r="G21" s="11">
        <v>3.0000000000000001E-3</v>
      </c>
      <c r="H21" s="11">
        <v>0.104</v>
      </c>
      <c r="I21" s="10">
        <v>6385780</v>
      </c>
      <c r="J21" s="12" t="s">
        <v>7008</v>
      </c>
      <c r="K21" s="12">
        <v>752</v>
      </c>
      <c r="L21" s="12" t="s">
        <v>7009</v>
      </c>
      <c r="M21" s="10">
        <v>341278521</v>
      </c>
      <c r="N21" s="10">
        <v>42167</v>
      </c>
      <c r="O21" s="12">
        <v>17</v>
      </c>
    </row>
    <row r="22" spans="1:15" ht="15" customHeight="1" x14ac:dyDescent="0.3">
      <c r="A22" s="9">
        <v>43568</v>
      </c>
      <c r="B22" s="12">
        <v>44</v>
      </c>
      <c r="C22" s="11">
        <v>6.0000000000000001E-3</v>
      </c>
      <c r="D22" s="12">
        <v>65</v>
      </c>
      <c r="E22" s="11">
        <v>3.0000000000000001E-3</v>
      </c>
      <c r="F22" s="10">
        <v>7564</v>
      </c>
      <c r="G22" s="11">
        <v>3.0000000000000001E-3</v>
      </c>
      <c r="H22" s="11">
        <v>0.14799999999999999</v>
      </c>
      <c r="I22" s="10">
        <v>9489900</v>
      </c>
      <c r="J22" s="12" t="s">
        <v>7010</v>
      </c>
      <c r="K22" s="10">
        <v>1119</v>
      </c>
      <c r="L22" s="12" t="s">
        <v>7011</v>
      </c>
      <c r="M22" s="10">
        <v>350768421</v>
      </c>
      <c r="N22" s="10">
        <v>43286</v>
      </c>
      <c r="O22" s="12">
        <v>16</v>
      </c>
    </row>
    <row r="23" spans="1:15" ht="15" customHeight="1" x14ac:dyDescent="0.3">
      <c r="A23" s="9">
        <v>43569</v>
      </c>
      <c r="B23" s="12">
        <v>47</v>
      </c>
      <c r="C23" s="11">
        <v>7.0000000000000001E-3</v>
      </c>
      <c r="D23" s="12">
        <v>62</v>
      </c>
      <c r="E23" s="11">
        <v>3.0000000000000001E-3</v>
      </c>
      <c r="F23" s="10">
        <v>7133</v>
      </c>
      <c r="G23" s="11">
        <v>2E-3</v>
      </c>
      <c r="H23" s="11">
        <v>0.13500000000000001</v>
      </c>
      <c r="I23" s="10">
        <v>7801130</v>
      </c>
      <c r="J23" s="12" t="s">
        <v>7012</v>
      </c>
      <c r="K23" s="12">
        <v>964</v>
      </c>
      <c r="L23" s="12" t="s">
        <v>7013</v>
      </c>
      <c r="M23" s="10">
        <v>358569551</v>
      </c>
      <c r="N23" s="10">
        <v>44250</v>
      </c>
      <c r="O23" s="12">
        <v>17</v>
      </c>
    </row>
    <row r="24" spans="1:15" ht="15" customHeight="1" x14ac:dyDescent="0.3">
      <c r="A24" s="9">
        <v>43570</v>
      </c>
      <c r="B24" s="12">
        <v>41</v>
      </c>
      <c r="C24" s="11">
        <v>7.0000000000000001E-3</v>
      </c>
      <c r="D24" s="12">
        <v>55</v>
      </c>
      <c r="E24" s="11">
        <v>3.0000000000000001E-3</v>
      </c>
      <c r="F24" s="10">
        <v>6293</v>
      </c>
      <c r="G24" s="11">
        <v>2E-3</v>
      </c>
      <c r="H24" s="11">
        <v>7.0999999999999994E-2</v>
      </c>
      <c r="I24" s="10">
        <v>3148780</v>
      </c>
      <c r="J24" s="12" t="s">
        <v>7014</v>
      </c>
      <c r="K24" s="12">
        <v>446</v>
      </c>
      <c r="L24" s="12" t="s">
        <v>7015</v>
      </c>
      <c r="M24" s="10">
        <v>361718331</v>
      </c>
      <c r="N24" s="10">
        <v>44696</v>
      </c>
      <c r="O24" s="12">
        <v>19</v>
      </c>
    </row>
    <row r="25" spans="1:15" ht="15" customHeight="1" x14ac:dyDescent="0.3">
      <c r="A25" s="9">
        <v>43571</v>
      </c>
      <c r="B25" s="12">
        <v>45</v>
      </c>
      <c r="C25" s="11">
        <v>8.0000000000000002E-3</v>
      </c>
      <c r="D25" s="12">
        <v>60</v>
      </c>
      <c r="E25" s="11">
        <v>4.0000000000000001E-3</v>
      </c>
      <c r="F25" s="10">
        <v>7067</v>
      </c>
      <c r="G25" s="11">
        <v>3.0000000000000001E-3</v>
      </c>
      <c r="H25" s="11">
        <v>7.8E-2</v>
      </c>
      <c r="I25" s="10">
        <v>3832180</v>
      </c>
      <c r="J25" s="12" t="s">
        <v>7016</v>
      </c>
      <c r="K25" s="12">
        <v>551</v>
      </c>
      <c r="L25" s="12" t="s">
        <v>7017</v>
      </c>
      <c r="M25" s="10">
        <v>365550511</v>
      </c>
      <c r="N25" s="10">
        <v>45247</v>
      </c>
      <c r="O25" s="12">
        <v>21</v>
      </c>
    </row>
    <row r="26" spans="1:15" ht="15" customHeight="1" x14ac:dyDescent="0.3">
      <c r="A26" s="9">
        <v>43572</v>
      </c>
      <c r="B26" s="12">
        <v>44</v>
      </c>
      <c r="C26" s="11">
        <v>7.0000000000000001E-3</v>
      </c>
      <c r="D26" s="12">
        <v>65</v>
      </c>
      <c r="E26" s="11">
        <v>4.0000000000000001E-3</v>
      </c>
      <c r="F26" s="10">
        <v>7404</v>
      </c>
      <c r="G26" s="11">
        <v>3.0000000000000001E-3</v>
      </c>
      <c r="H26" s="11">
        <v>8.1000000000000003E-2</v>
      </c>
      <c r="I26" s="10">
        <v>4328050</v>
      </c>
      <c r="J26" s="12" t="s">
        <v>7018</v>
      </c>
      <c r="K26" s="12">
        <v>599</v>
      </c>
      <c r="L26" s="12" t="s">
        <v>7019</v>
      </c>
      <c r="M26" s="10">
        <v>369878561</v>
      </c>
      <c r="N26" s="10">
        <v>45846</v>
      </c>
      <c r="O26" s="12">
        <v>22</v>
      </c>
    </row>
    <row r="27" spans="1:15" ht="15" customHeight="1" x14ac:dyDescent="0.3">
      <c r="A27" s="9">
        <v>43573</v>
      </c>
      <c r="B27" s="12">
        <v>38</v>
      </c>
      <c r="C27" s="11">
        <v>6.0000000000000001E-3</v>
      </c>
      <c r="D27" s="12">
        <v>51</v>
      </c>
      <c r="E27" s="11">
        <v>3.0000000000000001E-3</v>
      </c>
      <c r="F27" s="10">
        <v>5298</v>
      </c>
      <c r="G27" s="11">
        <v>2E-3</v>
      </c>
      <c r="H27" s="11">
        <v>7.8E-2</v>
      </c>
      <c r="I27" s="10">
        <v>2980600</v>
      </c>
      <c r="J27" s="12" t="s">
        <v>7020</v>
      </c>
      <c r="K27" s="12">
        <v>412</v>
      </c>
      <c r="L27" s="12" t="s">
        <v>7021</v>
      </c>
      <c r="M27" s="10">
        <v>372859161</v>
      </c>
      <c r="N27" s="10">
        <v>46258</v>
      </c>
      <c r="O27" s="12">
        <v>30</v>
      </c>
    </row>
    <row r="28" spans="1:15" ht="15" customHeight="1" x14ac:dyDescent="0.3">
      <c r="A28" s="9">
        <v>43574</v>
      </c>
      <c r="B28" s="12">
        <v>38</v>
      </c>
      <c r="C28" s="11">
        <v>6.0000000000000001E-3</v>
      </c>
      <c r="D28" s="12">
        <v>56</v>
      </c>
      <c r="E28" s="11">
        <v>3.0000000000000001E-3</v>
      </c>
      <c r="F28" s="10">
        <v>5763</v>
      </c>
      <c r="G28" s="11">
        <v>2E-3</v>
      </c>
      <c r="H28" s="11">
        <v>9.2999999999999999E-2</v>
      </c>
      <c r="I28" s="10">
        <v>4218700</v>
      </c>
      <c r="J28" s="12" t="s">
        <v>7022</v>
      </c>
      <c r="K28" s="12">
        <v>537</v>
      </c>
      <c r="L28" s="12" t="s">
        <v>7023</v>
      </c>
      <c r="M28" s="10">
        <v>377077861</v>
      </c>
      <c r="N28" s="10">
        <v>46795</v>
      </c>
      <c r="O28" s="12">
        <v>29</v>
      </c>
    </row>
    <row r="29" spans="1:15" ht="15" customHeight="1" x14ac:dyDescent="0.3">
      <c r="A29" s="9">
        <v>43575</v>
      </c>
      <c r="B29" s="12">
        <v>39</v>
      </c>
      <c r="C29" s="11">
        <v>5.0000000000000001E-3</v>
      </c>
      <c r="D29" s="12">
        <v>52</v>
      </c>
      <c r="E29" s="11">
        <v>3.0000000000000001E-3</v>
      </c>
      <c r="F29" s="10">
        <v>5583</v>
      </c>
      <c r="G29" s="11">
        <v>2E-3</v>
      </c>
      <c r="H29" s="11">
        <v>0.126</v>
      </c>
      <c r="I29" s="10">
        <v>5440600</v>
      </c>
      <c r="J29" s="12" t="s">
        <v>7024</v>
      </c>
      <c r="K29" s="12">
        <v>702</v>
      </c>
      <c r="L29" s="12" t="s">
        <v>7025</v>
      </c>
      <c r="M29" s="10">
        <v>382518461</v>
      </c>
      <c r="N29" s="10">
        <v>47497</v>
      </c>
      <c r="O29" s="12">
        <v>28</v>
      </c>
    </row>
    <row r="30" spans="1:15" ht="15" customHeight="1" x14ac:dyDescent="0.3">
      <c r="A30" s="9">
        <v>43576</v>
      </c>
      <c r="B30" s="12">
        <v>38</v>
      </c>
      <c r="C30" s="11">
        <v>5.0000000000000001E-3</v>
      </c>
      <c r="D30" s="12">
        <v>53</v>
      </c>
      <c r="E30" s="11">
        <v>3.0000000000000001E-3</v>
      </c>
      <c r="F30" s="10">
        <v>6827</v>
      </c>
      <c r="G30" s="11">
        <v>2E-3</v>
      </c>
      <c r="H30" s="11">
        <v>8.4000000000000005E-2</v>
      </c>
      <c r="I30" s="10">
        <v>4223430</v>
      </c>
      <c r="J30" s="12" t="s">
        <v>7026</v>
      </c>
      <c r="K30" s="12">
        <v>574</v>
      </c>
      <c r="L30" s="12" t="s">
        <v>7027</v>
      </c>
      <c r="M30" s="10">
        <v>386741891</v>
      </c>
      <c r="N30" s="10">
        <v>48071</v>
      </c>
      <c r="O30" s="12">
        <v>30</v>
      </c>
    </row>
    <row r="31" spans="1:15" ht="15" customHeight="1" x14ac:dyDescent="0.3">
      <c r="A31" s="9">
        <v>43577</v>
      </c>
      <c r="B31" s="12">
        <v>33</v>
      </c>
      <c r="C31" s="11">
        <v>5.0000000000000001E-3</v>
      </c>
      <c r="D31" s="12">
        <v>46</v>
      </c>
      <c r="E31" s="11">
        <v>3.0000000000000001E-3</v>
      </c>
      <c r="F31" s="10">
        <v>4819</v>
      </c>
      <c r="G31" s="11">
        <v>2E-3</v>
      </c>
      <c r="H31" s="11">
        <v>6.8000000000000005E-2</v>
      </c>
      <c r="I31" s="10">
        <v>2293100</v>
      </c>
      <c r="J31" s="12" t="s">
        <v>7028</v>
      </c>
      <c r="K31" s="12">
        <v>330</v>
      </c>
      <c r="L31" s="12" t="s">
        <v>7029</v>
      </c>
      <c r="M31" s="10">
        <v>389034991</v>
      </c>
      <c r="N31" s="10">
        <v>48401</v>
      </c>
      <c r="O31" s="12">
        <v>27</v>
      </c>
    </row>
    <row r="32" spans="1:15" ht="15" customHeight="1" x14ac:dyDescent="0.3">
      <c r="A32" s="9">
        <v>43578</v>
      </c>
      <c r="B32" s="12">
        <v>35</v>
      </c>
      <c r="C32" s="11">
        <v>5.0000000000000001E-3</v>
      </c>
      <c r="D32" s="12">
        <v>52</v>
      </c>
      <c r="E32" s="11">
        <v>3.0000000000000001E-3</v>
      </c>
      <c r="F32" s="10">
        <v>5362</v>
      </c>
      <c r="G32" s="11">
        <v>2E-3</v>
      </c>
      <c r="H32" s="11">
        <v>6.8000000000000005E-2</v>
      </c>
      <c r="I32" s="10">
        <v>2636500</v>
      </c>
      <c r="J32" s="12" t="s">
        <v>7030</v>
      </c>
      <c r="K32" s="12">
        <v>366</v>
      </c>
      <c r="L32" s="12" t="s">
        <v>7031</v>
      </c>
      <c r="M32" s="10">
        <v>391671491</v>
      </c>
      <c r="N32" s="10">
        <v>48767</v>
      </c>
      <c r="O32" s="12">
        <v>34</v>
      </c>
    </row>
    <row r="33" spans="1:15" ht="15" customHeight="1" x14ac:dyDescent="0.3">
      <c r="A33" s="9">
        <v>43579</v>
      </c>
      <c r="B33" s="12">
        <v>20</v>
      </c>
      <c r="C33" s="11">
        <v>4.0000000000000001E-3</v>
      </c>
      <c r="D33" s="12">
        <v>26</v>
      </c>
      <c r="E33" s="11">
        <v>2E-3</v>
      </c>
      <c r="F33" s="10">
        <v>2715</v>
      </c>
      <c r="G33" s="11">
        <v>1E-3</v>
      </c>
      <c r="H33" s="11">
        <v>9.1999999999999998E-2</v>
      </c>
      <c r="I33" s="10">
        <v>1719980</v>
      </c>
      <c r="J33" s="12" t="s">
        <v>7032</v>
      </c>
      <c r="K33" s="12">
        <v>251</v>
      </c>
      <c r="L33" s="12" t="s">
        <v>7033</v>
      </c>
      <c r="M33" s="10">
        <v>393391471</v>
      </c>
      <c r="N33" s="10">
        <v>49018</v>
      </c>
      <c r="O33" s="12">
        <v>28</v>
      </c>
    </row>
    <row r="34" spans="1:15" ht="15" customHeight="1" x14ac:dyDescent="0.3">
      <c r="A34" s="9">
        <v>43580</v>
      </c>
      <c r="B34" s="12">
        <v>15</v>
      </c>
      <c r="C34" s="11">
        <v>3.0000000000000001E-3</v>
      </c>
      <c r="D34" s="12">
        <v>17</v>
      </c>
      <c r="E34" s="11">
        <v>1E-3</v>
      </c>
      <c r="F34" s="10">
        <v>1706</v>
      </c>
      <c r="G34" s="11">
        <v>1E-3</v>
      </c>
      <c r="H34" s="11">
        <v>0.14799999999999999</v>
      </c>
      <c r="I34" s="10">
        <v>1814200</v>
      </c>
      <c r="J34" s="12" t="s">
        <v>7034</v>
      </c>
      <c r="K34" s="12">
        <v>253</v>
      </c>
      <c r="L34" s="12" t="s">
        <v>7035</v>
      </c>
      <c r="M34" s="10">
        <v>395205671</v>
      </c>
      <c r="N34" s="10">
        <v>49271</v>
      </c>
      <c r="O34" s="12">
        <v>26</v>
      </c>
    </row>
    <row r="35" spans="1:15" ht="15" customHeight="1" x14ac:dyDescent="0.3">
      <c r="A35" s="9">
        <v>43581</v>
      </c>
      <c r="B35" s="12">
        <v>14</v>
      </c>
      <c r="C35" s="11">
        <v>3.0000000000000001E-3</v>
      </c>
      <c r="D35" s="12">
        <v>17</v>
      </c>
      <c r="E35" s="11">
        <v>1E-3</v>
      </c>
      <c r="F35" s="10">
        <v>1786</v>
      </c>
      <c r="G35" s="11">
        <v>1E-3</v>
      </c>
      <c r="H35" s="11">
        <v>0.123</v>
      </c>
      <c r="I35" s="10">
        <v>1708018</v>
      </c>
      <c r="J35" s="12" t="s">
        <v>7036</v>
      </c>
      <c r="K35" s="12">
        <v>219</v>
      </c>
      <c r="L35" s="12" t="s">
        <v>7037</v>
      </c>
      <c r="M35" s="10">
        <v>396913689</v>
      </c>
      <c r="N35" s="10">
        <v>49490</v>
      </c>
      <c r="O35" s="12">
        <v>31</v>
      </c>
    </row>
    <row r="36" spans="1:15" ht="15" customHeight="1" x14ac:dyDescent="0.3">
      <c r="A36" s="9">
        <v>43582</v>
      </c>
      <c r="B36" s="12">
        <v>10</v>
      </c>
      <c r="C36" s="11">
        <v>2E-3</v>
      </c>
      <c r="D36" s="12">
        <v>14</v>
      </c>
      <c r="E36" s="11">
        <v>1E-3</v>
      </c>
      <c r="F36" s="10">
        <v>1831</v>
      </c>
      <c r="G36" s="11">
        <v>1E-3</v>
      </c>
      <c r="H36" s="11">
        <v>0.17100000000000001</v>
      </c>
      <c r="I36" s="10">
        <v>2427600</v>
      </c>
      <c r="J36" s="12" t="s">
        <v>7038</v>
      </c>
      <c r="K36" s="12">
        <v>313</v>
      </c>
      <c r="L36" s="12" t="s">
        <v>7039</v>
      </c>
      <c r="M36" s="10">
        <v>399341289</v>
      </c>
      <c r="N36" s="10">
        <v>49803</v>
      </c>
      <c r="O36" s="12">
        <v>24</v>
      </c>
    </row>
    <row r="37" spans="1:15" ht="15" customHeight="1" x14ac:dyDescent="0.3">
      <c r="A37" s="9">
        <v>43583</v>
      </c>
      <c r="B37" s="12">
        <v>9</v>
      </c>
      <c r="C37" s="11">
        <v>2E-3</v>
      </c>
      <c r="D37" s="12">
        <v>10</v>
      </c>
      <c r="E37" s="11">
        <v>1E-3</v>
      </c>
      <c r="F37" s="10">
        <v>1267</v>
      </c>
      <c r="G37" s="11">
        <v>1E-3</v>
      </c>
      <c r="H37" s="11">
        <v>0.193</v>
      </c>
      <c r="I37" s="10">
        <v>1894500</v>
      </c>
      <c r="J37" s="12" t="s">
        <v>7040</v>
      </c>
      <c r="K37" s="12">
        <v>245</v>
      </c>
      <c r="L37" s="12" t="s">
        <v>7041</v>
      </c>
      <c r="M37" s="10">
        <v>401235789</v>
      </c>
      <c r="N37" s="10">
        <v>50048</v>
      </c>
      <c r="O37" s="12">
        <v>27</v>
      </c>
    </row>
    <row r="38" spans="1:15" ht="15" customHeight="1" x14ac:dyDescent="0.3">
      <c r="A38" s="9">
        <v>43584</v>
      </c>
      <c r="B38" s="12">
        <v>11</v>
      </c>
      <c r="C38" s="11">
        <v>2E-3</v>
      </c>
      <c r="D38" s="12">
        <v>13</v>
      </c>
      <c r="E38" s="11">
        <v>1E-3</v>
      </c>
      <c r="F38" s="10">
        <v>1555</v>
      </c>
      <c r="G38" s="11">
        <v>1E-3</v>
      </c>
      <c r="H38" s="11">
        <v>0.113</v>
      </c>
      <c r="I38" s="10">
        <v>1300600</v>
      </c>
      <c r="J38" s="12" t="s">
        <v>7042</v>
      </c>
      <c r="K38" s="12">
        <v>176</v>
      </c>
      <c r="L38" s="12" t="s">
        <v>7043</v>
      </c>
      <c r="M38" s="10">
        <v>402536389</v>
      </c>
      <c r="N38" s="10">
        <v>50224</v>
      </c>
      <c r="O38" s="12">
        <v>36</v>
      </c>
    </row>
    <row r="39" spans="1:15" ht="15" customHeight="1" x14ac:dyDescent="0.3">
      <c r="A39" s="9">
        <v>43585</v>
      </c>
      <c r="B39" s="12">
        <v>12</v>
      </c>
      <c r="C39" s="11">
        <v>2E-3</v>
      </c>
      <c r="D39" s="12">
        <v>14</v>
      </c>
      <c r="E39" s="11">
        <v>1E-3</v>
      </c>
      <c r="F39" s="10">
        <v>1994</v>
      </c>
      <c r="G39" s="11">
        <v>1E-3</v>
      </c>
      <c r="H39" s="11">
        <v>9.6000000000000002E-2</v>
      </c>
      <c r="I39" s="10">
        <v>1301600</v>
      </c>
      <c r="J39" s="12" t="s">
        <v>7044</v>
      </c>
      <c r="K39" s="12">
        <v>191</v>
      </c>
      <c r="L39" s="12" t="s">
        <v>7045</v>
      </c>
      <c r="M39" s="10">
        <v>403837989</v>
      </c>
      <c r="N39" s="10">
        <v>50415</v>
      </c>
      <c r="O39" s="12">
        <v>39</v>
      </c>
    </row>
    <row r="40" spans="1:15" ht="15" customHeight="1" x14ac:dyDescent="0.3">
      <c r="A40" s="9">
        <v>43586</v>
      </c>
      <c r="B40" s="12">
        <v>4</v>
      </c>
      <c r="C40" s="11">
        <v>1E-3</v>
      </c>
      <c r="D40" s="12">
        <v>5</v>
      </c>
      <c r="E40" s="11">
        <v>0</v>
      </c>
      <c r="F40" s="12">
        <v>944</v>
      </c>
      <c r="G40" s="11">
        <v>0</v>
      </c>
      <c r="H40" s="11">
        <v>0.188</v>
      </c>
      <c r="I40" s="10">
        <v>1252000</v>
      </c>
      <c r="J40" s="12" t="s">
        <v>7046</v>
      </c>
      <c r="K40" s="12">
        <v>177</v>
      </c>
      <c r="L40" s="12" t="s">
        <v>7047</v>
      </c>
      <c r="M40" s="10">
        <v>405089989</v>
      </c>
      <c r="N40" s="10">
        <v>50592</v>
      </c>
      <c r="O40" s="12">
        <v>40</v>
      </c>
    </row>
    <row r="41" spans="1:15" ht="15" customHeight="1" x14ac:dyDescent="0.3">
      <c r="A41" s="9">
        <v>43587</v>
      </c>
      <c r="B41" s="12">
        <v>3</v>
      </c>
      <c r="C41" s="11">
        <v>1E-3</v>
      </c>
      <c r="D41" s="12">
        <v>3</v>
      </c>
      <c r="E41" s="11">
        <v>0</v>
      </c>
      <c r="F41" s="12">
        <v>449</v>
      </c>
      <c r="G41" s="11">
        <v>0</v>
      </c>
      <c r="H41" s="11">
        <v>0.122</v>
      </c>
      <c r="I41" s="10">
        <v>384000</v>
      </c>
      <c r="J41" s="12" t="s">
        <v>7048</v>
      </c>
      <c r="K41" s="12">
        <v>55</v>
      </c>
      <c r="L41" s="12" t="s">
        <v>7049</v>
      </c>
      <c r="M41" s="10">
        <v>405473989</v>
      </c>
      <c r="N41" s="10">
        <v>50647</v>
      </c>
      <c r="O41" s="12">
        <v>53</v>
      </c>
    </row>
    <row r="42" spans="1:15" ht="15" customHeight="1" x14ac:dyDescent="0.3">
      <c r="A42" s="9">
        <v>43588</v>
      </c>
      <c r="B42" s="12">
        <v>4</v>
      </c>
      <c r="C42" s="11">
        <v>1E-3</v>
      </c>
      <c r="D42" s="12">
        <v>5</v>
      </c>
      <c r="E42" s="11">
        <v>0</v>
      </c>
      <c r="F42" s="12">
        <v>883</v>
      </c>
      <c r="G42" s="11">
        <v>0</v>
      </c>
      <c r="H42" s="11">
        <v>8.5999999999999993E-2</v>
      </c>
      <c r="I42" s="10">
        <v>503000</v>
      </c>
      <c r="J42" s="12" t="s">
        <v>7050</v>
      </c>
      <c r="K42" s="12">
        <v>76</v>
      </c>
      <c r="L42" s="12" t="s">
        <v>7051</v>
      </c>
      <c r="M42" s="10">
        <v>405976989</v>
      </c>
      <c r="N42" s="10">
        <v>50723</v>
      </c>
      <c r="O42" s="12">
        <v>44</v>
      </c>
    </row>
    <row r="43" spans="1:15" ht="15" customHeight="1" x14ac:dyDescent="0.3">
      <c r="A43" s="9">
        <v>43589</v>
      </c>
      <c r="B43" s="12">
        <v>2</v>
      </c>
      <c r="C43" s="11">
        <v>0</v>
      </c>
      <c r="D43" s="12">
        <v>2</v>
      </c>
      <c r="E43" s="11">
        <v>0</v>
      </c>
      <c r="F43" s="12">
        <v>156</v>
      </c>
      <c r="G43" s="11">
        <v>0</v>
      </c>
      <c r="H43" s="11">
        <v>0.54500000000000004</v>
      </c>
      <c r="I43" s="10">
        <v>608000</v>
      </c>
      <c r="J43" s="12" t="s">
        <v>7052</v>
      </c>
      <c r="K43" s="12">
        <v>85</v>
      </c>
      <c r="L43" s="12" t="s">
        <v>7053</v>
      </c>
      <c r="M43" s="10">
        <v>406584989</v>
      </c>
      <c r="N43" s="10">
        <v>50808</v>
      </c>
      <c r="O43" s="12">
        <v>42</v>
      </c>
    </row>
    <row r="44" spans="1:15" ht="15" customHeight="1" x14ac:dyDescent="0.3">
      <c r="A44" s="9">
        <v>43590</v>
      </c>
      <c r="B44" s="12">
        <v>3</v>
      </c>
      <c r="C44" s="11">
        <v>1E-3</v>
      </c>
      <c r="D44" s="12">
        <v>3</v>
      </c>
      <c r="E44" s="11">
        <v>0</v>
      </c>
      <c r="F44" s="12">
        <v>294</v>
      </c>
      <c r="G44" s="11">
        <v>0</v>
      </c>
      <c r="H44" s="11">
        <v>0.14599999999999999</v>
      </c>
      <c r="I44" s="10">
        <v>328000</v>
      </c>
      <c r="J44" s="12" t="s">
        <v>7054</v>
      </c>
      <c r="K44" s="12">
        <v>43</v>
      </c>
      <c r="L44" s="12" t="s">
        <v>7055</v>
      </c>
      <c r="M44" s="10">
        <v>406912989</v>
      </c>
      <c r="N44" s="10">
        <v>50851</v>
      </c>
      <c r="O44" s="12">
        <v>48</v>
      </c>
    </row>
    <row r="45" spans="1:15" ht="15" customHeight="1" x14ac:dyDescent="0.3">
      <c r="A45" s="9">
        <v>43591</v>
      </c>
      <c r="B45" s="12">
        <v>4</v>
      </c>
      <c r="C45" s="11">
        <v>1E-3</v>
      </c>
      <c r="D45" s="12">
        <v>4</v>
      </c>
      <c r="E45" s="11">
        <v>0</v>
      </c>
      <c r="F45" s="12">
        <v>500</v>
      </c>
      <c r="G45" s="11">
        <v>0</v>
      </c>
      <c r="H45" s="11">
        <v>0.26400000000000001</v>
      </c>
      <c r="I45" s="10">
        <v>957000</v>
      </c>
      <c r="J45" s="12" t="s">
        <v>7056</v>
      </c>
      <c r="K45" s="12">
        <v>132</v>
      </c>
      <c r="L45" s="12" t="s">
        <v>7057</v>
      </c>
      <c r="M45" s="10">
        <v>407869989</v>
      </c>
      <c r="N45" s="10">
        <v>50983</v>
      </c>
      <c r="O45" s="12">
        <v>32</v>
      </c>
    </row>
    <row r="46" spans="1:15" ht="15" customHeight="1" x14ac:dyDescent="0.3">
      <c r="A46" s="9">
        <v>43592</v>
      </c>
      <c r="B46" s="12">
        <v>2</v>
      </c>
      <c r="C46" s="11">
        <v>0</v>
      </c>
      <c r="D46" s="12">
        <v>2</v>
      </c>
      <c r="E46" s="11">
        <v>0</v>
      </c>
      <c r="F46" s="12">
        <v>377</v>
      </c>
      <c r="G46" s="11">
        <v>0</v>
      </c>
      <c r="H46" s="11">
        <v>6.9000000000000006E-2</v>
      </c>
      <c r="I46" s="10">
        <v>167000</v>
      </c>
      <c r="J46" s="12" t="s">
        <v>7058</v>
      </c>
      <c r="K46" s="12">
        <v>26</v>
      </c>
      <c r="L46" s="12" t="s">
        <v>7059</v>
      </c>
      <c r="M46" s="10">
        <v>408036989</v>
      </c>
      <c r="N46" s="10">
        <v>51009</v>
      </c>
      <c r="O46" s="12">
        <v>62</v>
      </c>
    </row>
    <row r="47" spans="1:15" ht="15" customHeight="1" x14ac:dyDescent="0.3">
      <c r="A47" s="9">
        <v>43593</v>
      </c>
      <c r="B47" s="12">
        <v>2</v>
      </c>
      <c r="C47" s="11">
        <v>0</v>
      </c>
      <c r="D47" s="12">
        <v>2</v>
      </c>
      <c r="E47" s="11">
        <v>0</v>
      </c>
      <c r="F47" s="12">
        <v>377</v>
      </c>
      <c r="G47" s="11">
        <v>0</v>
      </c>
      <c r="H47" s="11">
        <v>5.2999999999999999E-2</v>
      </c>
      <c r="I47" s="10">
        <v>131000</v>
      </c>
      <c r="J47" s="12" t="s">
        <v>7060</v>
      </c>
      <c r="K47" s="12">
        <v>20</v>
      </c>
      <c r="L47" s="12" t="s">
        <v>7061</v>
      </c>
      <c r="M47" s="10">
        <v>408167989</v>
      </c>
      <c r="N47" s="10">
        <v>51029</v>
      </c>
      <c r="O47" s="12">
        <v>74</v>
      </c>
    </row>
    <row r="48" spans="1:15" ht="15" customHeight="1" x14ac:dyDescent="0.3">
      <c r="A48" s="9">
        <v>43595</v>
      </c>
      <c r="B48" s="12">
        <v>2</v>
      </c>
      <c r="C48" s="11">
        <v>0</v>
      </c>
      <c r="D48" s="12">
        <v>2</v>
      </c>
      <c r="E48" s="11">
        <v>0</v>
      </c>
      <c r="F48" s="12">
        <v>123</v>
      </c>
      <c r="G48" s="11">
        <v>0</v>
      </c>
      <c r="H48" s="11">
        <v>0.19500000000000001</v>
      </c>
      <c r="I48" s="10">
        <v>166000</v>
      </c>
      <c r="J48" s="12" t="s">
        <v>7062</v>
      </c>
      <c r="K48" s="12">
        <v>24</v>
      </c>
      <c r="L48" s="12" t="s">
        <v>7063</v>
      </c>
      <c r="M48" s="10">
        <v>408333989</v>
      </c>
      <c r="N48" s="10">
        <v>51053</v>
      </c>
      <c r="O48" s="12">
        <v>66</v>
      </c>
    </row>
    <row r="49" spans="1:15" ht="15" customHeight="1" x14ac:dyDescent="0.3">
      <c r="A49" s="9">
        <v>43596</v>
      </c>
      <c r="B49" s="12">
        <v>1</v>
      </c>
      <c r="C49" s="11">
        <v>0</v>
      </c>
      <c r="D49" s="12">
        <v>1</v>
      </c>
      <c r="E49" s="11">
        <v>0</v>
      </c>
      <c r="F49" s="12">
        <v>72</v>
      </c>
      <c r="G49" s="11">
        <v>0</v>
      </c>
      <c r="H49" s="11">
        <v>0.18099999999999999</v>
      </c>
      <c r="I49" s="10">
        <v>91000</v>
      </c>
      <c r="J49" s="12" t="s">
        <v>7064</v>
      </c>
      <c r="K49" s="12">
        <v>13</v>
      </c>
      <c r="L49" s="12" t="s">
        <v>6718</v>
      </c>
      <c r="M49" s="10">
        <v>408424989</v>
      </c>
      <c r="N49" s="10">
        <v>51066</v>
      </c>
      <c r="O49" s="12">
        <v>79</v>
      </c>
    </row>
    <row r="50" spans="1:15" ht="15" customHeight="1" x14ac:dyDescent="0.3">
      <c r="A50" s="9">
        <v>43597</v>
      </c>
      <c r="B50" s="12">
        <v>1</v>
      </c>
      <c r="C50" s="11">
        <v>0</v>
      </c>
      <c r="D50" s="12">
        <v>1</v>
      </c>
      <c r="E50" s="11">
        <v>0</v>
      </c>
      <c r="F50" s="12">
        <v>72</v>
      </c>
      <c r="G50" s="11">
        <v>0</v>
      </c>
      <c r="H50" s="11">
        <v>0.47199999999999998</v>
      </c>
      <c r="I50" s="10">
        <v>242000</v>
      </c>
      <c r="J50" s="12" t="s">
        <v>7065</v>
      </c>
      <c r="K50" s="12">
        <v>34</v>
      </c>
      <c r="L50" s="12" t="s">
        <v>7066</v>
      </c>
      <c r="M50" s="10">
        <v>408666989</v>
      </c>
      <c r="N50" s="10">
        <v>51100</v>
      </c>
      <c r="O50" s="12">
        <v>55</v>
      </c>
    </row>
    <row r="51" spans="1:15" ht="15" customHeight="1" x14ac:dyDescent="0.3">
      <c r="A51" s="9">
        <v>43598</v>
      </c>
      <c r="B51" s="12">
        <v>1</v>
      </c>
      <c r="C51" s="11">
        <v>0</v>
      </c>
      <c r="D51" s="12">
        <v>1</v>
      </c>
      <c r="E51" s="11">
        <v>0</v>
      </c>
      <c r="F51" s="12">
        <v>72</v>
      </c>
      <c r="G51" s="11">
        <v>0</v>
      </c>
      <c r="H51" s="11">
        <v>0.222</v>
      </c>
      <c r="I51" s="10">
        <v>112000</v>
      </c>
      <c r="J51" s="12" t="s">
        <v>7067</v>
      </c>
      <c r="K51" s="12">
        <v>16</v>
      </c>
      <c r="L51" s="12" t="s">
        <v>5220</v>
      </c>
      <c r="M51" s="10">
        <v>408778989</v>
      </c>
      <c r="N51" s="10">
        <v>51116</v>
      </c>
      <c r="O51" s="12">
        <v>64</v>
      </c>
    </row>
    <row r="52" spans="1:15" ht="15" customHeight="1" x14ac:dyDescent="0.3">
      <c r="A52" s="9">
        <v>43599</v>
      </c>
      <c r="B52" s="12">
        <v>1</v>
      </c>
      <c r="C52" s="11">
        <v>0</v>
      </c>
      <c r="D52" s="12">
        <v>1</v>
      </c>
      <c r="E52" s="11">
        <v>0</v>
      </c>
      <c r="F52" s="12">
        <v>72</v>
      </c>
      <c r="G52" s="11">
        <v>0</v>
      </c>
      <c r="H52" s="11">
        <v>0.111</v>
      </c>
      <c r="I52" s="10">
        <v>56000</v>
      </c>
      <c r="J52" s="12" t="s">
        <v>7068</v>
      </c>
      <c r="K52" s="12">
        <v>8</v>
      </c>
      <c r="L52" s="12" t="s">
        <v>7069</v>
      </c>
      <c r="M52" s="10">
        <v>408834989</v>
      </c>
      <c r="N52" s="10">
        <v>51124</v>
      </c>
      <c r="O52" s="12">
        <v>81</v>
      </c>
    </row>
    <row r="53" spans="1:15" ht="15" customHeight="1" x14ac:dyDescent="0.3">
      <c r="A53" s="9">
        <v>43600</v>
      </c>
      <c r="B53" s="12">
        <v>1</v>
      </c>
      <c r="C53" s="11">
        <v>0</v>
      </c>
      <c r="D53" s="12">
        <v>1</v>
      </c>
      <c r="E53" s="11">
        <v>0</v>
      </c>
      <c r="F53" s="12">
        <v>72</v>
      </c>
      <c r="G53" s="11">
        <v>0</v>
      </c>
      <c r="H53" s="11">
        <v>0.34699999999999998</v>
      </c>
      <c r="I53" s="10">
        <v>170000</v>
      </c>
      <c r="J53" s="12" t="s">
        <v>7070</v>
      </c>
      <c r="K53" s="12">
        <v>25</v>
      </c>
      <c r="L53" s="12" t="s">
        <v>2440</v>
      </c>
      <c r="M53" s="10">
        <v>409004989</v>
      </c>
      <c r="N53" s="10">
        <v>51149</v>
      </c>
      <c r="O53" s="12">
        <v>62</v>
      </c>
    </row>
    <row r="54" spans="1:15" ht="15" customHeight="1" x14ac:dyDescent="0.3">
      <c r="A54" s="9">
        <v>43662</v>
      </c>
      <c r="B54" s="12">
        <v>1</v>
      </c>
      <c r="C54" s="11">
        <v>0</v>
      </c>
      <c r="D54" s="12">
        <v>1</v>
      </c>
      <c r="E54" s="11">
        <v>0</v>
      </c>
      <c r="F54" s="12">
        <v>97</v>
      </c>
      <c r="G54" s="11">
        <v>0</v>
      </c>
      <c r="H54" s="11">
        <v>1</v>
      </c>
      <c r="I54" s="10">
        <v>582000</v>
      </c>
      <c r="J54" s="12" t="s">
        <v>7071</v>
      </c>
      <c r="K54" s="12">
        <v>97</v>
      </c>
      <c r="L54" s="12" t="s">
        <v>7072</v>
      </c>
      <c r="M54" s="10">
        <v>409586989</v>
      </c>
      <c r="N54" s="10">
        <v>51246</v>
      </c>
      <c r="O54" s="12">
        <v>52</v>
      </c>
    </row>
    <row r="55" spans="1:15" ht="15" customHeight="1" x14ac:dyDescent="0.3"/>
    <row r="56" spans="1:15" ht="15" customHeight="1" x14ac:dyDescent="0.3"/>
    <row r="57" spans="1:15" ht="15" customHeight="1" x14ac:dyDescent="0.3"/>
    <row r="58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568E-632C-48F7-8543-F66EEF78FF31}">
  <dimension ref="A1:O24"/>
  <sheetViews>
    <sheetView showGridLines="0" workbookViewId="0">
      <selection activeCell="A5" sqref="A5:O6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9.25" bestFit="1" customWidth="1"/>
    <col min="10" max="10" width="18.12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7073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43572</v>
      </c>
      <c r="B5" s="12">
        <v>360</v>
      </c>
      <c r="C5" s="11">
        <v>6.0999999999999999E-2</v>
      </c>
      <c r="D5" s="12">
        <v>822</v>
      </c>
      <c r="E5" s="11">
        <v>4.9000000000000002E-2</v>
      </c>
      <c r="F5" s="10">
        <v>104693</v>
      </c>
      <c r="G5" s="11">
        <v>0.04</v>
      </c>
      <c r="H5" s="11">
        <v>3.9E-2</v>
      </c>
      <c r="I5" s="10">
        <v>32372060</v>
      </c>
      <c r="J5" s="12" t="s">
        <v>7074</v>
      </c>
      <c r="K5" s="10">
        <v>4124</v>
      </c>
      <c r="L5" s="12" t="s">
        <v>7075</v>
      </c>
      <c r="M5" s="10">
        <v>62990060</v>
      </c>
      <c r="N5" s="10">
        <v>7666</v>
      </c>
      <c r="O5" s="12">
        <v>10</v>
      </c>
    </row>
    <row r="6" spans="1:15" ht="15" customHeight="1" x14ac:dyDescent="0.3">
      <c r="A6" s="9">
        <v>43573</v>
      </c>
      <c r="B6" s="12">
        <v>351</v>
      </c>
      <c r="C6" s="11">
        <v>5.2999999999999999E-2</v>
      </c>
      <c r="D6" s="12">
        <v>756</v>
      </c>
      <c r="E6" s="11">
        <v>4.5999999999999999E-2</v>
      </c>
      <c r="F6" s="10">
        <v>97801</v>
      </c>
      <c r="G6" s="11">
        <v>3.6999999999999998E-2</v>
      </c>
      <c r="H6" s="11">
        <v>3.4000000000000002E-2</v>
      </c>
      <c r="I6" s="10">
        <v>25742440</v>
      </c>
      <c r="J6" s="12" t="s">
        <v>7076</v>
      </c>
      <c r="K6" s="10">
        <v>3296</v>
      </c>
      <c r="L6" s="12" t="s">
        <v>7077</v>
      </c>
      <c r="M6" s="10">
        <v>88732500</v>
      </c>
      <c r="N6" s="10">
        <v>10962</v>
      </c>
      <c r="O6" s="12">
        <v>12</v>
      </c>
    </row>
    <row r="7" spans="1:15" ht="15" customHeight="1" x14ac:dyDescent="0.3">
      <c r="A7" s="9">
        <v>43574</v>
      </c>
      <c r="B7" s="12">
        <v>356</v>
      </c>
      <c r="C7" s="11">
        <v>5.1999999999999998E-2</v>
      </c>
      <c r="D7" s="12">
        <v>740</v>
      </c>
      <c r="E7" s="11">
        <v>4.2999999999999997E-2</v>
      </c>
      <c r="F7" s="10">
        <v>96371</v>
      </c>
      <c r="G7" s="11">
        <v>3.5000000000000003E-2</v>
      </c>
      <c r="H7" s="11">
        <v>3.5000000000000003E-2</v>
      </c>
      <c r="I7" s="10">
        <v>27219000</v>
      </c>
      <c r="J7" s="12" t="s">
        <v>7078</v>
      </c>
      <c r="K7" s="10">
        <v>3395</v>
      </c>
      <c r="L7" s="12" t="s">
        <v>7079</v>
      </c>
      <c r="M7" s="10">
        <v>115951500</v>
      </c>
      <c r="N7" s="10">
        <v>14357</v>
      </c>
      <c r="O7" s="12">
        <v>13</v>
      </c>
    </row>
    <row r="8" spans="1:15" ht="15" customHeight="1" x14ac:dyDescent="0.3">
      <c r="A8" s="9">
        <v>43575</v>
      </c>
      <c r="B8" s="12">
        <v>353</v>
      </c>
      <c r="C8" s="11">
        <v>4.7E-2</v>
      </c>
      <c r="D8" s="12">
        <v>688</v>
      </c>
      <c r="E8" s="11">
        <v>3.5999999999999997E-2</v>
      </c>
      <c r="F8" s="10">
        <v>90303</v>
      </c>
      <c r="G8" s="11">
        <v>0.03</v>
      </c>
      <c r="H8" s="11">
        <v>4.5999999999999999E-2</v>
      </c>
      <c r="I8" s="10">
        <v>34692370</v>
      </c>
      <c r="J8" s="12" t="s">
        <v>7080</v>
      </c>
      <c r="K8" s="10">
        <v>4161</v>
      </c>
      <c r="L8" s="12" t="s">
        <v>7081</v>
      </c>
      <c r="M8" s="10">
        <v>150643870</v>
      </c>
      <c r="N8" s="10">
        <v>18518</v>
      </c>
      <c r="O8" s="12">
        <v>15</v>
      </c>
    </row>
    <row r="9" spans="1:15" ht="15" customHeight="1" x14ac:dyDescent="0.3">
      <c r="A9" s="9">
        <v>43576</v>
      </c>
      <c r="B9" s="12">
        <v>342</v>
      </c>
      <c r="C9" s="11">
        <v>4.5999999999999999E-2</v>
      </c>
      <c r="D9" s="12">
        <v>624</v>
      </c>
      <c r="E9" s="11">
        <v>3.4000000000000002E-2</v>
      </c>
      <c r="F9" s="10">
        <v>82278</v>
      </c>
      <c r="G9" s="11">
        <v>2.8000000000000001E-2</v>
      </c>
      <c r="H9" s="11">
        <v>4.3999999999999997E-2</v>
      </c>
      <c r="I9" s="10">
        <v>30688920</v>
      </c>
      <c r="J9" s="12" t="s">
        <v>7082</v>
      </c>
      <c r="K9" s="10">
        <v>3633</v>
      </c>
      <c r="L9" s="12" t="s">
        <v>7083</v>
      </c>
      <c r="M9" s="10">
        <v>181332790</v>
      </c>
      <c r="N9" s="10">
        <v>22151</v>
      </c>
      <c r="O9" s="12">
        <v>15</v>
      </c>
    </row>
    <row r="10" spans="1:15" ht="15" customHeight="1" x14ac:dyDescent="0.3">
      <c r="A10" s="9">
        <v>43577</v>
      </c>
      <c r="B10" s="12">
        <v>297</v>
      </c>
      <c r="C10" s="11">
        <v>4.7E-2</v>
      </c>
      <c r="D10" s="12">
        <v>508</v>
      </c>
      <c r="E10" s="11">
        <v>3.3000000000000002E-2</v>
      </c>
      <c r="F10" s="10">
        <v>66854</v>
      </c>
      <c r="G10" s="11">
        <v>2.7E-2</v>
      </c>
      <c r="H10" s="11">
        <v>2.3E-2</v>
      </c>
      <c r="I10" s="10">
        <v>11459420</v>
      </c>
      <c r="J10" s="12" t="s">
        <v>7084</v>
      </c>
      <c r="K10" s="10">
        <v>1514</v>
      </c>
      <c r="L10" s="12" t="s">
        <v>7085</v>
      </c>
      <c r="M10" s="10">
        <v>192792210</v>
      </c>
      <c r="N10" s="10">
        <v>23665</v>
      </c>
      <c r="O10" s="12">
        <v>16</v>
      </c>
    </row>
    <row r="11" spans="1:15" ht="15" customHeight="1" x14ac:dyDescent="0.3">
      <c r="A11" s="9">
        <v>43578</v>
      </c>
      <c r="B11" s="12">
        <v>294</v>
      </c>
      <c r="C11" s="11">
        <v>4.4999999999999998E-2</v>
      </c>
      <c r="D11" s="12">
        <v>534</v>
      </c>
      <c r="E11" s="11">
        <v>3.4000000000000002E-2</v>
      </c>
      <c r="F11" s="10">
        <v>69565</v>
      </c>
      <c r="G11" s="11">
        <v>2.8000000000000001E-2</v>
      </c>
      <c r="H11" s="11">
        <v>2.5999999999999999E-2</v>
      </c>
      <c r="I11" s="10">
        <v>13538080</v>
      </c>
      <c r="J11" s="12" t="s">
        <v>7086</v>
      </c>
      <c r="K11" s="10">
        <v>1791</v>
      </c>
      <c r="L11" s="12" t="s">
        <v>7087</v>
      </c>
      <c r="M11" s="10">
        <v>206330290</v>
      </c>
      <c r="N11" s="10">
        <v>25456</v>
      </c>
      <c r="O11" s="12">
        <v>14</v>
      </c>
    </row>
    <row r="12" spans="1:15" ht="15" customHeight="1" x14ac:dyDescent="0.3">
      <c r="A12" s="9">
        <v>43579</v>
      </c>
      <c r="B12" s="12">
        <v>20</v>
      </c>
      <c r="C12" s="11">
        <v>4.0000000000000001E-3</v>
      </c>
      <c r="D12" s="12">
        <v>20</v>
      </c>
      <c r="E12" s="11">
        <v>1E-3</v>
      </c>
      <c r="F12" s="10">
        <v>2146</v>
      </c>
      <c r="G12" s="11">
        <v>1E-3</v>
      </c>
      <c r="H12" s="11">
        <v>6.0999999999999999E-2</v>
      </c>
      <c r="I12" s="10">
        <v>940500</v>
      </c>
      <c r="J12" s="12" t="s">
        <v>7088</v>
      </c>
      <c r="K12" s="12">
        <v>130</v>
      </c>
      <c r="L12" s="12" t="s">
        <v>7089</v>
      </c>
      <c r="M12" s="10">
        <v>207270790</v>
      </c>
      <c r="N12" s="10">
        <v>25586</v>
      </c>
      <c r="O12" s="12">
        <v>40</v>
      </c>
    </row>
    <row r="13" spans="1:15" ht="15" customHeight="1" x14ac:dyDescent="0.3">
      <c r="A13" s="9">
        <v>43580</v>
      </c>
      <c r="B13" s="12">
        <v>8</v>
      </c>
      <c r="C13" s="11">
        <v>2E-3</v>
      </c>
      <c r="D13" s="12">
        <v>9</v>
      </c>
      <c r="E13" s="11">
        <v>1E-3</v>
      </c>
      <c r="F13" s="12">
        <v>772</v>
      </c>
      <c r="G13" s="11">
        <v>0</v>
      </c>
      <c r="H13" s="11">
        <v>4.7E-2</v>
      </c>
      <c r="I13" s="10">
        <v>294000</v>
      </c>
      <c r="J13" s="12" t="s">
        <v>7090</v>
      </c>
      <c r="K13" s="12">
        <v>36</v>
      </c>
      <c r="L13" s="12" t="s">
        <v>7091</v>
      </c>
      <c r="M13" s="10">
        <v>207564790</v>
      </c>
      <c r="N13" s="10">
        <v>25622</v>
      </c>
      <c r="O13" s="12">
        <v>75</v>
      </c>
    </row>
    <row r="14" spans="1:15" ht="15" customHeight="1" x14ac:dyDescent="0.3">
      <c r="A14" s="9">
        <v>43581</v>
      </c>
      <c r="B14" s="12">
        <v>12</v>
      </c>
      <c r="C14" s="11">
        <v>2E-3</v>
      </c>
      <c r="D14" s="12">
        <v>13</v>
      </c>
      <c r="E14" s="11">
        <v>1E-3</v>
      </c>
      <c r="F14" s="10">
        <v>1123</v>
      </c>
      <c r="G14" s="11">
        <v>0</v>
      </c>
      <c r="H14" s="11">
        <v>0.248</v>
      </c>
      <c r="I14" s="10">
        <v>1988960</v>
      </c>
      <c r="J14" s="12" t="s">
        <v>7092</v>
      </c>
      <c r="K14" s="12">
        <v>279</v>
      </c>
      <c r="L14" s="12" t="s">
        <v>7093</v>
      </c>
      <c r="M14" s="10">
        <v>209553750</v>
      </c>
      <c r="N14" s="10">
        <v>25901</v>
      </c>
      <c r="O14" s="12">
        <v>25</v>
      </c>
    </row>
    <row r="15" spans="1:15" ht="15" customHeight="1" x14ac:dyDescent="0.3">
      <c r="A15" s="9">
        <v>43582</v>
      </c>
      <c r="B15" s="12">
        <v>9</v>
      </c>
      <c r="C15" s="11">
        <v>2E-3</v>
      </c>
      <c r="D15" s="12">
        <v>10</v>
      </c>
      <c r="E15" s="11">
        <v>1E-3</v>
      </c>
      <c r="F15" s="12">
        <v>824</v>
      </c>
      <c r="G15" s="11">
        <v>0</v>
      </c>
      <c r="H15" s="11">
        <v>0.13100000000000001</v>
      </c>
      <c r="I15" s="10">
        <v>948150</v>
      </c>
      <c r="J15" s="12" t="s">
        <v>7094</v>
      </c>
      <c r="K15" s="12">
        <v>108</v>
      </c>
      <c r="L15" s="12" t="s">
        <v>7095</v>
      </c>
      <c r="M15" s="10">
        <v>210501900</v>
      </c>
      <c r="N15" s="10">
        <v>26009</v>
      </c>
      <c r="O15" s="12">
        <v>50</v>
      </c>
    </row>
    <row r="16" spans="1:15" ht="15" customHeight="1" x14ac:dyDescent="0.3">
      <c r="A16" s="9">
        <v>43583</v>
      </c>
      <c r="B16" s="12">
        <v>8</v>
      </c>
      <c r="C16" s="11">
        <v>2E-3</v>
      </c>
      <c r="D16" s="12">
        <v>9</v>
      </c>
      <c r="E16" s="11">
        <v>1E-3</v>
      </c>
      <c r="F16" s="12">
        <v>765</v>
      </c>
      <c r="G16" s="11">
        <v>0</v>
      </c>
      <c r="H16" s="11">
        <v>0.14499999999999999</v>
      </c>
      <c r="I16" s="10">
        <v>992300</v>
      </c>
      <c r="J16" s="12" t="s">
        <v>7096</v>
      </c>
      <c r="K16" s="12">
        <v>111</v>
      </c>
      <c r="L16" s="12" t="s">
        <v>7097</v>
      </c>
      <c r="M16" s="10">
        <v>211494200</v>
      </c>
      <c r="N16" s="10">
        <v>26120</v>
      </c>
      <c r="O16" s="12">
        <v>49</v>
      </c>
    </row>
    <row r="17" spans="1:15" ht="15" customHeight="1" x14ac:dyDescent="0.3">
      <c r="A17" s="9">
        <v>43584</v>
      </c>
      <c r="B17" s="12">
        <v>21</v>
      </c>
      <c r="C17" s="11">
        <v>4.0000000000000001E-3</v>
      </c>
      <c r="D17" s="12">
        <v>22</v>
      </c>
      <c r="E17" s="11">
        <v>1E-3</v>
      </c>
      <c r="F17" s="10">
        <v>2444</v>
      </c>
      <c r="G17" s="11">
        <v>1E-3</v>
      </c>
      <c r="H17" s="11">
        <v>0.26700000000000002</v>
      </c>
      <c r="I17" s="10">
        <v>5296000</v>
      </c>
      <c r="J17" s="12" t="s">
        <v>7098</v>
      </c>
      <c r="K17" s="12">
        <v>653</v>
      </c>
      <c r="L17" s="12" t="s">
        <v>7099</v>
      </c>
      <c r="M17" s="10">
        <v>216790200</v>
      </c>
      <c r="N17" s="10">
        <v>26773</v>
      </c>
      <c r="O17" s="12">
        <v>15</v>
      </c>
    </row>
    <row r="18" spans="1:15" ht="15" customHeight="1" x14ac:dyDescent="0.3">
      <c r="A18" s="9">
        <v>43585</v>
      </c>
      <c r="B18" s="12">
        <v>19</v>
      </c>
      <c r="C18" s="11">
        <v>4.0000000000000001E-3</v>
      </c>
      <c r="D18" s="12">
        <v>20</v>
      </c>
      <c r="E18" s="11">
        <v>1E-3</v>
      </c>
      <c r="F18" s="10">
        <v>2251</v>
      </c>
      <c r="G18" s="11">
        <v>1E-3</v>
      </c>
      <c r="H18" s="11">
        <v>0.34899999999999998</v>
      </c>
      <c r="I18" s="10">
        <v>6630000</v>
      </c>
      <c r="J18" s="12" t="s">
        <v>7100</v>
      </c>
      <c r="K18" s="12">
        <v>785</v>
      </c>
      <c r="L18" s="12" t="s">
        <v>7101</v>
      </c>
      <c r="M18" s="10">
        <v>223420200</v>
      </c>
      <c r="N18" s="10">
        <v>27558</v>
      </c>
      <c r="O18" s="12">
        <v>13</v>
      </c>
    </row>
    <row r="19" spans="1:15" ht="15" customHeight="1" x14ac:dyDescent="0.3">
      <c r="A19" s="9">
        <v>43586</v>
      </c>
      <c r="B19" s="12">
        <v>20</v>
      </c>
      <c r="C19" s="11">
        <v>4.0000000000000001E-3</v>
      </c>
      <c r="D19" s="12">
        <v>20</v>
      </c>
      <c r="E19" s="11">
        <v>1E-3</v>
      </c>
      <c r="F19" s="10">
        <v>2288</v>
      </c>
      <c r="G19" s="11">
        <v>1E-3</v>
      </c>
      <c r="H19" s="11">
        <v>0.32300000000000001</v>
      </c>
      <c r="I19" s="10">
        <v>5803000</v>
      </c>
      <c r="J19" s="12" t="s">
        <v>7102</v>
      </c>
      <c r="K19" s="12">
        <v>740</v>
      </c>
      <c r="L19" s="12" t="s">
        <v>7103</v>
      </c>
      <c r="M19" s="10">
        <v>229223200</v>
      </c>
      <c r="N19" s="10">
        <v>28298</v>
      </c>
      <c r="O19" s="12">
        <v>12</v>
      </c>
    </row>
    <row r="20" spans="1:15" ht="15" customHeight="1" x14ac:dyDescent="0.3">
      <c r="A20" s="9">
        <v>43587</v>
      </c>
      <c r="B20" s="12">
        <v>18</v>
      </c>
      <c r="C20" s="11">
        <v>4.0000000000000001E-3</v>
      </c>
      <c r="D20" s="12">
        <v>19</v>
      </c>
      <c r="E20" s="11">
        <v>1E-3</v>
      </c>
      <c r="F20" s="10">
        <v>2240</v>
      </c>
      <c r="G20" s="11">
        <v>1E-3</v>
      </c>
      <c r="H20" s="11">
        <v>0.21299999999999999</v>
      </c>
      <c r="I20" s="10">
        <v>3191500</v>
      </c>
      <c r="J20" s="12" t="s">
        <v>7104</v>
      </c>
      <c r="K20" s="12">
        <v>477</v>
      </c>
      <c r="L20" s="12" t="s">
        <v>7105</v>
      </c>
      <c r="M20" s="10">
        <v>232414700</v>
      </c>
      <c r="N20" s="10">
        <v>28775</v>
      </c>
      <c r="O20" s="12">
        <v>19</v>
      </c>
    </row>
    <row r="21" spans="1:15" ht="15" customHeight="1" x14ac:dyDescent="0.3">
      <c r="A21" s="9">
        <v>43588</v>
      </c>
      <c r="B21" s="12">
        <v>17</v>
      </c>
      <c r="C21" s="11">
        <v>3.0000000000000001E-3</v>
      </c>
      <c r="D21" s="12">
        <v>18</v>
      </c>
      <c r="E21" s="11">
        <v>1E-3</v>
      </c>
      <c r="F21" s="10">
        <v>2013</v>
      </c>
      <c r="G21" s="11">
        <v>1E-3</v>
      </c>
      <c r="H21" s="11">
        <v>0.13500000000000001</v>
      </c>
      <c r="I21" s="10">
        <v>1495000</v>
      </c>
      <c r="J21" s="12" t="s">
        <v>7106</v>
      </c>
      <c r="K21" s="12">
        <v>272</v>
      </c>
      <c r="L21" s="12" t="s">
        <v>7107</v>
      </c>
      <c r="M21" s="10">
        <v>233909700</v>
      </c>
      <c r="N21" s="10">
        <v>29047</v>
      </c>
      <c r="O21" s="12">
        <v>24</v>
      </c>
    </row>
    <row r="22" spans="1:15" ht="15" customHeight="1" x14ac:dyDescent="0.3">
      <c r="A22" s="9">
        <v>43592</v>
      </c>
      <c r="B22" s="12">
        <v>1</v>
      </c>
      <c r="C22" s="11">
        <v>0</v>
      </c>
      <c r="D22" s="12">
        <v>1</v>
      </c>
      <c r="E22" s="11">
        <v>0</v>
      </c>
      <c r="F22" s="12">
        <v>222</v>
      </c>
      <c r="G22" s="11">
        <v>0</v>
      </c>
      <c r="H22" s="11">
        <v>5.0000000000000001E-3</v>
      </c>
      <c r="I22" s="10">
        <v>7000</v>
      </c>
      <c r="J22" s="12" t="s">
        <v>1411</v>
      </c>
      <c r="K22" s="12">
        <v>1</v>
      </c>
      <c r="L22" s="12" t="s">
        <v>312</v>
      </c>
      <c r="M22" s="10">
        <v>233916700</v>
      </c>
      <c r="N22" s="10">
        <v>29048</v>
      </c>
      <c r="O22" s="12">
        <v>94</v>
      </c>
    </row>
    <row r="23" spans="1:15" ht="15" customHeight="1" x14ac:dyDescent="0.3"/>
    <row r="24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B935-FA13-4C54-8B63-6F39026C7C37}">
  <dimension ref="A1:O45"/>
  <sheetViews>
    <sheetView showGridLines="0" workbookViewId="0">
      <selection activeCell="A5" sqref="A5:O7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6.375" bestFit="1" customWidth="1"/>
    <col min="7" max="8" width="9.625" bestFit="1" customWidth="1"/>
    <col min="9" max="9" width="9.25" bestFit="1" customWidth="1"/>
    <col min="10" max="10" width="18.375" bestFit="1" customWidth="1"/>
    <col min="11" max="11" width="6.375" bestFit="1" customWidth="1"/>
    <col min="12" max="12" width="18.125" bestFit="1" customWidth="1"/>
    <col min="13" max="13" width="10.12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7108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43573</v>
      </c>
      <c r="B5" s="12">
        <v>364</v>
      </c>
      <c r="C5" s="11">
        <v>5.5E-2</v>
      </c>
      <c r="D5" s="12">
        <v>665</v>
      </c>
      <c r="E5" s="11">
        <v>0.04</v>
      </c>
      <c r="F5" s="10">
        <v>86876</v>
      </c>
      <c r="G5" s="11">
        <v>3.3000000000000002E-2</v>
      </c>
      <c r="H5" s="11">
        <v>3.7999999999999999E-2</v>
      </c>
      <c r="I5" s="10">
        <v>24487320</v>
      </c>
      <c r="J5" s="12" t="s">
        <v>7109</v>
      </c>
      <c r="K5" s="10">
        <v>3259</v>
      </c>
      <c r="L5" s="12" t="s">
        <v>7110</v>
      </c>
      <c r="M5" s="10">
        <v>30085320</v>
      </c>
      <c r="N5" s="10">
        <v>3881</v>
      </c>
      <c r="O5" s="12">
        <v>13</v>
      </c>
    </row>
    <row r="6" spans="1:15" ht="15" customHeight="1" x14ac:dyDescent="0.3">
      <c r="A6" s="9">
        <v>43574</v>
      </c>
      <c r="B6" s="12">
        <v>334</v>
      </c>
      <c r="C6" s="11">
        <v>4.9000000000000002E-2</v>
      </c>
      <c r="D6" s="12">
        <v>608</v>
      </c>
      <c r="E6" s="11">
        <v>3.5000000000000003E-2</v>
      </c>
      <c r="F6" s="10">
        <v>78964</v>
      </c>
      <c r="G6" s="11">
        <v>2.9000000000000001E-2</v>
      </c>
      <c r="H6" s="11">
        <v>2.8000000000000001E-2</v>
      </c>
      <c r="I6" s="10">
        <v>19052380</v>
      </c>
      <c r="J6" s="12" t="s">
        <v>7111</v>
      </c>
      <c r="K6" s="10">
        <v>2230</v>
      </c>
      <c r="L6" s="12" t="s">
        <v>7112</v>
      </c>
      <c r="M6" s="10">
        <v>49137700</v>
      </c>
      <c r="N6" s="10">
        <v>6111</v>
      </c>
      <c r="O6" s="12">
        <v>19</v>
      </c>
    </row>
    <row r="7" spans="1:15" ht="15" customHeight="1" x14ac:dyDescent="0.3">
      <c r="A7" s="9">
        <v>43575</v>
      </c>
      <c r="B7" s="12">
        <v>362</v>
      </c>
      <c r="C7" s="11">
        <v>4.8000000000000001E-2</v>
      </c>
      <c r="D7" s="12">
        <v>624</v>
      </c>
      <c r="E7" s="11">
        <v>3.3000000000000002E-2</v>
      </c>
      <c r="F7" s="10">
        <v>78713</v>
      </c>
      <c r="G7" s="11">
        <v>2.5999999999999999E-2</v>
      </c>
      <c r="H7" s="11">
        <v>3.7999999999999999E-2</v>
      </c>
      <c r="I7" s="10">
        <v>25029200</v>
      </c>
      <c r="J7" s="12" t="s">
        <v>7113</v>
      </c>
      <c r="K7" s="10">
        <v>3028</v>
      </c>
      <c r="L7" s="12" t="s">
        <v>7114</v>
      </c>
      <c r="M7" s="10">
        <v>74166900</v>
      </c>
      <c r="N7" s="10">
        <v>9139</v>
      </c>
      <c r="O7" s="12">
        <v>20</v>
      </c>
    </row>
    <row r="8" spans="1:15" ht="15" customHeight="1" x14ac:dyDescent="0.3">
      <c r="A8" s="9">
        <v>43576</v>
      </c>
      <c r="B8" s="12">
        <v>366</v>
      </c>
      <c r="C8" s="11">
        <v>4.9000000000000002E-2</v>
      </c>
      <c r="D8" s="12">
        <v>614</v>
      </c>
      <c r="E8" s="11">
        <v>3.3000000000000002E-2</v>
      </c>
      <c r="F8" s="10">
        <v>77412</v>
      </c>
      <c r="G8" s="11">
        <v>2.7E-2</v>
      </c>
      <c r="H8" s="11">
        <v>3.9E-2</v>
      </c>
      <c r="I8" s="10">
        <v>24977700</v>
      </c>
      <c r="J8" s="12" t="s">
        <v>7115</v>
      </c>
      <c r="K8" s="10">
        <v>3035</v>
      </c>
      <c r="L8" s="12" t="s">
        <v>7116</v>
      </c>
      <c r="M8" s="10">
        <v>99144600</v>
      </c>
      <c r="N8" s="10">
        <v>12174</v>
      </c>
      <c r="O8" s="12">
        <v>16</v>
      </c>
    </row>
    <row r="9" spans="1:15" ht="15" customHeight="1" x14ac:dyDescent="0.3">
      <c r="A9" s="9">
        <v>43577</v>
      </c>
      <c r="B9" s="12">
        <v>315</v>
      </c>
      <c r="C9" s="11">
        <v>0.05</v>
      </c>
      <c r="D9" s="12">
        <v>508</v>
      </c>
      <c r="E9" s="11">
        <v>3.3000000000000002E-2</v>
      </c>
      <c r="F9" s="10">
        <v>63565</v>
      </c>
      <c r="G9" s="11">
        <v>2.5999999999999999E-2</v>
      </c>
      <c r="H9" s="11">
        <v>3.1E-2</v>
      </c>
      <c r="I9" s="10">
        <v>14444780</v>
      </c>
      <c r="J9" s="12" t="s">
        <v>7117</v>
      </c>
      <c r="K9" s="10">
        <v>1948</v>
      </c>
      <c r="L9" s="12" t="s">
        <v>7118</v>
      </c>
      <c r="M9" s="10">
        <v>113589380</v>
      </c>
      <c r="N9" s="10">
        <v>14122</v>
      </c>
      <c r="O9" s="12">
        <v>12</v>
      </c>
    </row>
    <row r="10" spans="1:15" ht="15" customHeight="1" x14ac:dyDescent="0.3">
      <c r="A10" s="9">
        <v>43578</v>
      </c>
      <c r="B10" s="12">
        <v>316</v>
      </c>
      <c r="C10" s="11">
        <v>4.9000000000000002E-2</v>
      </c>
      <c r="D10" s="12">
        <v>523</v>
      </c>
      <c r="E10" s="11">
        <v>3.4000000000000002E-2</v>
      </c>
      <c r="F10" s="10">
        <v>66279</v>
      </c>
      <c r="G10" s="11">
        <v>2.7E-2</v>
      </c>
      <c r="H10" s="11">
        <v>3.3000000000000002E-2</v>
      </c>
      <c r="I10" s="10">
        <v>16203060</v>
      </c>
      <c r="J10" s="12" t="s">
        <v>7119</v>
      </c>
      <c r="K10" s="10">
        <v>2161</v>
      </c>
      <c r="L10" s="12" t="s">
        <v>7120</v>
      </c>
      <c r="M10" s="10">
        <v>129792440</v>
      </c>
      <c r="N10" s="10">
        <v>16283</v>
      </c>
      <c r="O10" s="12">
        <v>13</v>
      </c>
    </row>
    <row r="11" spans="1:15" ht="15" customHeight="1" x14ac:dyDescent="0.3">
      <c r="A11" s="9">
        <v>43579</v>
      </c>
      <c r="B11" s="12">
        <v>163</v>
      </c>
      <c r="C11" s="11">
        <v>3.4000000000000002E-2</v>
      </c>
      <c r="D11" s="12">
        <v>177</v>
      </c>
      <c r="E11" s="11">
        <v>1.0999999999999999E-2</v>
      </c>
      <c r="F11" s="10">
        <v>21687</v>
      </c>
      <c r="G11" s="11">
        <v>8.9999999999999993E-3</v>
      </c>
      <c r="H11" s="11">
        <v>4.9000000000000002E-2</v>
      </c>
      <c r="I11" s="10">
        <v>6688800</v>
      </c>
      <c r="J11" s="12" t="s">
        <v>7121</v>
      </c>
      <c r="K11" s="10">
        <v>1064</v>
      </c>
      <c r="L11" s="12" t="s">
        <v>7122</v>
      </c>
      <c r="M11" s="10">
        <v>136481240</v>
      </c>
      <c r="N11" s="10">
        <v>17347</v>
      </c>
      <c r="O11" s="12">
        <v>9</v>
      </c>
    </row>
    <row r="12" spans="1:15" ht="15" customHeight="1" x14ac:dyDescent="0.3">
      <c r="A12" s="9">
        <v>43580</v>
      </c>
      <c r="B12" s="12">
        <v>33</v>
      </c>
      <c r="C12" s="11">
        <v>7.0000000000000001E-3</v>
      </c>
      <c r="D12" s="12">
        <v>38</v>
      </c>
      <c r="E12" s="11">
        <v>2E-3</v>
      </c>
      <c r="F12" s="10">
        <v>3741</v>
      </c>
      <c r="G12" s="11">
        <v>2E-3</v>
      </c>
      <c r="H12" s="11">
        <v>0.21299999999999999</v>
      </c>
      <c r="I12" s="10">
        <v>4990600</v>
      </c>
      <c r="J12" s="12" t="s">
        <v>7123</v>
      </c>
      <c r="K12" s="12">
        <v>795</v>
      </c>
      <c r="L12" s="12" t="s">
        <v>7124</v>
      </c>
      <c r="M12" s="10">
        <v>141471840</v>
      </c>
      <c r="N12" s="10">
        <v>18142</v>
      </c>
      <c r="O12" s="12">
        <v>10</v>
      </c>
    </row>
    <row r="13" spans="1:15" ht="15" customHeight="1" x14ac:dyDescent="0.3">
      <c r="A13" s="9">
        <v>43581</v>
      </c>
      <c r="B13" s="12">
        <v>31</v>
      </c>
      <c r="C13" s="11">
        <v>6.0000000000000001E-3</v>
      </c>
      <c r="D13" s="12">
        <v>36</v>
      </c>
      <c r="E13" s="11">
        <v>2E-3</v>
      </c>
      <c r="F13" s="10">
        <v>3318</v>
      </c>
      <c r="G13" s="11">
        <v>1E-3</v>
      </c>
      <c r="H13" s="11">
        <v>8.2000000000000003E-2</v>
      </c>
      <c r="I13" s="10">
        <v>1791600</v>
      </c>
      <c r="J13" s="12" t="s">
        <v>7125</v>
      </c>
      <c r="K13" s="12">
        <v>271</v>
      </c>
      <c r="L13" s="12" t="s">
        <v>7126</v>
      </c>
      <c r="M13" s="10">
        <v>143263440</v>
      </c>
      <c r="N13" s="10">
        <v>18413</v>
      </c>
      <c r="O13" s="12">
        <v>27</v>
      </c>
    </row>
    <row r="14" spans="1:15" ht="15" customHeight="1" x14ac:dyDescent="0.3">
      <c r="A14" s="9">
        <v>43582</v>
      </c>
      <c r="B14" s="12">
        <v>28</v>
      </c>
      <c r="C14" s="11">
        <v>6.0000000000000001E-3</v>
      </c>
      <c r="D14" s="12">
        <v>33</v>
      </c>
      <c r="E14" s="11">
        <v>2E-3</v>
      </c>
      <c r="F14" s="10">
        <v>3109</v>
      </c>
      <c r="G14" s="11">
        <v>1E-3</v>
      </c>
      <c r="H14" s="11">
        <v>0.127</v>
      </c>
      <c r="I14" s="10">
        <v>3014100</v>
      </c>
      <c r="J14" s="12" t="s">
        <v>7127</v>
      </c>
      <c r="K14" s="12">
        <v>396</v>
      </c>
      <c r="L14" s="12" t="s">
        <v>7128</v>
      </c>
      <c r="M14" s="10">
        <v>146277540</v>
      </c>
      <c r="N14" s="10">
        <v>18809</v>
      </c>
      <c r="O14" s="12">
        <v>18</v>
      </c>
    </row>
    <row r="15" spans="1:15" ht="15" customHeight="1" x14ac:dyDescent="0.3">
      <c r="A15" s="9">
        <v>43583</v>
      </c>
      <c r="B15" s="12">
        <v>34</v>
      </c>
      <c r="C15" s="11">
        <v>7.0000000000000001E-3</v>
      </c>
      <c r="D15" s="12">
        <v>40</v>
      </c>
      <c r="E15" s="11">
        <v>2E-3</v>
      </c>
      <c r="F15" s="10">
        <v>3840</v>
      </c>
      <c r="G15" s="11">
        <v>2E-3</v>
      </c>
      <c r="H15" s="11">
        <v>0.152</v>
      </c>
      <c r="I15" s="10">
        <v>4301200</v>
      </c>
      <c r="J15" s="12" t="s">
        <v>7129</v>
      </c>
      <c r="K15" s="12">
        <v>584</v>
      </c>
      <c r="L15" s="12" t="s">
        <v>7130</v>
      </c>
      <c r="M15" s="10">
        <v>150578740</v>
      </c>
      <c r="N15" s="10">
        <v>19393</v>
      </c>
      <c r="O15" s="12">
        <v>14</v>
      </c>
    </row>
    <row r="16" spans="1:15" ht="15" customHeight="1" x14ac:dyDescent="0.3">
      <c r="A16" s="9">
        <v>43584</v>
      </c>
      <c r="B16" s="12">
        <v>30</v>
      </c>
      <c r="C16" s="11">
        <v>6.0000000000000001E-3</v>
      </c>
      <c r="D16" s="12">
        <v>36</v>
      </c>
      <c r="E16" s="11">
        <v>2E-3</v>
      </c>
      <c r="F16" s="10">
        <v>3389</v>
      </c>
      <c r="G16" s="11">
        <v>1E-3</v>
      </c>
      <c r="H16" s="11">
        <v>0.13100000000000001</v>
      </c>
      <c r="I16" s="10">
        <v>3521200</v>
      </c>
      <c r="J16" s="12" t="s">
        <v>7131</v>
      </c>
      <c r="K16" s="12">
        <v>445</v>
      </c>
      <c r="L16" s="12" t="s">
        <v>7132</v>
      </c>
      <c r="M16" s="10">
        <v>154099940</v>
      </c>
      <c r="N16" s="10">
        <v>19838</v>
      </c>
      <c r="O16" s="12">
        <v>20</v>
      </c>
    </row>
    <row r="17" spans="1:15" ht="15" customHeight="1" x14ac:dyDescent="0.3">
      <c r="A17" s="9">
        <v>43585</v>
      </c>
      <c r="B17" s="12">
        <v>36</v>
      </c>
      <c r="C17" s="11">
        <v>7.0000000000000001E-3</v>
      </c>
      <c r="D17" s="12">
        <v>41</v>
      </c>
      <c r="E17" s="11">
        <v>3.0000000000000001E-3</v>
      </c>
      <c r="F17" s="10">
        <v>3546</v>
      </c>
      <c r="G17" s="11">
        <v>1E-3</v>
      </c>
      <c r="H17" s="11">
        <v>6.3E-2</v>
      </c>
      <c r="I17" s="10">
        <v>1546200</v>
      </c>
      <c r="J17" s="12" t="s">
        <v>7133</v>
      </c>
      <c r="K17" s="12">
        <v>224</v>
      </c>
      <c r="L17" s="12" t="s">
        <v>7134</v>
      </c>
      <c r="M17" s="10">
        <v>155646140</v>
      </c>
      <c r="N17" s="10">
        <v>20062</v>
      </c>
      <c r="O17" s="12">
        <v>35</v>
      </c>
    </row>
    <row r="18" spans="1:15" ht="15" customHeight="1" x14ac:dyDescent="0.3">
      <c r="A18" s="9">
        <v>43586</v>
      </c>
      <c r="B18" s="12">
        <v>17</v>
      </c>
      <c r="C18" s="11">
        <v>3.0000000000000001E-3</v>
      </c>
      <c r="D18" s="12">
        <v>17</v>
      </c>
      <c r="E18" s="11">
        <v>1E-3</v>
      </c>
      <c r="F18" s="10">
        <v>1739</v>
      </c>
      <c r="G18" s="11">
        <v>1E-3</v>
      </c>
      <c r="H18" s="11">
        <v>0.185</v>
      </c>
      <c r="I18" s="10">
        <v>2127400</v>
      </c>
      <c r="J18" s="12" t="s">
        <v>7135</v>
      </c>
      <c r="K18" s="12">
        <v>321</v>
      </c>
      <c r="L18" s="12" t="s">
        <v>7136</v>
      </c>
      <c r="M18" s="10">
        <v>157773540</v>
      </c>
      <c r="N18" s="10">
        <v>20383</v>
      </c>
      <c r="O18" s="12">
        <v>24</v>
      </c>
    </row>
    <row r="19" spans="1:15" ht="15" customHeight="1" x14ac:dyDescent="0.3">
      <c r="A19" s="9">
        <v>43587</v>
      </c>
      <c r="B19" s="12">
        <v>10</v>
      </c>
      <c r="C19" s="11">
        <v>2E-3</v>
      </c>
      <c r="D19" s="12">
        <v>11</v>
      </c>
      <c r="E19" s="11">
        <v>1E-3</v>
      </c>
      <c r="F19" s="12">
        <v>799</v>
      </c>
      <c r="G19" s="11">
        <v>0</v>
      </c>
      <c r="H19" s="11">
        <v>0.20499999999999999</v>
      </c>
      <c r="I19" s="10">
        <v>1084000</v>
      </c>
      <c r="J19" s="12" t="s">
        <v>7137</v>
      </c>
      <c r="K19" s="12">
        <v>164</v>
      </c>
      <c r="L19" s="12" t="s">
        <v>7138</v>
      </c>
      <c r="M19" s="10">
        <v>158857540</v>
      </c>
      <c r="N19" s="10">
        <v>20547</v>
      </c>
      <c r="O19" s="12">
        <v>35</v>
      </c>
    </row>
    <row r="20" spans="1:15" ht="15" customHeight="1" x14ac:dyDescent="0.3">
      <c r="A20" s="9">
        <v>43588</v>
      </c>
      <c r="B20" s="12">
        <v>12</v>
      </c>
      <c r="C20" s="11">
        <v>2E-3</v>
      </c>
      <c r="D20" s="12">
        <v>13</v>
      </c>
      <c r="E20" s="11">
        <v>1E-3</v>
      </c>
      <c r="F20" s="10">
        <v>1322</v>
      </c>
      <c r="G20" s="11">
        <v>1E-3</v>
      </c>
      <c r="H20" s="11">
        <v>7.9000000000000001E-2</v>
      </c>
      <c r="I20" s="10">
        <v>745600</v>
      </c>
      <c r="J20" s="12" t="s">
        <v>7139</v>
      </c>
      <c r="K20" s="12">
        <v>104</v>
      </c>
      <c r="L20" s="12" t="s">
        <v>7140</v>
      </c>
      <c r="M20" s="10">
        <v>159603140</v>
      </c>
      <c r="N20" s="10">
        <v>20651</v>
      </c>
      <c r="O20" s="12">
        <v>41</v>
      </c>
    </row>
    <row r="21" spans="1:15" ht="15" customHeight="1" x14ac:dyDescent="0.3">
      <c r="A21" s="9">
        <v>43589</v>
      </c>
      <c r="B21" s="12">
        <v>9</v>
      </c>
      <c r="C21" s="11">
        <v>2E-3</v>
      </c>
      <c r="D21" s="12">
        <v>10</v>
      </c>
      <c r="E21" s="11">
        <v>1E-3</v>
      </c>
      <c r="F21" s="12">
        <v>889</v>
      </c>
      <c r="G21" s="11">
        <v>0</v>
      </c>
      <c r="H21" s="11">
        <v>0.14499999999999999</v>
      </c>
      <c r="I21" s="10">
        <v>979000</v>
      </c>
      <c r="J21" s="12" t="s">
        <v>7141</v>
      </c>
      <c r="K21" s="12">
        <v>129</v>
      </c>
      <c r="L21" s="12" t="s">
        <v>7142</v>
      </c>
      <c r="M21" s="10">
        <v>160582140</v>
      </c>
      <c r="N21" s="10">
        <v>20780</v>
      </c>
      <c r="O21" s="12">
        <v>33</v>
      </c>
    </row>
    <row r="22" spans="1:15" ht="15" customHeight="1" x14ac:dyDescent="0.3">
      <c r="A22" s="9">
        <v>43590</v>
      </c>
      <c r="B22" s="12">
        <v>7</v>
      </c>
      <c r="C22" s="11">
        <v>1E-3</v>
      </c>
      <c r="D22" s="12">
        <v>7</v>
      </c>
      <c r="E22" s="11">
        <v>0</v>
      </c>
      <c r="F22" s="12">
        <v>703</v>
      </c>
      <c r="G22" s="11">
        <v>0</v>
      </c>
      <c r="H22" s="11">
        <v>0.13800000000000001</v>
      </c>
      <c r="I22" s="10">
        <v>745000</v>
      </c>
      <c r="J22" s="12" t="s">
        <v>7143</v>
      </c>
      <c r="K22" s="12">
        <v>97</v>
      </c>
      <c r="L22" s="12" t="s">
        <v>7144</v>
      </c>
      <c r="M22" s="10">
        <v>161327140</v>
      </c>
      <c r="N22" s="10">
        <v>20877</v>
      </c>
      <c r="O22" s="12">
        <v>37</v>
      </c>
    </row>
    <row r="23" spans="1:15" ht="15" customHeight="1" x14ac:dyDescent="0.3">
      <c r="A23" s="9">
        <v>43591</v>
      </c>
      <c r="B23" s="12">
        <v>7</v>
      </c>
      <c r="C23" s="11">
        <v>1E-3</v>
      </c>
      <c r="D23" s="12">
        <v>8</v>
      </c>
      <c r="E23" s="11">
        <v>0</v>
      </c>
      <c r="F23" s="12">
        <v>631</v>
      </c>
      <c r="G23" s="11">
        <v>0</v>
      </c>
      <c r="H23" s="11">
        <v>0.36599999999999999</v>
      </c>
      <c r="I23" s="10">
        <v>1500000</v>
      </c>
      <c r="J23" s="12" t="s">
        <v>7145</v>
      </c>
      <c r="K23" s="12">
        <v>231</v>
      </c>
      <c r="L23" s="12" t="s">
        <v>7146</v>
      </c>
      <c r="M23" s="10">
        <v>162827140</v>
      </c>
      <c r="N23" s="10">
        <v>21108</v>
      </c>
      <c r="O23" s="12">
        <v>24</v>
      </c>
    </row>
    <row r="24" spans="1:15" ht="15" customHeight="1" x14ac:dyDescent="0.3">
      <c r="A24" s="9">
        <v>43592</v>
      </c>
      <c r="B24" s="12">
        <v>10</v>
      </c>
      <c r="C24" s="11">
        <v>2E-3</v>
      </c>
      <c r="D24" s="12">
        <v>10</v>
      </c>
      <c r="E24" s="11">
        <v>1E-3</v>
      </c>
      <c r="F24" s="12">
        <v>735</v>
      </c>
      <c r="G24" s="11">
        <v>0</v>
      </c>
      <c r="H24" s="11">
        <v>7.4999999999999997E-2</v>
      </c>
      <c r="I24" s="10">
        <v>338000</v>
      </c>
      <c r="J24" s="12" t="s">
        <v>7147</v>
      </c>
      <c r="K24" s="12">
        <v>55</v>
      </c>
      <c r="L24" s="12" t="s">
        <v>7148</v>
      </c>
      <c r="M24" s="10">
        <v>163165140</v>
      </c>
      <c r="N24" s="10">
        <v>21163</v>
      </c>
      <c r="O24" s="12">
        <v>51</v>
      </c>
    </row>
    <row r="25" spans="1:15" ht="15" customHeight="1" x14ac:dyDescent="0.3">
      <c r="A25" s="9">
        <v>43593</v>
      </c>
      <c r="B25" s="12">
        <v>13</v>
      </c>
      <c r="C25" s="11">
        <v>3.0000000000000001E-3</v>
      </c>
      <c r="D25" s="12">
        <v>13</v>
      </c>
      <c r="E25" s="11">
        <v>1E-3</v>
      </c>
      <c r="F25" s="12">
        <v>959</v>
      </c>
      <c r="G25" s="11">
        <v>0</v>
      </c>
      <c r="H25" s="11">
        <v>0.123</v>
      </c>
      <c r="I25" s="10">
        <v>743000</v>
      </c>
      <c r="J25" s="12" t="s">
        <v>7149</v>
      </c>
      <c r="K25" s="12">
        <v>118</v>
      </c>
      <c r="L25" s="12" t="s">
        <v>7150</v>
      </c>
      <c r="M25" s="10">
        <v>163908140</v>
      </c>
      <c r="N25" s="10">
        <v>21281</v>
      </c>
      <c r="O25" s="12">
        <v>40</v>
      </c>
    </row>
    <row r="26" spans="1:15" ht="15" customHeight="1" x14ac:dyDescent="0.3">
      <c r="A26" s="9">
        <v>43594</v>
      </c>
      <c r="B26" s="12">
        <v>4</v>
      </c>
      <c r="C26" s="11">
        <v>1E-3</v>
      </c>
      <c r="D26" s="12">
        <v>4</v>
      </c>
      <c r="E26" s="11">
        <v>0</v>
      </c>
      <c r="F26" s="12">
        <v>306</v>
      </c>
      <c r="G26" s="11">
        <v>0</v>
      </c>
      <c r="H26" s="11">
        <v>0.38900000000000001</v>
      </c>
      <c r="I26" s="10">
        <v>727000</v>
      </c>
      <c r="J26" s="12" t="s">
        <v>7151</v>
      </c>
      <c r="K26" s="12">
        <v>119</v>
      </c>
      <c r="L26" s="12" t="s">
        <v>7152</v>
      </c>
      <c r="M26" s="10">
        <v>164635140</v>
      </c>
      <c r="N26" s="10">
        <v>21400</v>
      </c>
      <c r="O26" s="12">
        <v>39</v>
      </c>
    </row>
    <row r="27" spans="1:15" ht="15" customHeight="1" x14ac:dyDescent="0.3">
      <c r="A27" s="9">
        <v>43595</v>
      </c>
      <c r="B27" s="12">
        <v>5</v>
      </c>
      <c r="C27" s="11">
        <v>1E-3</v>
      </c>
      <c r="D27" s="12">
        <v>6</v>
      </c>
      <c r="E27" s="11">
        <v>0</v>
      </c>
      <c r="F27" s="12">
        <v>415</v>
      </c>
      <c r="G27" s="11">
        <v>0</v>
      </c>
      <c r="H27" s="11">
        <v>4.2999999999999997E-2</v>
      </c>
      <c r="I27" s="10">
        <v>136000</v>
      </c>
      <c r="J27" s="12" t="s">
        <v>7153</v>
      </c>
      <c r="K27" s="12">
        <v>18</v>
      </c>
      <c r="L27" s="12" t="s">
        <v>7154</v>
      </c>
      <c r="M27" s="10">
        <v>164771140</v>
      </c>
      <c r="N27" s="10">
        <v>21418</v>
      </c>
      <c r="O27" s="12">
        <v>72</v>
      </c>
    </row>
    <row r="28" spans="1:15" ht="15" customHeight="1" x14ac:dyDescent="0.3">
      <c r="A28" s="9">
        <v>43596</v>
      </c>
      <c r="B28" s="12">
        <v>5</v>
      </c>
      <c r="C28" s="11">
        <v>1E-3</v>
      </c>
      <c r="D28" s="12">
        <v>6</v>
      </c>
      <c r="E28" s="11">
        <v>0</v>
      </c>
      <c r="F28" s="12">
        <v>415</v>
      </c>
      <c r="G28" s="11">
        <v>0</v>
      </c>
      <c r="H28" s="11">
        <v>0.159</v>
      </c>
      <c r="I28" s="10">
        <v>472500</v>
      </c>
      <c r="J28" s="12" t="s">
        <v>7155</v>
      </c>
      <c r="K28" s="12">
        <v>66</v>
      </c>
      <c r="L28" s="12" t="s">
        <v>7156</v>
      </c>
      <c r="M28" s="10">
        <v>165243640</v>
      </c>
      <c r="N28" s="10">
        <v>21484</v>
      </c>
      <c r="O28" s="12">
        <v>50</v>
      </c>
    </row>
    <row r="29" spans="1:15" ht="15" customHeight="1" x14ac:dyDescent="0.3">
      <c r="A29" s="9">
        <v>43597</v>
      </c>
      <c r="B29" s="12">
        <v>7</v>
      </c>
      <c r="C29" s="11">
        <v>1E-3</v>
      </c>
      <c r="D29" s="12">
        <v>8</v>
      </c>
      <c r="E29" s="11">
        <v>0</v>
      </c>
      <c r="F29" s="12">
        <v>641</v>
      </c>
      <c r="G29" s="11">
        <v>0</v>
      </c>
      <c r="H29" s="11">
        <v>0.13700000000000001</v>
      </c>
      <c r="I29" s="10">
        <v>668500</v>
      </c>
      <c r="J29" s="12" t="s">
        <v>7157</v>
      </c>
      <c r="K29" s="12">
        <v>88</v>
      </c>
      <c r="L29" s="12" t="s">
        <v>7158</v>
      </c>
      <c r="M29" s="10">
        <v>165912140</v>
      </c>
      <c r="N29" s="10">
        <v>21572</v>
      </c>
      <c r="O29" s="12">
        <v>39</v>
      </c>
    </row>
    <row r="30" spans="1:15" ht="15" customHeight="1" x14ac:dyDescent="0.3">
      <c r="A30" s="9">
        <v>43598</v>
      </c>
      <c r="B30" s="12">
        <v>3</v>
      </c>
      <c r="C30" s="11">
        <v>1E-3</v>
      </c>
      <c r="D30" s="12">
        <v>3</v>
      </c>
      <c r="E30" s="11">
        <v>0</v>
      </c>
      <c r="F30" s="12">
        <v>272</v>
      </c>
      <c r="G30" s="11">
        <v>0</v>
      </c>
      <c r="H30" s="11">
        <v>0.41199999999999998</v>
      </c>
      <c r="I30" s="10">
        <v>782000</v>
      </c>
      <c r="J30" s="12" t="s">
        <v>7159</v>
      </c>
      <c r="K30" s="12">
        <v>112</v>
      </c>
      <c r="L30" s="12" t="s">
        <v>7160</v>
      </c>
      <c r="M30" s="10">
        <v>166694140</v>
      </c>
      <c r="N30" s="10">
        <v>21684</v>
      </c>
      <c r="O30" s="12">
        <v>36</v>
      </c>
    </row>
    <row r="31" spans="1:15" ht="15" customHeight="1" x14ac:dyDescent="0.3">
      <c r="A31" s="9">
        <v>43599</v>
      </c>
      <c r="B31" s="12">
        <v>5</v>
      </c>
      <c r="C31" s="11">
        <v>1E-3</v>
      </c>
      <c r="D31" s="12">
        <v>6</v>
      </c>
      <c r="E31" s="11">
        <v>0</v>
      </c>
      <c r="F31" s="12">
        <v>684</v>
      </c>
      <c r="G31" s="11">
        <v>0</v>
      </c>
      <c r="H31" s="11">
        <v>4.3999999999999997E-2</v>
      </c>
      <c r="I31" s="10">
        <v>195500</v>
      </c>
      <c r="J31" s="12" t="s">
        <v>7161</v>
      </c>
      <c r="K31" s="12">
        <v>30</v>
      </c>
      <c r="L31" s="12" t="s">
        <v>7162</v>
      </c>
      <c r="M31" s="10">
        <v>166889640</v>
      </c>
      <c r="N31" s="10">
        <v>21714</v>
      </c>
      <c r="O31" s="12">
        <v>62</v>
      </c>
    </row>
    <row r="32" spans="1:15" ht="15" customHeight="1" x14ac:dyDescent="0.3">
      <c r="A32" s="9">
        <v>43600</v>
      </c>
      <c r="B32" s="12">
        <v>4</v>
      </c>
      <c r="C32" s="11">
        <v>1E-3</v>
      </c>
      <c r="D32" s="12">
        <v>4</v>
      </c>
      <c r="E32" s="11">
        <v>0</v>
      </c>
      <c r="F32" s="12">
        <v>249</v>
      </c>
      <c r="G32" s="11">
        <v>0</v>
      </c>
      <c r="H32" s="11">
        <v>9.1999999999999998E-2</v>
      </c>
      <c r="I32" s="10">
        <v>151500</v>
      </c>
      <c r="J32" s="12" t="s">
        <v>7163</v>
      </c>
      <c r="K32" s="12">
        <v>23</v>
      </c>
      <c r="L32" s="12" t="s">
        <v>3767</v>
      </c>
      <c r="M32" s="10">
        <v>167041140</v>
      </c>
      <c r="N32" s="10">
        <v>21737</v>
      </c>
      <c r="O32" s="12">
        <v>63</v>
      </c>
    </row>
    <row r="33" spans="1:15" ht="15" customHeight="1" x14ac:dyDescent="0.3">
      <c r="A33" s="9">
        <v>43601</v>
      </c>
      <c r="B33" s="12">
        <v>3</v>
      </c>
      <c r="C33" s="11">
        <v>1E-3</v>
      </c>
      <c r="D33" s="12">
        <v>3</v>
      </c>
      <c r="E33" s="11">
        <v>0</v>
      </c>
      <c r="F33" s="12">
        <v>410</v>
      </c>
      <c r="G33" s="11">
        <v>0</v>
      </c>
      <c r="H33" s="11">
        <v>0.39500000000000002</v>
      </c>
      <c r="I33" s="10">
        <v>803000</v>
      </c>
      <c r="J33" s="12" t="s">
        <v>7164</v>
      </c>
      <c r="K33" s="12">
        <v>162</v>
      </c>
      <c r="L33" s="12" t="s">
        <v>7165</v>
      </c>
      <c r="M33" s="10">
        <v>167844140</v>
      </c>
      <c r="N33" s="10">
        <v>21899</v>
      </c>
      <c r="O33" s="12">
        <v>41</v>
      </c>
    </row>
    <row r="34" spans="1:15" ht="15" customHeight="1" x14ac:dyDescent="0.3">
      <c r="A34" s="9">
        <v>43602</v>
      </c>
      <c r="B34" s="12">
        <v>9</v>
      </c>
      <c r="C34" s="11">
        <v>2E-3</v>
      </c>
      <c r="D34" s="12">
        <v>9</v>
      </c>
      <c r="E34" s="11">
        <v>0</v>
      </c>
      <c r="F34" s="12">
        <v>819</v>
      </c>
      <c r="G34" s="11">
        <v>0</v>
      </c>
      <c r="H34" s="11">
        <v>0.42099999999999999</v>
      </c>
      <c r="I34" s="10">
        <v>2236500</v>
      </c>
      <c r="J34" s="12" t="s">
        <v>7166</v>
      </c>
      <c r="K34" s="12">
        <v>345</v>
      </c>
      <c r="L34" s="12" t="s">
        <v>7167</v>
      </c>
      <c r="M34" s="10">
        <v>170080640</v>
      </c>
      <c r="N34" s="10">
        <v>22244</v>
      </c>
      <c r="O34" s="12">
        <v>20</v>
      </c>
    </row>
    <row r="35" spans="1:15" ht="15" customHeight="1" x14ac:dyDescent="0.3">
      <c r="A35" s="9">
        <v>43603</v>
      </c>
      <c r="B35" s="12">
        <v>3</v>
      </c>
      <c r="C35" s="11">
        <v>0</v>
      </c>
      <c r="D35" s="12">
        <v>3</v>
      </c>
      <c r="E35" s="11">
        <v>0</v>
      </c>
      <c r="F35" s="12">
        <v>217</v>
      </c>
      <c r="G35" s="11">
        <v>0</v>
      </c>
      <c r="H35" s="11">
        <v>0.157</v>
      </c>
      <c r="I35" s="10">
        <v>224500</v>
      </c>
      <c r="J35" s="12" t="s">
        <v>7168</v>
      </c>
      <c r="K35" s="12">
        <v>34</v>
      </c>
      <c r="L35" s="12" t="s">
        <v>7169</v>
      </c>
      <c r="M35" s="10">
        <v>170305140</v>
      </c>
      <c r="N35" s="10">
        <v>22278</v>
      </c>
      <c r="O35" s="12">
        <v>61</v>
      </c>
    </row>
    <row r="36" spans="1:15" ht="15" customHeight="1" x14ac:dyDescent="0.3">
      <c r="A36" s="9">
        <v>43604</v>
      </c>
      <c r="B36" s="12">
        <v>3</v>
      </c>
      <c r="C36" s="11">
        <v>0</v>
      </c>
      <c r="D36" s="12">
        <v>3</v>
      </c>
      <c r="E36" s="11">
        <v>0</v>
      </c>
      <c r="F36" s="12">
        <v>236</v>
      </c>
      <c r="G36" s="11">
        <v>0</v>
      </c>
      <c r="H36" s="11">
        <v>0.161</v>
      </c>
      <c r="I36" s="10">
        <v>302000</v>
      </c>
      <c r="J36" s="12" t="s">
        <v>7170</v>
      </c>
      <c r="K36" s="12">
        <v>38</v>
      </c>
      <c r="L36" s="12" t="s">
        <v>7171</v>
      </c>
      <c r="M36" s="10">
        <v>170607140</v>
      </c>
      <c r="N36" s="10">
        <v>22316</v>
      </c>
      <c r="O36" s="12">
        <v>48</v>
      </c>
    </row>
    <row r="37" spans="1:15" ht="15" customHeight="1" x14ac:dyDescent="0.3">
      <c r="A37" s="9">
        <v>43605</v>
      </c>
      <c r="B37" s="12">
        <v>3</v>
      </c>
      <c r="C37" s="11">
        <v>1E-3</v>
      </c>
      <c r="D37" s="12">
        <v>3</v>
      </c>
      <c r="E37" s="11">
        <v>0</v>
      </c>
      <c r="F37" s="12">
        <v>264</v>
      </c>
      <c r="G37" s="11">
        <v>0</v>
      </c>
      <c r="H37" s="11">
        <v>0.48499999999999999</v>
      </c>
      <c r="I37" s="10">
        <v>740500</v>
      </c>
      <c r="J37" s="12" t="s">
        <v>7172</v>
      </c>
      <c r="K37" s="12">
        <v>128</v>
      </c>
      <c r="L37" s="12" t="s">
        <v>7173</v>
      </c>
      <c r="M37" s="10">
        <v>171347640</v>
      </c>
      <c r="N37" s="10">
        <v>22444</v>
      </c>
      <c r="O37" s="12">
        <v>31</v>
      </c>
    </row>
    <row r="38" spans="1:15" ht="15" customHeight="1" x14ac:dyDescent="0.3">
      <c r="A38" s="9">
        <v>43606</v>
      </c>
      <c r="B38" s="12">
        <v>5</v>
      </c>
      <c r="C38" s="11">
        <v>1E-3</v>
      </c>
      <c r="D38" s="12">
        <v>5</v>
      </c>
      <c r="E38" s="11">
        <v>0</v>
      </c>
      <c r="F38" s="12">
        <v>451</v>
      </c>
      <c r="G38" s="11">
        <v>0</v>
      </c>
      <c r="H38" s="11">
        <v>0.26200000000000001</v>
      </c>
      <c r="I38" s="10">
        <v>830000</v>
      </c>
      <c r="J38" s="12" t="s">
        <v>7174</v>
      </c>
      <c r="K38" s="12">
        <v>118</v>
      </c>
      <c r="L38" s="12" t="s">
        <v>7175</v>
      </c>
      <c r="M38" s="10">
        <v>172177640</v>
      </c>
      <c r="N38" s="10">
        <v>22562</v>
      </c>
      <c r="O38" s="12">
        <v>38</v>
      </c>
    </row>
    <row r="39" spans="1:15" ht="15" customHeight="1" x14ac:dyDescent="0.3">
      <c r="A39" s="9">
        <v>43607</v>
      </c>
      <c r="B39" s="12">
        <v>7</v>
      </c>
      <c r="C39" s="11">
        <v>1E-3</v>
      </c>
      <c r="D39" s="12">
        <v>9</v>
      </c>
      <c r="E39" s="11">
        <v>1E-3</v>
      </c>
      <c r="F39" s="10">
        <v>1070</v>
      </c>
      <c r="G39" s="11">
        <v>0</v>
      </c>
      <c r="H39" s="11">
        <v>0.16800000000000001</v>
      </c>
      <c r="I39" s="10">
        <v>1171000</v>
      </c>
      <c r="J39" s="12" t="s">
        <v>7176</v>
      </c>
      <c r="K39" s="12">
        <v>180</v>
      </c>
      <c r="L39" s="12" t="s">
        <v>7177</v>
      </c>
      <c r="M39" s="10">
        <v>173348640</v>
      </c>
      <c r="N39" s="10">
        <v>22742</v>
      </c>
      <c r="O39" s="12">
        <v>29</v>
      </c>
    </row>
    <row r="40" spans="1:15" ht="15" customHeight="1" x14ac:dyDescent="0.3">
      <c r="A40" s="9">
        <v>43608</v>
      </c>
      <c r="B40" s="12">
        <v>4</v>
      </c>
      <c r="C40" s="11">
        <v>1E-3</v>
      </c>
      <c r="D40" s="12">
        <v>5</v>
      </c>
      <c r="E40" s="11">
        <v>0</v>
      </c>
      <c r="F40" s="12">
        <v>331</v>
      </c>
      <c r="G40" s="11">
        <v>0</v>
      </c>
      <c r="H40" s="11">
        <v>0.80400000000000005</v>
      </c>
      <c r="I40" s="10">
        <v>1674000</v>
      </c>
      <c r="J40" s="12" t="s">
        <v>7178</v>
      </c>
      <c r="K40" s="12">
        <v>266</v>
      </c>
      <c r="L40" s="12" t="s">
        <v>7179</v>
      </c>
      <c r="M40" s="10">
        <v>175022640</v>
      </c>
      <c r="N40" s="10">
        <v>23008</v>
      </c>
      <c r="O40" s="12">
        <v>25</v>
      </c>
    </row>
    <row r="41" spans="1:15" ht="15" customHeight="1" x14ac:dyDescent="0.3">
      <c r="A41" s="9">
        <v>43612</v>
      </c>
      <c r="B41" s="12">
        <v>2</v>
      </c>
      <c r="C41" s="11">
        <v>0</v>
      </c>
      <c r="D41" s="12">
        <v>2</v>
      </c>
      <c r="E41" s="11">
        <v>0</v>
      </c>
      <c r="F41" s="12">
        <v>189</v>
      </c>
      <c r="G41" s="11">
        <v>0</v>
      </c>
      <c r="H41" s="11">
        <v>0.66100000000000003</v>
      </c>
      <c r="I41" s="10">
        <v>735000</v>
      </c>
      <c r="J41" s="12" t="s">
        <v>7180</v>
      </c>
      <c r="K41" s="12">
        <v>125</v>
      </c>
      <c r="L41" s="12" t="s">
        <v>7181</v>
      </c>
      <c r="M41" s="10">
        <v>175757640</v>
      </c>
      <c r="N41" s="10">
        <v>23133</v>
      </c>
      <c r="O41" s="12">
        <v>32</v>
      </c>
    </row>
    <row r="42" spans="1:15" ht="15" customHeight="1" x14ac:dyDescent="0.3">
      <c r="A42" s="9">
        <v>43643</v>
      </c>
      <c r="B42" s="12">
        <v>1</v>
      </c>
      <c r="C42" s="11">
        <v>0</v>
      </c>
      <c r="D42" s="12">
        <v>1</v>
      </c>
      <c r="E42" s="11">
        <v>0</v>
      </c>
      <c r="F42" s="12">
        <v>238</v>
      </c>
      <c r="G42" s="11">
        <v>0</v>
      </c>
      <c r="H42" s="11">
        <v>1</v>
      </c>
      <c r="I42" s="10">
        <v>2380000</v>
      </c>
      <c r="J42" s="12" t="s">
        <v>7182</v>
      </c>
      <c r="K42" s="12">
        <v>238</v>
      </c>
      <c r="L42" s="12" t="s">
        <v>7183</v>
      </c>
      <c r="M42" s="10">
        <v>178137640</v>
      </c>
      <c r="N42" s="10">
        <v>23371</v>
      </c>
      <c r="O42" s="12">
        <v>33</v>
      </c>
    </row>
    <row r="43" spans="1:15" ht="15" customHeight="1" x14ac:dyDescent="0.3"/>
    <row r="44" spans="1:15" ht="15" customHeight="1" x14ac:dyDescent="0.3"/>
    <row r="45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CC9A-FBDF-4EA7-BBE0-DFEBEC6FABE3}">
  <dimension ref="A1:O72"/>
  <sheetViews>
    <sheetView showGridLines="0" workbookViewId="0">
      <selection activeCell="A5" sqref="A5:O9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8.375" bestFit="1" customWidth="1"/>
    <col min="7" max="8" width="9.625" bestFit="1" customWidth="1"/>
    <col min="9" max="9" width="11.5" bestFit="1" customWidth="1"/>
    <col min="10" max="10" width="19.7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7184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43600</v>
      </c>
      <c r="B5" s="10">
        <v>1048</v>
      </c>
      <c r="C5" s="11">
        <v>0.19800000000000001</v>
      </c>
      <c r="D5" s="10">
        <v>5187</v>
      </c>
      <c r="E5" s="11">
        <v>0.29599999999999999</v>
      </c>
      <c r="F5" s="10">
        <v>905687</v>
      </c>
      <c r="G5" s="11">
        <v>0.33200000000000002</v>
      </c>
      <c r="H5" s="11">
        <v>0.19400000000000001</v>
      </c>
      <c r="I5" s="10">
        <v>1444258970</v>
      </c>
      <c r="J5" s="12" t="s">
        <v>7185</v>
      </c>
      <c r="K5" s="10">
        <v>175397</v>
      </c>
      <c r="L5" s="12" t="s">
        <v>7186</v>
      </c>
      <c r="M5" s="10">
        <v>1623255570</v>
      </c>
      <c r="N5" s="10">
        <v>196391</v>
      </c>
      <c r="O5" s="12">
        <v>1</v>
      </c>
    </row>
    <row r="6" spans="1:15" ht="15" customHeight="1" x14ac:dyDescent="0.3">
      <c r="A6" s="9">
        <v>43601</v>
      </c>
      <c r="B6" s="10">
        <v>1109</v>
      </c>
      <c r="C6" s="11">
        <v>0.19500000000000001</v>
      </c>
      <c r="D6" s="10">
        <v>5379</v>
      </c>
      <c r="E6" s="11">
        <v>0.308</v>
      </c>
      <c r="F6" s="10">
        <v>938276</v>
      </c>
      <c r="G6" s="11">
        <v>0.34399999999999997</v>
      </c>
      <c r="H6" s="11">
        <v>0.182</v>
      </c>
      <c r="I6" s="10">
        <v>1407617270</v>
      </c>
      <c r="J6" s="12" t="s">
        <v>7187</v>
      </c>
      <c r="K6" s="10">
        <v>170543</v>
      </c>
      <c r="L6" s="12" t="s">
        <v>7188</v>
      </c>
      <c r="M6" s="10">
        <v>3030872840</v>
      </c>
      <c r="N6" s="10">
        <v>366934</v>
      </c>
      <c r="O6" s="12">
        <v>1</v>
      </c>
    </row>
    <row r="7" spans="1:15" ht="15" customHeight="1" x14ac:dyDescent="0.3">
      <c r="A7" s="9">
        <v>43602</v>
      </c>
      <c r="B7" s="10">
        <v>1185</v>
      </c>
      <c r="C7" s="11">
        <v>0.20399999999999999</v>
      </c>
      <c r="D7" s="10">
        <v>5891</v>
      </c>
      <c r="E7" s="11">
        <v>0.32400000000000001</v>
      </c>
      <c r="F7" s="10">
        <v>1036549</v>
      </c>
      <c r="G7" s="11">
        <v>0.36599999999999999</v>
      </c>
      <c r="H7" s="11">
        <v>0.21</v>
      </c>
      <c r="I7" s="10">
        <v>1963705260</v>
      </c>
      <c r="J7" s="12" t="s">
        <v>7189</v>
      </c>
      <c r="K7" s="10">
        <v>217575</v>
      </c>
      <c r="L7" s="12" t="s">
        <v>7190</v>
      </c>
      <c r="M7" s="10">
        <v>4994578100</v>
      </c>
      <c r="N7" s="10">
        <v>584509</v>
      </c>
      <c r="O7" s="12">
        <v>1</v>
      </c>
    </row>
    <row r="8" spans="1:15" ht="15" customHeight="1" x14ac:dyDescent="0.3">
      <c r="A8" s="9">
        <v>43603</v>
      </c>
      <c r="B8" s="10">
        <v>1298</v>
      </c>
      <c r="C8" s="11">
        <v>0.20200000000000001</v>
      </c>
      <c r="D8" s="10">
        <v>6571</v>
      </c>
      <c r="E8" s="11">
        <v>0.33900000000000002</v>
      </c>
      <c r="F8" s="10">
        <v>1171002</v>
      </c>
      <c r="G8" s="11">
        <v>0.39100000000000001</v>
      </c>
      <c r="H8" s="11">
        <v>0.38900000000000001</v>
      </c>
      <c r="I8" s="10">
        <v>4125064120</v>
      </c>
      <c r="J8" s="12" t="s">
        <v>7191</v>
      </c>
      <c r="K8" s="10">
        <v>454993</v>
      </c>
      <c r="L8" s="12" t="s">
        <v>7192</v>
      </c>
      <c r="M8" s="10">
        <v>9119642220</v>
      </c>
      <c r="N8" s="10">
        <v>1039502</v>
      </c>
      <c r="O8" s="12">
        <v>1</v>
      </c>
    </row>
    <row r="9" spans="1:15" ht="15" customHeight="1" x14ac:dyDescent="0.3">
      <c r="A9" s="9">
        <v>43604</v>
      </c>
      <c r="B9" s="10">
        <v>1307</v>
      </c>
      <c r="C9" s="11">
        <v>0.20499999999999999</v>
      </c>
      <c r="D9" s="10">
        <v>6503</v>
      </c>
      <c r="E9" s="11">
        <v>0.34300000000000003</v>
      </c>
      <c r="F9" s="10">
        <v>1163070</v>
      </c>
      <c r="G9" s="11">
        <v>0.39700000000000002</v>
      </c>
      <c r="H9" s="11">
        <v>0.379</v>
      </c>
      <c r="I9" s="10">
        <v>4011485560</v>
      </c>
      <c r="J9" s="12" t="s">
        <v>7193</v>
      </c>
      <c r="K9" s="10">
        <v>440790</v>
      </c>
      <c r="L9" s="12" t="s">
        <v>7194</v>
      </c>
      <c r="M9" s="10">
        <v>13131127780</v>
      </c>
      <c r="N9" s="10">
        <v>1480292</v>
      </c>
      <c r="O9" s="12">
        <v>1</v>
      </c>
    </row>
    <row r="10" spans="1:15" ht="15" customHeight="1" x14ac:dyDescent="0.3">
      <c r="A10" s="9">
        <v>43605</v>
      </c>
      <c r="B10" s="10">
        <v>1214</v>
      </c>
      <c r="C10" s="11">
        <v>0.222</v>
      </c>
      <c r="D10" s="10">
        <v>6250</v>
      </c>
      <c r="E10" s="11">
        <v>0.36</v>
      </c>
      <c r="F10" s="10">
        <v>1118428</v>
      </c>
      <c r="G10" s="11">
        <v>0.41099999999999998</v>
      </c>
      <c r="H10" s="11">
        <v>0.14799999999999999</v>
      </c>
      <c r="I10" s="10">
        <v>1371323690</v>
      </c>
      <c r="J10" s="12" t="s">
        <v>7195</v>
      </c>
      <c r="K10" s="10">
        <v>165587</v>
      </c>
      <c r="L10" s="12" t="s">
        <v>7196</v>
      </c>
      <c r="M10" s="10">
        <v>14502451470</v>
      </c>
      <c r="N10" s="10">
        <v>1645879</v>
      </c>
      <c r="O10" s="12">
        <v>1</v>
      </c>
    </row>
    <row r="11" spans="1:15" ht="15" customHeight="1" x14ac:dyDescent="0.3">
      <c r="A11" s="9">
        <v>43606</v>
      </c>
      <c r="B11" s="10">
        <v>1217</v>
      </c>
      <c r="C11" s="11">
        <v>0.22</v>
      </c>
      <c r="D11" s="10">
        <v>6234</v>
      </c>
      <c r="E11" s="11">
        <v>0.36</v>
      </c>
      <c r="F11" s="10">
        <v>1115277</v>
      </c>
      <c r="G11" s="11">
        <v>0.41099999999999998</v>
      </c>
      <c r="H11" s="11">
        <v>0.124</v>
      </c>
      <c r="I11" s="10">
        <v>1148167950</v>
      </c>
      <c r="J11" s="12" t="s">
        <v>7197</v>
      </c>
      <c r="K11" s="10">
        <v>138829</v>
      </c>
      <c r="L11" s="12" t="s">
        <v>7198</v>
      </c>
      <c r="M11" s="10">
        <v>15650619420</v>
      </c>
      <c r="N11" s="10">
        <v>1784708</v>
      </c>
      <c r="O11" s="12">
        <v>1</v>
      </c>
    </row>
    <row r="12" spans="1:15" ht="15" customHeight="1" x14ac:dyDescent="0.3">
      <c r="A12" s="9">
        <v>43607</v>
      </c>
      <c r="B12" s="10">
        <v>1124</v>
      </c>
      <c r="C12" s="11">
        <v>0.218</v>
      </c>
      <c r="D12" s="10">
        <v>6040</v>
      </c>
      <c r="E12" s="11">
        <v>0.34200000000000003</v>
      </c>
      <c r="F12" s="10">
        <v>1093099</v>
      </c>
      <c r="G12" s="11">
        <v>0.39600000000000002</v>
      </c>
      <c r="H12" s="11">
        <v>0.11899999999999999</v>
      </c>
      <c r="I12" s="10">
        <v>1073215440</v>
      </c>
      <c r="J12" s="12" t="s">
        <v>7199</v>
      </c>
      <c r="K12" s="10">
        <v>130018</v>
      </c>
      <c r="L12" s="12" t="s">
        <v>7200</v>
      </c>
      <c r="M12" s="10">
        <v>16723834860</v>
      </c>
      <c r="N12" s="10">
        <v>1914726</v>
      </c>
      <c r="O12" s="12">
        <v>1</v>
      </c>
    </row>
    <row r="13" spans="1:15" ht="15" customHeight="1" x14ac:dyDescent="0.3">
      <c r="A13" s="9">
        <v>43608</v>
      </c>
      <c r="B13" s="12">
        <v>997</v>
      </c>
      <c r="C13" s="11">
        <v>0.17199999999999999</v>
      </c>
      <c r="D13" s="10">
        <v>4690</v>
      </c>
      <c r="E13" s="11">
        <v>0.25800000000000001</v>
      </c>
      <c r="F13" s="10">
        <v>821928</v>
      </c>
      <c r="G13" s="11">
        <v>0.28999999999999998</v>
      </c>
      <c r="H13" s="11">
        <v>0.13900000000000001</v>
      </c>
      <c r="I13" s="10">
        <v>948626570</v>
      </c>
      <c r="J13" s="12" t="s">
        <v>7201</v>
      </c>
      <c r="K13" s="10">
        <v>114460</v>
      </c>
      <c r="L13" s="12" t="s">
        <v>7202</v>
      </c>
      <c r="M13" s="10">
        <v>17672461430</v>
      </c>
      <c r="N13" s="10">
        <v>2029186</v>
      </c>
      <c r="O13" s="12">
        <v>1</v>
      </c>
    </row>
    <row r="14" spans="1:15" ht="15" customHeight="1" x14ac:dyDescent="0.3">
      <c r="A14" s="9">
        <v>43609</v>
      </c>
      <c r="B14" s="10">
        <v>1076</v>
      </c>
      <c r="C14" s="11">
        <v>0.17799999999999999</v>
      </c>
      <c r="D14" s="10">
        <v>5030</v>
      </c>
      <c r="E14" s="11">
        <v>0.27</v>
      </c>
      <c r="F14" s="10">
        <v>871305</v>
      </c>
      <c r="G14" s="11">
        <v>0.30099999999999999</v>
      </c>
      <c r="H14" s="11">
        <v>0.17699999999999999</v>
      </c>
      <c r="I14" s="10">
        <v>1395605600</v>
      </c>
      <c r="J14" s="12" t="s">
        <v>7203</v>
      </c>
      <c r="K14" s="10">
        <v>153861</v>
      </c>
      <c r="L14" s="12" t="s">
        <v>7204</v>
      </c>
      <c r="M14" s="10">
        <v>19068067030</v>
      </c>
      <c r="N14" s="10">
        <v>2183047</v>
      </c>
      <c r="O14" s="12">
        <v>1</v>
      </c>
    </row>
    <row r="15" spans="1:15" ht="15" customHeight="1" x14ac:dyDescent="0.3">
      <c r="A15" s="9">
        <v>43610</v>
      </c>
      <c r="B15" s="10">
        <v>1132</v>
      </c>
      <c r="C15" s="11">
        <v>0.17299999999999999</v>
      </c>
      <c r="D15" s="10">
        <v>5561</v>
      </c>
      <c r="E15" s="11">
        <v>0.28299999999999997</v>
      </c>
      <c r="F15" s="10">
        <v>961734</v>
      </c>
      <c r="G15" s="11">
        <v>0.317</v>
      </c>
      <c r="H15" s="11">
        <v>0.31900000000000001</v>
      </c>
      <c r="I15" s="10">
        <v>2793897090</v>
      </c>
      <c r="J15" s="12" t="s">
        <v>7205</v>
      </c>
      <c r="K15" s="10">
        <v>306559</v>
      </c>
      <c r="L15" s="12" t="s">
        <v>7206</v>
      </c>
      <c r="M15" s="10">
        <v>21861964120</v>
      </c>
      <c r="N15" s="10">
        <v>2489606</v>
      </c>
      <c r="O15" s="12">
        <v>2</v>
      </c>
    </row>
    <row r="16" spans="1:15" ht="15" customHeight="1" x14ac:dyDescent="0.3">
      <c r="A16" s="9">
        <v>43611</v>
      </c>
      <c r="B16" s="10">
        <v>1125</v>
      </c>
      <c r="C16" s="11">
        <v>0.17100000000000001</v>
      </c>
      <c r="D16" s="10">
        <v>5438</v>
      </c>
      <c r="E16" s="11">
        <v>0.28299999999999997</v>
      </c>
      <c r="F16" s="10">
        <v>944278</v>
      </c>
      <c r="G16" s="11">
        <v>0.318</v>
      </c>
      <c r="H16" s="11">
        <v>0.28799999999999998</v>
      </c>
      <c r="I16" s="10">
        <v>2484670010</v>
      </c>
      <c r="J16" s="12" t="s">
        <v>7207</v>
      </c>
      <c r="K16" s="10">
        <v>272310</v>
      </c>
      <c r="L16" s="12" t="s">
        <v>7208</v>
      </c>
      <c r="M16" s="10">
        <v>24346634130</v>
      </c>
      <c r="N16" s="10">
        <v>2761916</v>
      </c>
      <c r="O16" s="12">
        <v>2</v>
      </c>
    </row>
    <row r="17" spans="1:15" ht="15" customHeight="1" x14ac:dyDescent="0.3">
      <c r="A17" s="9">
        <v>43612</v>
      </c>
      <c r="B17" s="10">
        <v>1066</v>
      </c>
      <c r="C17" s="11">
        <v>0.187</v>
      </c>
      <c r="D17" s="10">
        <v>5252</v>
      </c>
      <c r="E17" s="11">
        <v>0.29599999999999999</v>
      </c>
      <c r="F17" s="10">
        <v>909187</v>
      </c>
      <c r="G17" s="11">
        <v>0.32700000000000001</v>
      </c>
      <c r="H17" s="11">
        <v>0.12</v>
      </c>
      <c r="I17" s="10">
        <v>901392980</v>
      </c>
      <c r="J17" s="12" t="s">
        <v>7209</v>
      </c>
      <c r="K17" s="10">
        <v>109292</v>
      </c>
      <c r="L17" s="12" t="s">
        <v>7210</v>
      </c>
      <c r="M17" s="10">
        <v>25248027110</v>
      </c>
      <c r="N17" s="10">
        <v>2871208</v>
      </c>
      <c r="O17" s="12">
        <v>2</v>
      </c>
    </row>
    <row r="18" spans="1:15" ht="15" customHeight="1" x14ac:dyDescent="0.3">
      <c r="A18" s="9">
        <v>43613</v>
      </c>
      <c r="B18" s="10">
        <v>1073</v>
      </c>
      <c r="C18" s="11">
        <v>0.182</v>
      </c>
      <c r="D18" s="10">
        <v>5176</v>
      </c>
      <c r="E18" s="11">
        <v>0.29399999999999998</v>
      </c>
      <c r="F18" s="10">
        <v>892171</v>
      </c>
      <c r="G18" s="11">
        <v>0.32400000000000001</v>
      </c>
      <c r="H18" s="11">
        <v>8.8999999999999996E-2</v>
      </c>
      <c r="I18" s="10">
        <v>652334820</v>
      </c>
      <c r="J18" s="12" t="s">
        <v>7211</v>
      </c>
      <c r="K18" s="10">
        <v>79529</v>
      </c>
      <c r="L18" s="12" t="s">
        <v>7212</v>
      </c>
      <c r="M18" s="10">
        <v>25900361930</v>
      </c>
      <c r="N18" s="10">
        <v>2950737</v>
      </c>
      <c r="O18" s="12">
        <v>2</v>
      </c>
    </row>
    <row r="19" spans="1:15" ht="15" customHeight="1" x14ac:dyDescent="0.3">
      <c r="A19" s="9">
        <v>43614</v>
      </c>
      <c r="B19" s="12">
        <v>995</v>
      </c>
      <c r="C19" s="11">
        <v>0.17199999999999999</v>
      </c>
      <c r="D19" s="10">
        <v>4671</v>
      </c>
      <c r="E19" s="11">
        <v>0.26</v>
      </c>
      <c r="F19" s="10">
        <v>775564</v>
      </c>
      <c r="G19" s="11">
        <v>0.27800000000000002</v>
      </c>
      <c r="H19" s="11">
        <v>0.17199999999999999</v>
      </c>
      <c r="I19" s="10">
        <v>812377490</v>
      </c>
      <c r="J19" s="12" t="s">
        <v>7213</v>
      </c>
      <c r="K19" s="10">
        <v>133307</v>
      </c>
      <c r="L19" s="12" t="s">
        <v>7214</v>
      </c>
      <c r="M19" s="10">
        <v>26712739420</v>
      </c>
      <c r="N19" s="10">
        <v>3084044</v>
      </c>
      <c r="O19" s="12">
        <v>2</v>
      </c>
    </row>
    <row r="20" spans="1:15" ht="15" customHeight="1" x14ac:dyDescent="0.3">
      <c r="A20" s="9">
        <v>43615</v>
      </c>
      <c r="B20" s="12">
        <v>667</v>
      </c>
      <c r="C20" s="11">
        <v>0.11799999999999999</v>
      </c>
      <c r="D20" s="10">
        <v>2272</v>
      </c>
      <c r="E20" s="11">
        <v>0.127</v>
      </c>
      <c r="F20" s="10">
        <v>296597</v>
      </c>
      <c r="G20" s="11">
        <v>0.107</v>
      </c>
      <c r="H20" s="11">
        <v>0.126</v>
      </c>
      <c r="I20" s="10">
        <v>305960000</v>
      </c>
      <c r="J20" s="12" t="s">
        <v>7215</v>
      </c>
      <c r="K20" s="10">
        <v>37397</v>
      </c>
      <c r="L20" s="12" t="s">
        <v>7216</v>
      </c>
      <c r="M20" s="10">
        <v>27018699420</v>
      </c>
      <c r="N20" s="10">
        <v>3121441</v>
      </c>
      <c r="O20" s="12">
        <v>3</v>
      </c>
    </row>
    <row r="21" spans="1:15" ht="15" customHeight="1" x14ac:dyDescent="0.3">
      <c r="A21" s="9">
        <v>43616</v>
      </c>
      <c r="B21" s="12">
        <v>620</v>
      </c>
      <c r="C21" s="11">
        <v>0.111</v>
      </c>
      <c r="D21" s="10">
        <v>2156</v>
      </c>
      <c r="E21" s="11">
        <v>0.11799999999999999</v>
      </c>
      <c r="F21" s="10">
        <v>277622</v>
      </c>
      <c r="G21" s="11">
        <v>9.9000000000000005E-2</v>
      </c>
      <c r="H21" s="11">
        <v>0.16800000000000001</v>
      </c>
      <c r="I21" s="10">
        <v>409092470</v>
      </c>
      <c r="J21" s="12" t="s">
        <v>7217</v>
      </c>
      <c r="K21" s="10">
        <v>46587</v>
      </c>
      <c r="L21" s="12" t="s">
        <v>7218</v>
      </c>
      <c r="M21" s="10">
        <v>27427791890</v>
      </c>
      <c r="N21" s="10">
        <v>3168028</v>
      </c>
      <c r="O21" s="12">
        <v>3</v>
      </c>
    </row>
    <row r="22" spans="1:15" ht="15" customHeight="1" x14ac:dyDescent="0.3">
      <c r="A22" s="9">
        <v>43617</v>
      </c>
      <c r="B22" s="12">
        <v>569</v>
      </c>
      <c r="C22" s="11">
        <v>9.8000000000000004E-2</v>
      </c>
      <c r="D22" s="10">
        <v>1628</v>
      </c>
      <c r="E22" s="11">
        <v>8.5999999999999993E-2</v>
      </c>
      <c r="F22" s="10">
        <v>199464</v>
      </c>
      <c r="G22" s="11">
        <v>6.9000000000000006E-2</v>
      </c>
      <c r="H22" s="11">
        <v>0.315</v>
      </c>
      <c r="I22" s="10">
        <v>567291200</v>
      </c>
      <c r="J22" s="12" t="s">
        <v>7219</v>
      </c>
      <c r="K22" s="10">
        <v>62886</v>
      </c>
      <c r="L22" s="12" t="s">
        <v>7220</v>
      </c>
      <c r="M22" s="10">
        <v>27995083090</v>
      </c>
      <c r="N22" s="10">
        <v>3230914</v>
      </c>
      <c r="O22" s="12">
        <v>4</v>
      </c>
    </row>
    <row r="23" spans="1:15" ht="15" customHeight="1" x14ac:dyDescent="0.3">
      <c r="A23" s="9">
        <v>43618</v>
      </c>
      <c r="B23" s="12">
        <v>567</v>
      </c>
      <c r="C23" s="11">
        <v>9.8000000000000004E-2</v>
      </c>
      <c r="D23" s="10">
        <v>1477</v>
      </c>
      <c r="E23" s="11">
        <v>0.08</v>
      </c>
      <c r="F23" s="10">
        <v>180589</v>
      </c>
      <c r="G23" s="11">
        <v>6.3E-2</v>
      </c>
      <c r="H23" s="11">
        <v>0.27700000000000002</v>
      </c>
      <c r="I23" s="10">
        <v>450395050</v>
      </c>
      <c r="J23" s="12" t="s">
        <v>7221</v>
      </c>
      <c r="K23" s="10">
        <v>49948</v>
      </c>
      <c r="L23" s="12" t="s">
        <v>7222</v>
      </c>
      <c r="M23" s="10">
        <v>28445478140</v>
      </c>
      <c r="N23" s="10">
        <v>3280862</v>
      </c>
      <c r="O23" s="12">
        <v>4</v>
      </c>
    </row>
    <row r="24" spans="1:15" ht="15" customHeight="1" x14ac:dyDescent="0.3">
      <c r="A24" s="9">
        <v>43619</v>
      </c>
      <c r="B24" s="12">
        <v>574</v>
      </c>
      <c r="C24" s="11">
        <v>0.11</v>
      </c>
      <c r="D24" s="10">
        <v>1605</v>
      </c>
      <c r="E24" s="11">
        <v>9.1999999999999998E-2</v>
      </c>
      <c r="F24" s="10">
        <v>193353</v>
      </c>
      <c r="G24" s="11">
        <v>7.1999999999999995E-2</v>
      </c>
      <c r="H24" s="11">
        <v>0.10100000000000001</v>
      </c>
      <c r="I24" s="10">
        <v>159397060</v>
      </c>
      <c r="J24" s="12" t="s">
        <v>7223</v>
      </c>
      <c r="K24" s="10">
        <v>19448</v>
      </c>
      <c r="L24" s="12" t="s">
        <v>7224</v>
      </c>
      <c r="M24" s="10">
        <v>28604875200</v>
      </c>
      <c r="N24" s="10">
        <v>3300310</v>
      </c>
      <c r="O24" s="12">
        <v>3</v>
      </c>
    </row>
    <row r="25" spans="1:15" ht="15" customHeight="1" x14ac:dyDescent="0.3">
      <c r="A25" s="9">
        <v>43620</v>
      </c>
      <c r="B25" s="12">
        <v>580</v>
      </c>
      <c r="C25" s="11">
        <v>0.108</v>
      </c>
      <c r="D25" s="10">
        <v>1594</v>
      </c>
      <c r="E25" s="11">
        <v>9.1999999999999998E-2</v>
      </c>
      <c r="F25" s="10">
        <v>196447</v>
      </c>
      <c r="G25" s="11">
        <v>7.2999999999999995E-2</v>
      </c>
      <c r="H25" s="11">
        <v>0.09</v>
      </c>
      <c r="I25" s="10">
        <v>143809290</v>
      </c>
      <c r="J25" s="12" t="s">
        <v>7225</v>
      </c>
      <c r="K25" s="10">
        <v>17653</v>
      </c>
      <c r="L25" s="12" t="s">
        <v>7226</v>
      </c>
      <c r="M25" s="10">
        <v>28748684490</v>
      </c>
      <c r="N25" s="10">
        <v>3317963</v>
      </c>
      <c r="O25" s="12">
        <v>3</v>
      </c>
    </row>
    <row r="26" spans="1:15" ht="15" customHeight="1" x14ac:dyDescent="0.3">
      <c r="A26" s="9">
        <v>43621</v>
      </c>
      <c r="B26" s="12">
        <v>338</v>
      </c>
      <c r="C26" s="11">
        <v>5.8999999999999997E-2</v>
      </c>
      <c r="D26" s="12">
        <v>598</v>
      </c>
      <c r="E26" s="11">
        <v>3.3000000000000002E-2</v>
      </c>
      <c r="F26" s="10">
        <v>78919</v>
      </c>
      <c r="G26" s="11">
        <v>2.8000000000000001E-2</v>
      </c>
      <c r="H26" s="11">
        <v>0.1</v>
      </c>
      <c r="I26" s="10">
        <v>63113530</v>
      </c>
      <c r="J26" s="12" t="s">
        <v>7227</v>
      </c>
      <c r="K26" s="10">
        <v>7881</v>
      </c>
      <c r="L26" s="12" t="s">
        <v>7228</v>
      </c>
      <c r="M26" s="10">
        <v>28811798020</v>
      </c>
      <c r="N26" s="10">
        <v>3325844</v>
      </c>
      <c r="O26" s="12">
        <v>5</v>
      </c>
    </row>
    <row r="27" spans="1:15" ht="15" customHeight="1" x14ac:dyDescent="0.3">
      <c r="A27" s="9">
        <v>43622</v>
      </c>
      <c r="B27" s="12">
        <v>118</v>
      </c>
      <c r="C27" s="11">
        <v>0.02</v>
      </c>
      <c r="D27" s="12">
        <v>172</v>
      </c>
      <c r="E27" s="11">
        <v>8.9999999999999993E-3</v>
      </c>
      <c r="F27" s="10">
        <v>17462</v>
      </c>
      <c r="G27" s="11">
        <v>6.0000000000000001E-3</v>
      </c>
      <c r="H27" s="11">
        <v>0.35199999999999998</v>
      </c>
      <c r="I27" s="10">
        <v>53444800</v>
      </c>
      <c r="J27" s="12" t="s">
        <v>7229</v>
      </c>
      <c r="K27" s="10">
        <v>6148</v>
      </c>
      <c r="L27" s="12" t="s">
        <v>7230</v>
      </c>
      <c r="M27" s="10">
        <v>28865242820</v>
      </c>
      <c r="N27" s="10">
        <v>3331992</v>
      </c>
      <c r="O27" s="12">
        <v>8</v>
      </c>
    </row>
    <row r="28" spans="1:15" ht="15" customHeight="1" x14ac:dyDescent="0.3">
      <c r="A28" s="9">
        <v>43623</v>
      </c>
      <c r="B28" s="12">
        <v>128</v>
      </c>
      <c r="C28" s="11">
        <v>2.1999999999999999E-2</v>
      </c>
      <c r="D28" s="12">
        <v>184</v>
      </c>
      <c r="E28" s="11">
        <v>0.01</v>
      </c>
      <c r="F28" s="10">
        <v>20124</v>
      </c>
      <c r="G28" s="11">
        <v>7.0000000000000001E-3</v>
      </c>
      <c r="H28" s="11">
        <v>0.22700000000000001</v>
      </c>
      <c r="I28" s="10">
        <v>39334920</v>
      </c>
      <c r="J28" s="12" t="s">
        <v>7231</v>
      </c>
      <c r="K28" s="10">
        <v>4561</v>
      </c>
      <c r="L28" s="12" t="s">
        <v>7232</v>
      </c>
      <c r="M28" s="10">
        <v>28904577740</v>
      </c>
      <c r="N28" s="10">
        <v>3336553</v>
      </c>
      <c r="O28" s="12">
        <v>7</v>
      </c>
    </row>
    <row r="29" spans="1:15" ht="15" customHeight="1" x14ac:dyDescent="0.3">
      <c r="A29" s="9">
        <v>43624</v>
      </c>
      <c r="B29" s="12">
        <v>110</v>
      </c>
      <c r="C29" s="11">
        <v>1.7999999999999999E-2</v>
      </c>
      <c r="D29" s="12">
        <v>157</v>
      </c>
      <c r="E29" s="11">
        <v>8.0000000000000002E-3</v>
      </c>
      <c r="F29" s="10">
        <v>17309</v>
      </c>
      <c r="G29" s="11">
        <v>6.0000000000000001E-3</v>
      </c>
      <c r="H29" s="11">
        <v>0.32</v>
      </c>
      <c r="I29" s="10">
        <v>49544270</v>
      </c>
      <c r="J29" s="12" t="s">
        <v>7233</v>
      </c>
      <c r="K29" s="10">
        <v>5545</v>
      </c>
      <c r="L29" s="12" t="s">
        <v>7234</v>
      </c>
      <c r="M29" s="10">
        <v>28954122010</v>
      </c>
      <c r="N29" s="10">
        <v>3342098</v>
      </c>
      <c r="O29" s="12">
        <v>7</v>
      </c>
    </row>
    <row r="30" spans="1:15" ht="15" customHeight="1" x14ac:dyDescent="0.3">
      <c r="A30" s="9">
        <v>43625</v>
      </c>
      <c r="B30" s="12">
        <v>115</v>
      </c>
      <c r="C30" s="11">
        <v>1.9E-2</v>
      </c>
      <c r="D30" s="12">
        <v>158</v>
      </c>
      <c r="E30" s="11">
        <v>8.0000000000000002E-3</v>
      </c>
      <c r="F30" s="10">
        <v>17129</v>
      </c>
      <c r="G30" s="11">
        <v>6.0000000000000001E-3</v>
      </c>
      <c r="H30" s="11">
        <v>0.26600000000000001</v>
      </c>
      <c r="I30" s="10">
        <v>40692700</v>
      </c>
      <c r="J30" s="12" t="s">
        <v>7235</v>
      </c>
      <c r="K30" s="10">
        <v>4556</v>
      </c>
      <c r="L30" s="12" t="s">
        <v>7236</v>
      </c>
      <c r="M30" s="10">
        <v>28994814710</v>
      </c>
      <c r="N30" s="10">
        <v>3346654</v>
      </c>
      <c r="O30" s="12">
        <v>7</v>
      </c>
    </row>
    <row r="31" spans="1:15" ht="15" customHeight="1" x14ac:dyDescent="0.3">
      <c r="A31" s="9">
        <v>43626</v>
      </c>
      <c r="B31" s="12">
        <v>130</v>
      </c>
      <c r="C31" s="11">
        <v>2.5000000000000001E-2</v>
      </c>
      <c r="D31" s="12">
        <v>216</v>
      </c>
      <c r="E31" s="11">
        <v>1.2E-2</v>
      </c>
      <c r="F31" s="10">
        <v>24216</v>
      </c>
      <c r="G31" s="11">
        <v>8.9999999999999993E-3</v>
      </c>
      <c r="H31" s="11">
        <v>0.108</v>
      </c>
      <c r="I31" s="10">
        <v>21246770</v>
      </c>
      <c r="J31" s="12" t="s">
        <v>7237</v>
      </c>
      <c r="K31" s="10">
        <v>2614</v>
      </c>
      <c r="L31" s="12" t="s">
        <v>7238</v>
      </c>
      <c r="M31" s="10">
        <v>29016061480</v>
      </c>
      <c r="N31" s="10">
        <v>3349268</v>
      </c>
      <c r="O31" s="12">
        <v>6</v>
      </c>
    </row>
    <row r="32" spans="1:15" ht="15" customHeight="1" x14ac:dyDescent="0.3">
      <c r="A32" s="9">
        <v>43627</v>
      </c>
      <c r="B32" s="12">
        <v>128</v>
      </c>
      <c r="C32" s="11">
        <v>2.5000000000000001E-2</v>
      </c>
      <c r="D32" s="12">
        <v>215</v>
      </c>
      <c r="E32" s="11">
        <v>1.2E-2</v>
      </c>
      <c r="F32" s="10">
        <v>24582</v>
      </c>
      <c r="G32" s="11">
        <v>8.9999999999999993E-3</v>
      </c>
      <c r="H32" s="11">
        <v>8.8999999999999996E-2</v>
      </c>
      <c r="I32" s="10">
        <v>17795310</v>
      </c>
      <c r="J32" s="12" t="s">
        <v>7239</v>
      </c>
      <c r="K32" s="10">
        <v>2185</v>
      </c>
      <c r="L32" s="12" t="s">
        <v>7240</v>
      </c>
      <c r="M32" s="10">
        <v>29033856790</v>
      </c>
      <c r="N32" s="10">
        <v>3351453</v>
      </c>
      <c r="O32" s="12">
        <v>7</v>
      </c>
    </row>
    <row r="33" spans="1:15" ht="15" customHeight="1" x14ac:dyDescent="0.3">
      <c r="A33" s="9">
        <v>43628</v>
      </c>
      <c r="B33" s="12">
        <v>70</v>
      </c>
      <c r="C33" s="11">
        <v>1.4E-2</v>
      </c>
      <c r="D33" s="12">
        <v>114</v>
      </c>
      <c r="E33" s="11">
        <v>6.0000000000000001E-3</v>
      </c>
      <c r="F33" s="10">
        <v>13041</v>
      </c>
      <c r="G33" s="11">
        <v>5.0000000000000001E-3</v>
      </c>
      <c r="H33" s="11">
        <v>8.1000000000000003E-2</v>
      </c>
      <c r="I33" s="10">
        <v>8487420</v>
      </c>
      <c r="J33" s="12" t="s">
        <v>7241</v>
      </c>
      <c r="K33" s="10">
        <v>1058</v>
      </c>
      <c r="L33" s="12" t="s">
        <v>7242</v>
      </c>
      <c r="M33" s="10">
        <v>29042344210</v>
      </c>
      <c r="N33" s="10">
        <v>3352511</v>
      </c>
      <c r="O33" s="12">
        <v>10</v>
      </c>
    </row>
    <row r="34" spans="1:15" ht="15" customHeight="1" x14ac:dyDescent="0.3">
      <c r="A34" s="9">
        <v>43629</v>
      </c>
      <c r="B34" s="12">
        <v>59</v>
      </c>
      <c r="C34" s="11">
        <v>1.0999999999999999E-2</v>
      </c>
      <c r="D34" s="12">
        <v>85</v>
      </c>
      <c r="E34" s="11">
        <v>5.0000000000000001E-3</v>
      </c>
      <c r="F34" s="10">
        <v>9430</v>
      </c>
      <c r="G34" s="11">
        <v>3.0000000000000001E-3</v>
      </c>
      <c r="H34" s="11">
        <v>8.2000000000000003E-2</v>
      </c>
      <c r="I34" s="10">
        <v>6334080</v>
      </c>
      <c r="J34" s="12" t="s">
        <v>7243</v>
      </c>
      <c r="K34" s="12">
        <v>772</v>
      </c>
      <c r="L34" s="12" t="s">
        <v>7244</v>
      </c>
      <c r="M34" s="10">
        <v>29048678290</v>
      </c>
      <c r="N34" s="10">
        <v>3353283</v>
      </c>
      <c r="O34" s="12">
        <v>15</v>
      </c>
    </row>
    <row r="35" spans="1:15" ht="15" customHeight="1" x14ac:dyDescent="0.3">
      <c r="A35" s="9">
        <v>43630</v>
      </c>
      <c r="B35" s="12">
        <v>51</v>
      </c>
      <c r="C35" s="11">
        <v>8.9999999999999993E-3</v>
      </c>
      <c r="D35" s="12">
        <v>82</v>
      </c>
      <c r="E35" s="11">
        <v>4.0000000000000001E-3</v>
      </c>
      <c r="F35" s="10">
        <v>8374</v>
      </c>
      <c r="G35" s="11">
        <v>3.0000000000000001E-3</v>
      </c>
      <c r="H35" s="11">
        <v>0.1</v>
      </c>
      <c r="I35" s="10">
        <v>7456260</v>
      </c>
      <c r="J35" s="12" t="s">
        <v>7245</v>
      </c>
      <c r="K35" s="12">
        <v>834</v>
      </c>
      <c r="L35" s="12" t="s">
        <v>7246</v>
      </c>
      <c r="M35" s="10">
        <v>29056134550</v>
      </c>
      <c r="N35" s="10">
        <v>3354117</v>
      </c>
      <c r="O35" s="12">
        <v>12</v>
      </c>
    </row>
    <row r="36" spans="1:15" ht="15" customHeight="1" x14ac:dyDescent="0.3">
      <c r="A36" s="9">
        <v>43631</v>
      </c>
      <c r="B36" s="12">
        <v>54</v>
      </c>
      <c r="C36" s="11">
        <v>8.9999999999999993E-3</v>
      </c>
      <c r="D36" s="12">
        <v>84</v>
      </c>
      <c r="E36" s="11">
        <v>4.0000000000000001E-3</v>
      </c>
      <c r="F36" s="10">
        <v>8699</v>
      </c>
      <c r="G36" s="11">
        <v>3.0000000000000001E-3</v>
      </c>
      <c r="H36" s="11">
        <v>0.189</v>
      </c>
      <c r="I36" s="10">
        <v>14871090</v>
      </c>
      <c r="J36" s="12" t="s">
        <v>7247</v>
      </c>
      <c r="K36" s="10">
        <v>1641</v>
      </c>
      <c r="L36" s="12" t="s">
        <v>7248</v>
      </c>
      <c r="M36" s="10">
        <v>29071005640</v>
      </c>
      <c r="N36" s="10">
        <v>3355758</v>
      </c>
      <c r="O36" s="12">
        <v>13</v>
      </c>
    </row>
    <row r="37" spans="1:15" ht="15" customHeight="1" x14ac:dyDescent="0.3">
      <c r="A37" s="9">
        <v>43632</v>
      </c>
      <c r="B37" s="12">
        <v>53</v>
      </c>
      <c r="C37" s="11">
        <v>8.9999999999999993E-3</v>
      </c>
      <c r="D37" s="12">
        <v>82</v>
      </c>
      <c r="E37" s="11">
        <v>4.0000000000000001E-3</v>
      </c>
      <c r="F37" s="10">
        <v>8347</v>
      </c>
      <c r="G37" s="11">
        <v>3.0000000000000001E-3</v>
      </c>
      <c r="H37" s="11">
        <v>0.158</v>
      </c>
      <c r="I37" s="10">
        <v>12323890</v>
      </c>
      <c r="J37" s="12" t="s">
        <v>7249</v>
      </c>
      <c r="K37" s="10">
        <v>1319</v>
      </c>
      <c r="L37" s="12" t="s">
        <v>7250</v>
      </c>
      <c r="M37" s="10">
        <v>29083329530</v>
      </c>
      <c r="N37" s="10">
        <v>3357077</v>
      </c>
      <c r="O37" s="12">
        <v>14</v>
      </c>
    </row>
    <row r="38" spans="1:15" ht="15" customHeight="1" x14ac:dyDescent="0.3">
      <c r="A38" s="9">
        <v>43633</v>
      </c>
      <c r="B38" s="12">
        <v>58</v>
      </c>
      <c r="C38" s="11">
        <v>1.0999999999999999E-2</v>
      </c>
      <c r="D38" s="12">
        <v>101</v>
      </c>
      <c r="E38" s="11">
        <v>6.0000000000000001E-3</v>
      </c>
      <c r="F38" s="10">
        <v>11307</v>
      </c>
      <c r="G38" s="11">
        <v>4.0000000000000001E-3</v>
      </c>
      <c r="H38" s="11">
        <v>8.5000000000000006E-2</v>
      </c>
      <c r="I38" s="10">
        <v>7060430</v>
      </c>
      <c r="J38" s="12" t="s">
        <v>7251</v>
      </c>
      <c r="K38" s="12">
        <v>957</v>
      </c>
      <c r="L38" s="12" t="s">
        <v>7252</v>
      </c>
      <c r="M38" s="10">
        <v>29090389960</v>
      </c>
      <c r="N38" s="10">
        <v>3358034</v>
      </c>
      <c r="O38" s="12">
        <v>11</v>
      </c>
    </row>
    <row r="39" spans="1:15" ht="15" customHeight="1" x14ac:dyDescent="0.3">
      <c r="A39" s="9">
        <v>43634</v>
      </c>
      <c r="B39" s="12">
        <v>52</v>
      </c>
      <c r="C39" s="11">
        <v>0.01</v>
      </c>
      <c r="D39" s="12">
        <v>90</v>
      </c>
      <c r="E39" s="11">
        <v>5.0000000000000001E-3</v>
      </c>
      <c r="F39" s="10">
        <v>9676</v>
      </c>
      <c r="G39" s="11">
        <v>4.0000000000000001E-3</v>
      </c>
      <c r="H39" s="11">
        <v>7.2999999999999995E-2</v>
      </c>
      <c r="I39" s="10">
        <v>5750940</v>
      </c>
      <c r="J39" s="12" t="s">
        <v>7253</v>
      </c>
      <c r="K39" s="12">
        <v>703</v>
      </c>
      <c r="L39" s="12" t="s">
        <v>7254</v>
      </c>
      <c r="M39" s="10">
        <v>29096140900</v>
      </c>
      <c r="N39" s="10">
        <v>3358737</v>
      </c>
      <c r="O39" s="12">
        <v>15</v>
      </c>
    </row>
    <row r="40" spans="1:15" ht="15" customHeight="1" x14ac:dyDescent="0.3">
      <c r="A40" s="9">
        <v>43635</v>
      </c>
      <c r="B40" s="12">
        <v>30</v>
      </c>
      <c r="C40" s="11">
        <v>6.0000000000000001E-3</v>
      </c>
      <c r="D40" s="12">
        <v>47</v>
      </c>
      <c r="E40" s="11">
        <v>3.0000000000000001E-3</v>
      </c>
      <c r="F40" s="10">
        <v>5033</v>
      </c>
      <c r="G40" s="11">
        <v>2E-3</v>
      </c>
      <c r="H40" s="11">
        <v>5.3999999999999999E-2</v>
      </c>
      <c r="I40" s="10">
        <v>2183900</v>
      </c>
      <c r="J40" s="12" t="s">
        <v>7255</v>
      </c>
      <c r="K40" s="12">
        <v>271</v>
      </c>
      <c r="L40" s="12" t="s">
        <v>7256</v>
      </c>
      <c r="M40" s="10">
        <v>29098324800</v>
      </c>
      <c r="N40" s="10">
        <v>3359008</v>
      </c>
      <c r="O40" s="12">
        <v>22</v>
      </c>
    </row>
    <row r="41" spans="1:15" ht="15" customHeight="1" x14ac:dyDescent="0.3">
      <c r="A41" s="9">
        <v>43636</v>
      </c>
      <c r="B41" s="12">
        <v>10</v>
      </c>
      <c r="C41" s="11">
        <v>2E-3</v>
      </c>
      <c r="D41" s="12">
        <v>11</v>
      </c>
      <c r="E41" s="11">
        <v>1E-3</v>
      </c>
      <c r="F41" s="10">
        <v>1110</v>
      </c>
      <c r="G41" s="11">
        <v>0</v>
      </c>
      <c r="H41" s="11">
        <v>5.8999999999999997E-2</v>
      </c>
      <c r="I41" s="10">
        <v>503800</v>
      </c>
      <c r="J41" s="12" t="s">
        <v>7257</v>
      </c>
      <c r="K41" s="12">
        <v>66</v>
      </c>
      <c r="L41" s="12" t="s">
        <v>7258</v>
      </c>
      <c r="M41" s="10">
        <v>29098828600</v>
      </c>
      <c r="N41" s="10">
        <v>3359074</v>
      </c>
      <c r="O41" s="12">
        <v>53</v>
      </c>
    </row>
    <row r="42" spans="1:15" ht="15" customHeight="1" x14ac:dyDescent="0.3">
      <c r="A42" s="9">
        <v>43637</v>
      </c>
      <c r="B42" s="12">
        <v>11</v>
      </c>
      <c r="C42" s="11">
        <v>2E-3</v>
      </c>
      <c r="D42" s="12">
        <v>12</v>
      </c>
      <c r="E42" s="11">
        <v>1E-3</v>
      </c>
      <c r="F42" s="10">
        <v>2045</v>
      </c>
      <c r="G42" s="11">
        <v>1E-3</v>
      </c>
      <c r="H42" s="11">
        <v>9.2999999999999999E-2</v>
      </c>
      <c r="I42" s="10">
        <v>1192500</v>
      </c>
      <c r="J42" s="12" t="s">
        <v>7259</v>
      </c>
      <c r="K42" s="12">
        <v>191</v>
      </c>
      <c r="L42" s="12" t="s">
        <v>7260</v>
      </c>
      <c r="M42" s="10">
        <v>29100021100</v>
      </c>
      <c r="N42" s="10">
        <v>3359265</v>
      </c>
      <c r="O42" s="12">
        <v>26</v>
      </c>
    </row>
    <row r="43" spans="1:15" ht="15" customHeight="1" x14ac:dyDescent="0.3">
      <c r="A43" s="9">
        <v>43638</v>
      </c>
      <c r="B43" s="12">
        <v>12</v>
      </c>
      <c r="C43" s="11">
        <v>2E-3</v>
      </c>
      <c r="D43" s="12">
        <v>12</v>
      </c>
      <c r="E43" s="11">
        <v>1E-3</v>
      </c>
      <c r="F43" s="10">
        <v>2141</v>
      </c>
      <c r="G43" s="11">
        <v>1E-3</v>
      </c>
      <c r="H43" s="11">
        <v>0.13100000000000001</v>
      </c>
      <c r="I43" s="10">
        <v>2033800</v>
      </c>
      <c r="J43" s="12" t="s">
        <v>7261</v>
      </c>
      <c r="K43" s="12">
        <v>280</v>
      </c>
      <c r="L43" s="12" t="s">
        <v>7262</v>
      </c>
      <c r="M43" s="10">
        <v>29102054900</v>
      </c>
      <c r="N43" s="10">
        <v>3359545</v>
      </c>
      <c r="O43" s="12">
        <v>24</v>
      </c>
    </row>
    <row r="44" spans="1:15" ht="15" customHeight="1" x14ac:dyDescent="0.3">
      <c r="A44" s="9">
        <v>43639</v>
      </c>
      <c r="B44" s="12">
        <v>13</v>
      </c>
      <c r="C44" s="11">
        <v>2E-3</v>
      </c>
      <c r="D44" s="12">
        <v>14</v>
      </c>
      <c r="E44" s="11">
        <v>1E-3</v>
      </c>
      <c r="F44" s="10">
        <v>2131</v>
      </c>
      <c r="G44" s="11">
        <v>1E-3</v>
      </c>
      <c r="H44" s="11">
        <v>0.10199999999999999</v>
      </c>
      <c r="I44" s="10">
        <v>1504980</v>
      </c>
      <c r="J44" s="12" t="s">
        <v>7263</v>
      </c>
      <c r="K44" s="12">
        <v>217</v>
      </c>
      <c r="L44" s="12" t="s">
        <v>7264</v>
      </c>
      <c r="M44" s="10">
        <v>29103559880</v>
      </c>
      <c r="N44" s="10">
        <v>3359762</v>
      </c>
      <c r="O44" s="12">
        <v>24</v>
      </c>
    </row>
    <row r="45" spans="1:15" ht="15" customHeight="1" x14ac:dyDescent="0.3">
      <c r="A45" s="9">
        <v>43640</v>
      </c>
      <c r="B45" s="12">
        <v>15</v>
      </c>
      <c r="C45" s="11">
        <v>3.0000000000000001E-3</v>
      </c>
      <c r="D45" s="12">
        <v>18</v>
      </c>
      <c r="E45" s="11">
        <v>1E-3</v>
      </c>
      <c r="F45" s="10">
        <v>2721</v>
      </c>
      <c r="G45" s="11">
        <v>1E-3</v>
      </c>
      <c r="H45" s="11">
        <v>9.2999999999999999E-2</v>
      </c>
      <c r="I45" s="10">
        <v>1669310</v>
      </c>
      <c r="J45" s="12" t="s">
        <v>7265</v>
      </c>
      <c r="K45" s="12">
        <v>253</v>
      </c>
      <c r="L45" s="12" t="s">
        <v>7266</v>
      </c>
      <c r="M45" s="10">
        <v>29105229190</v>
      </c>
      <c r="N45" s="10">
        <v>3360015</v>
      </c>
      <c r="O45" s="12">
        <v>25</v>
      </c>
    </row>
    <row r="46" spans="1:15" ht="15" customHeight="1" x14ac:dyDescent="0.3">
      <c r="A46" s="9">
        <v>43641</v>
      </c>
      <c r="B46" s="12">
        <v>30</v>
      </c>
      <c r="C46" s="11">
        <v>5.0000000000000001E-3</v>
      </c>
      <c r="D46" s="12">
        <v>33</v>
      </c>
      <c r="E46" s="11">
        <v>2E-3</v>
      </c>
      <c r="F46" s="10">
        <v>5088</v>
      </c>
      <c r="G46" s="11">
        <v>2E-3</v>
      </c>
      <c r="H46" s="11">
        <v>0.11</v>
      </c>
      <c r="I46" s="10">
        <v>3191880</v>
      </c>
      <c r="J46" s="12" t="s">
        <v>7267</v>
      </c>
      <c r="K46" s="12">
        <v>559</v>
      </c>
      <c r="L46" s="12" t="s">
        <v>7268</v>
      </c>
      <c r="M46" s="10">
        <v>29108421070</v>
      </c>
      <c r="N46" s="10">
        <v>3360574</v>
      </c>
      <c r="O46" s="12">
        <v>22</v>
      </c>
    </row>
    <row r="47" spans="1:15" ht="15" customHeight="1" x14ac:dyDescent="0.3">
      <c r="A47" s="9">
        <v>43642</v>
      </c>
      <c r="B47" s="12">
        <v>23</v>
      </c>
      <c r="C47" s="11">
        <v>4.0000000000000001E-3</v>
      </c>
      <c r="D47" s="12">
        <v>23</v>
      </c>
      <c r="E47" s="11">
        <v>1E-3</v>
      </c>
      <c r="F47" s="10">
        <v>3279</v>
      </c>
      <c r="G47" s="11">
        <v>1E-3</v>
      </c>
      <c r="H47" s="11">
        <v>0.16200000000000001</v>
      </c>
      <c r="I47" s="10">
        <v>2825300</v>
      </c>
      <c r="J47" s="12" t="s">
        <v>7269</v>
      </c>
      <c r="K47" s="12">
        <v>530</v>
      </c>
      <c r="L47" s="12" t="s">
        <v>7270</v>
      </c>
      <c r="M47" s="10">
        <v>29111246370</v>
      </c>
      <c r="N47" s="10">
        <v>3361104</v>
      </c>
      <c r="O47" s="12">
        <v>19</v>
      </c>
    </row>
    <row r="48" spans="1:15" ht="15" customHeight="1" x14ac:dyDescent="0.3">
      <c r="A48" s="9">
        <v>43643</v>
      </c>
      <c r="B48" s="12">
        <v>12</v>
      </c>
      <c r="C48" s="11">
        <v>2E-3</v>
      </c>
      <c r="D48" s="12">
        <v>12</v>
      </c>
      <c r="E48" s="11">
        <v>1E-3</v>
      </c>
      <c r="F48" s="10">
        <v>1770</v>
      </c>
      <c r="G48" s="11">
        <v>1E-3</v>
      </c>
      <c r="H48" s="11">
        <v>0.32</v>
      </c>
      <c r="I48" s="10">
        <v>4406000</v>
      </c>
      <c r="J48" s="12" t="s">
        <v>7271</v>
      </c>
      <c r="K48" s="12">
        <v>566</v>
      </c>
      <c r="L48" s="12" t="s">
        <v>7272</v>
      </c>
      <c r="M48" s="10">
        <v>29115652370</v>
      </c>
      <c r="N48" s="10">
        <v>3361670</v>
      </c>
      <c r="O48" s="12">
        <v>22</v>
      </c>
    </row>
    <row r="49" spans="1:15" ht="15" customHeight="1" x14ac:dyDescent="0.3">
      <c r="A49" s="9">
        <v>43644</v>
      </c>
      <c r="B49" s="12">
        <v>8</v>
      </c>
      <c r="C49" s="11">
        <v>1E-3</v>
      </c>
      <c r="D49" s="12">
        <v>8</v>
      </c>
      <c r="E49" s="11">
        <v>0</v>
      </c>
      <c r="F49" s="10">
        <v>1248</v>
      </c>
      <c r="G49" s="11">
        <v>0</v>
      </c>
      <c r="H49" s="11">
        <v>0.124</v>
      </c>
      <c r="I49" s="10">
        <v>900800</v>
      </c>
      <c r="J49" s="12" t="s">
        <v>7273</v>
      </c>
      <c r="K49" s="12">
        <v>155</v>
      </c>
      <c r="L49" s="12" t="s">
        <v>7274</v>
      </c>
      <c r="M49" s="10">
        <v>29116553170</v>
      </c>
      <c r="N49" s="10">
        <v>3361825</v>
      </c>
      <c r="O49" s="12">
        <v>43</v>
      </c>
    </row>
    <row r="50" spans="1:15" ht="15" customHeight="1" x14ac:dyDescent="0.3">
      <c r="A50" s="9">
        <v>43645</v>
      </c>
      <c r="B50" s="12">
        <v>7</v>
      </c>
      <c r="C50" s="11">
        <v>1E-3</v>
      </c>
      <c r="D50" s="12">
        <v>7</v>
      </c>
      <c r="E50" s="11">
        <v>0</v>
      </c>
      <c r="F50" s="12">
        <v>984</v>
      </c>
      <c r="G50" s="11">
        <v>0</v>
      </c>
      <c r="H50" s="11">
        <v>0.16900000000000001</v>
      </c>
      <c r="I50" s="10">
        <v>968200</v>
      </c>
      <c r="J50" s="12" t="s">
        <v>7275</v>
      </c>
      <c r="K50" s="12">
        <v>166</v>
      </c>
      <c r="L50" s="12" t="s">
        <v>7276</v>
      </c>
      <c r="M50" s="10">
        <v>29117521370</v>
      </c>
      <c r="N50" s="10">
        <v>3361991</v>
      </c>
      <c r="O50" s="12">
        <v>41</v>
      </c>
    </row>
    <row r="51" spans="1:15" ht="15" customHeight="1" x14ac:dyDescent="0.3">
      <c r="A51" s="9">
        <v>43646</v>
      </c>
      <c r="B51" s="12">
        <v>6</v>
      </c>
      <c r="C51" s="11">
        <v>1E-3</v>
      </c>
      <c r="D51" s="12">
        <v>6</v>
      </c>
      <c r="E51" s="11">
        <v>0</v>
      </c>
      <c r="F51" s="12">
        <v>846</v>
      </c>
      <c r="G51" s="11">
        <v>0</v>
      </c>
      <c r="H51" s="11">
        <v>0.16700000000000001</v>
      </c>
      <c r="I51" s="10">
        <v>793300</v>
      </c>
      <c r="J51" s="12" t="s">
        <v>7277</v>
      </c>
      <c r="K51" s="12">
        <v>141</v>
      </c>
      <c r="L51" s="12" t="s">
        <v>7278</v>
      </c>
      <c r="M51" s="10">
        <v>29118314670</v>
      </c>
      <c r="N51" s="10">
        <v>3362132</v>
      </c>
      <c r="O51" s="12">
        <v>38</v>
      </c>
    </row>
    <row r="52" spans="1:15" ht="15" customHeight="1" x14ac:dyDescent="0.3">
      <c r="A52" s="9">
        <v>43647</v>
      </c>
      <c r="B52" s="12">
        <v>6</v>
      </c>
      <c r="C52" s="11">
        <v>1E-3</v>
      </c>
      <c r="D52" s="12">
        <v>6</v>
      </c>
      <c r="E52" s="11">
        <v>0</v>
      </c>
      <c r="F52" s="12">
        <v>851</v>
      </c>
      <c r="G52" s="11">
        <v>0</v>
      </c>
      <c r="H52" s="11">
        <v>0.16800000000000001</v>
      </c>
      <c r="I52" s="10">
        <v>796000</v>
      </c>
      <c r="J52" s="12" t="s">
        <v>7279</v>
      </c>
      <c r="K52" s="12">
        <v>143</v>
      </c>
      <c r="L52" s="12" t="s">
        <v>7280</v>
      </c>
      <c r="M52" s="10">
        <v>29119110670</v>
      </c>
      <c r="N52" s="10">
        <v>3362275</v>
      </c>
      <c r="O52" s="12">
        <v>41</v>
      </c>
    </row>
    <row r="53" spans="1:15" ht="15" customHeight="1" x14ac:dyDescent="0.3">
      <c r="A53" s="9">
        <v>43648</v>
      </c>
      <c r="B53" s="12">
        <v>6</v>
      </c>
      <c r="C53" s="11">
        <v>1E-3</v>
      </c>
      <c r="D53" s="12">
        <v>6</v>
      </c>
      <c r="E53" s="11">
        <v>0</v>
      </c>
      <c r="F53" s="12">
        <v>862</v>
      </c>
      <c r="G53" s="11">
        <v>0</v>
      </c>
      <c r="H53" s="11">
        <v>0.15</v>
      </c>
      <c r="I53" s="10">
        <v>663500</v>
      </c>
      <c r="J53" s="12" t="s">
        <v>2482</v>
      </c>
      <c r="K53" s="12">
        <v>129</v>
      </c>
      <c r="L53" s="12" t="s">
        <v>7281</v>
      </c>
      <c r="M53" s="10">
        <v>29119774170</v>
      </c>
      <c r="N53" s="10">
        <v>3362404</v>
      </c>
      <c r="O53" s="12">
        <v>39</v>
      </c>
    </row>
    <row r="54" spans="1:15" ht="15" customHeight="1" x14ac:dyDescent="0.3">
      <c r="A54" s="9">
        <v>43649</v>
      </c>
      <c r="B54" s="12">
        <v>6</v>
      </c>
      <c r="C54" s="11">
        <v>1E-3</v>
      </c>
      <c r="D54" s="12">
        <v>6</v>
      </c>
      <c r="E54" s="11">
        <v>0</v>
      </c>
      <c r="F54" s="12">
        <v>917</v>
      </c>
      <c r="G54" s="11">
        <v>0</v>
      </c>
      <c r="H54" s="11">
        <v>0.153</v>
      </c>
      <c r="I54" s="10">
        <v>744780</v>
      </c>
      <c r="J54" s="12" t="s">
        <v>7282</v>
      </c>
      <c r="K54" s="12">
        <v>140</v>
      </c>
      <c r="L54" s="12" t="s">
        <v>7283</v>
      </c>
      <c r="M54" s="10">
        <v>29120518950</v>
      </c>
      <c r="N54" s="10">
        <v>3362544</v>
      </c>
      <c r="O54" s="12">
        <v>36</v>
      </c>
    </row>
    <row r="55" spans="1:15" ht="15" customHeight="1" x14ac:dyDescent="0.3">
      <c r="A55" s="9">
        <v>43650</v>
      </c>
      <c r="B55" s="12">
        <v>6</v>
      </c>
      <c r="C55" s="11">
        <v>1E-3</v>
      </c>
      <c r="D55" s="12">
        <v>6</v>
      </c>
      <c r="E55" s="11">
        <v>0</v>
      </c>
      <c r="F55" s="12">
        <v>883</v>
      </c>
      <c r="G55" s="11">
        <v>0</v>
      </c>
      <c r="H55" s="11">
        <v>0.14899999999999999</v>
      </c>
      <c r="I55" s="10">
        <v>689500</v>
      </c>
      <c r="J55" s="12" t="s">
        <v>7284</v>
      </c>
      <c r="K55" s="12">
        <v>132</v>
      </c>
      <c r="L55" s="12" t="s">
        <v>7285</v>
      </c>
      <c r="M55" s="10">
        <v>29121208450</v>
      </c>
      <c r="N55" s="10">
        <v>3362676</v>
      </c>
      <c r="O55" s="12">
        <v>36</v>
      </c>
    </row>
    <row r="56" spans="1:15" ht="15" customHeight="1" x14ac:dyDescent="0.3">
      <c r="A56" s="9">
        <v>43651</v>
      </c>
      <c r="B56" s="12">
        <v>6</v>
      </c>
      <c r="C56" s="11">
        <v>1E-3</v>
      </c>
      <c r="D56" s="12">
        <v>6</v>
      </c>
      <c r="E56" s="11">
        <v>0</v>
      </c>
      <c r="F56" s="12">
        <v>805</v>
      </c>
      <c r="G56" s="11">
        <v>0</v>
      </c>
      <c r="H56" s="11">
        <v>0.18</v>
      </c>
      <c r="I56" s="10">
        <v>811300</v>
      </c>
      <c r="J56" s="12" t="s">
        <v>7286</v>
      </c>
      <c r="K56" s="12">
        <v>145</v>
      </c>
      <c r="L56" s="12" t="s">
        <v>7287</v>
      </c>
      <c r="M56" s="10">
        <v>29122019750</v>
      </c>
      <c r="N56" s="10">
        <v>3362821</v>
      </c>
      <c r="O56" s="12">
        <v>29</v>
      </c>
    </row>
    <row r="57" spans="1:15" ht="15" customHeight="1" x14ac:dyDescent="0.3">
      <c r="A57" s="9">
        <v>43652</v>
      </c>
      <c r="B57" s="12">
        <v>6</v>
      </c>
      <c r="C57" s="11">
        <v>1E-3</v>
      </c>
      <c r="D57" s="12">
        <v>6</v>
      </c>
      <c r="E57" s="11">
        <v>0</v>
      </c>
      <c r="F57" s="12">
        <v>794</v>
      </c>
      <c r="G57" s="11">
        <v>0</v>
      </c>
      <c r="H57" s="11">
        <v>0.19900000000000001</v>
      </c>
      <c r="I57" s="10">
        <v>965000</v>
      </c>
      <c r="J57" s="12" t="s">
        <v>7288</v>
      </c>
      <c r="K57" s="12">
        <v>158</v>
      </c>
      <c r="L57" s="12" t="s">
        <v>7289</v>
      </c>
      <c r="M57" s="10">
        <v>29122984750</v>
      </c>
      <c r="N57" s="10">
        <v>3362979</v>
      </c>
      <c r="O57" s="12">
        <v>34</v>
      </c>
    </row>
    <row r="58" spans="1:15" ht="15" customHeight="1" x14ac:dyDescent="0.3">
      <c r="A58" s="9">
        <v>43653</v>
      </c>
      <c r="B58" s="12">
        <v>6</v>
      </c>
      <c r="C58" s="11">
        <v>1E-3</v>
      </c>
      <c r="D58" s="12">
        <v>6</v>
      </c>
      <c r="E58" s="11">
        <v>0</v>
      </c>
      <c r="F58" s="12">
        <v>884</v>
      </c>
      <c r="G58" s="11">
        <v>0</v>
      </c>
      <c r="H58" s="11">
        <v>0.16300000000000001</v>
      </c>
      <c r="I58" s="10">
        <v>821100</v>
      </c>
      <c r="J58" s="12" t="s">
        <v>7290</v>
      </c>
      <c r="K58" s="12">
        <v>144</v>
      </c>
      <c r="L58" s="12" t="s">
        <v>7291</v>
      </c>
      <c r="M58" s="10">
        <v>29123805850</v>
      </c>
      <c r="N58" s="10">
        <v>3363123</v>
      </c>
      <c r="O58" s="12">
        <v>31</v>
      </c>
    </row>
    <row r="59" spans="1:15" ht="15" customHeight="1" x14ac:dyDescent="0.3">
      <c r="A59" s="9">
        <v>43654</v>
      </c>
      <c r="B59" s="12">
        <v>6</v>
      </c>
      <c r="C59" s="11">
        <v>1E-3</v>
      </c>
      <c r="D59" s="12">
        <v>6</v>
      </c>
      <c r="E59" s="11">
        <v>0</v>
      </c>
      <c r="F59" s="12">
        <v>931</v>
      </c>
      <c r="G59" s="11">
        <v>0</v>
      </c>
      <c r="H59" s="11">
        <v>0.14799999999999999</v>
      </c>
      <c r="I59" s="10">
        <v>758000</v>
      </c>
      <c r="J59" s="12" t="s">
        <v>7292</v>
      </c>
      <c r="K59" s="12">
        <v>138</v>
      </c>
      <c r="L59" s="12" t="s">
        <v>7293</v>
      </c>
      <c r="M59" s="10">
        <v>29124563850</v>
      </c>
      <c r="N59" s="10">
        <v>3363261</v>
      </c>
      <c r="O59" s="12">
        <v>30</v>
      </c>
    </row>
    <row r="60" spans="1:15" ht="15" customHeight="1" x14ac:dyDescent="0.3">
      <c r="A60" s="9">
        <v>43655</v>
      </c>
      <c r="B60" s="12">
        <v>6</v>
      </c>
      <c r="C60" s="11">
        <v>1E-3</v>
      </c>
      <c r="D60" s="12">
        <v>6</v>
      </c>
      <c r="E60" s="11">
        <v>0</v>
      </c>
      <c r="F60" s="12">
        <v>833</v>
      </c>
      <c r="G60" s="11">
        <v>0</v>
      </c>
      <c r="H60" s="11">
        <v>0.151</v>
      </c>
      <c r="I60" s="10">
        <v>651000</v>
      </c>
      <c r="J60" s="12" t="s">
        <v>7294</v>
      </c>
      <c r="K60" s="12">
        <v>126</v>
      </c>
      <c r="L60" s="12" t="s">
        <v>7295</v>
      </c>
      <c r="M60" s="10">
        <v>29125214850</v>
      </c>
      <c r="N60" s="10">
        <v>3363387</v>
      </c>
      <c r="O60" s="12">
        <v>34</v>
      </c>
    </row>
    <row r="61" spans="1:15" ht="15" customHeight="1" x14ac:dyDescent="0.3">
      <c r="A61" s="9">
        <v>43656</v>
      </c>
      <c r="B61" s="12">
        <v>6</v>
      </c>
      <c r="C61" s="11">
        <v>1E-3</v>
      </c>
      <c r="D61" s="12">
        <v>6</v>
      </c>
      <c r="E61" s="11">
        <v>0</v>
      </c>
      <c r="F61" s="12">
        <v>786</v>
      </c>
      <c r="G61" s="11">
        <v>0</v>
      </c>
      <c r="H61" s="11">
        <v>0.17399999999999999</v>
      </c>
      <c r="I61" s="10">
        <v>742000</v>
      </c>
      <c r="J61" s="12" t="s">
        <v>7296</v>
      </c>
      <c r="K61" s="12">
        <v>137</v>
      </c>
      <c r="L61" s="12" t="s">
        <v>7297</v>
      </c>
      <c r="M61" s="10">
        <v>29125956850</v>
      </c>
      <c r="N61" s="10">
        <v>3363524</v>
      </c>
      <c r="O61" s="12">
        <v>35</v>
      </c>
    </row>
    <row r="62" spans="1:15" ht="15" customHeight="1" x14ac:dyDescent="0.3">
      <c r="A62" s="9">
        <v>43657</v>
      </c>
      <c r="B62" s="12">
        <v>6</v>
      </c>
      <c r="C62" s="11">
        <v>1E-3</v>
      </c>
      <c r="D62" s="12">
        <v>6</v>
      </c>
      <c r="E62" s="11">
        <v>0</v>
      </c>
      <c r="F62" s="12">
        <v>761</v>
      </c>
      <c r="G62" s="11">
        <v>0</v>
      </c>
      <c r="H62" s="11">
        <v>0.17899999999999999</v>
      </c>
      <c r="I62" s="10">
        <v>737000</v>
      </c>
      <c r="J62" s="12" t="s">
        <v>7298</v>
      </c>
      <c r="K62" s="12">
        <v>136</v>
      </c>
      <c r="L62" s="12" t="s">
        <v>7299</v>
      </c>
      <c r="M62" s="10">
        <v>29126693850</v>
      </c>
      <c r="N62" s="10">
        <v>3363660</v>
      </c>
      <c r="O62" s="12">
        <v>40</v>
      </c>
    </row>
    <row r="63" spans="1:15" ht="15" customHeight="1" x14ac:dyDescent="0.3">
      <c r="A63" s="9">
        <v>43658</v>
      </c>
      <c r="B63" s="12">
        <v>6</v>
      </c>
      <c r="C63" s="11">
        <v>1E-3</v>
      </c>
      <c r="D63" s="12">
        <v>6</v>
      </c>
      <c r="E63" s="11">
        <v>0</v>
      </c>
      <c r="F63" s="12">
        <v>813</v>
      </c>
      <c r="G63" s="11">
        <v>0</v>
      </c>
      <c r="H63" s="11">
        <v>0.16500000000000001</v>
      </c>
      <c r="I63" s="10">
        <v>719500</v>
      </c>
      <c r="J63" s="12" t="s">
        <v>7300</v>
      </c>
      <c r="K63" s="12">
        <v>134</v>
      </c>
      <c r="L63" s="12" t="s">
        <v>7301</v>
      </c>
      <c r="M63" s="10">
        <v>29127413350</v>
      </c>
      <c r="N63" s="10">
        <v>3363794</v>
      </c>
      <c r="O63" s="12">
        <v>43</v>
      </c>
    </row>
    <row r="64" spans="1:15" ht="15" customHeight="1" x14ac:dyDescent="0.3">
      <c r="A64" s="9">
        <v>43659</v>
      </c>
      <c r="B64" s="12">
        <v>6</v>
      </c>
      <c r="C64" s="11">
        <v>1E-3</v>
      </c>
      <c r="D64" s="12">
        <v>6</v>
      </c>
      <c r="E64" s="11">
        <v>0</v>
      </c>
      <c r="F64" s="12">
        <v>804</v>
      </c>
      <c r="G64" s="11">
        <v>0</v>
      </c>
      <c r="H64" s="11">
        <v>0.192</v>
      </c>
      <c r="I64" s="10">
        <v>898400</v>
      </c>
      <c r="J64" s="12" t="s">
        <v>7302</v>
      </c>
      <c r="K64" s="12">
        <v>154</v>
      </c>
      <c r="L64" s="12" t="s">
        <v>7303</v>
      </c>
      <c r="M64" s="10">
        <v>29128311750</v>
      </c>
      <c r="N64" s="10">
        <v>3363948</v>
      </c>
      <c r="O64" s="12">
        <v>42</v>
      </c>
    </row>
    <row r="65" spans="1:15" ht="15" customHeight="1" x14ac:dyDescent="0.3">
      <c r="A65" s="9">
        <v>43660</v>
      </c>
      <c r="B65" s="12">
        <v>6</v>
      </c>
      <c r="C65" s="11">
        <v>1E-3</v>
      </c>
      <c r="D65" s="12">
        <v>6</v>
      </c>
      <c r="E65" s="11">
        <v>0</v>
      </c>
      <c r="F65" s="12">
        <v>909</v>
      </c>
      <c r="G65" s="11">
        <v>0</v>
      </c>
      <c r="H65" s="11">
        <v>0.16700000000000001</v>
      </c>
      <c r="I65" s="10">
        <v>865900</v>
      </c>
      <c r="J65" s="12" t="s">
        <v>7304</v>
      </c>
      <c r="K65" s="12">
        <v>152</v>
      </c>
      <c r="L65" s="12" t="s">
        <v>7305</v>
      </c>
      <c r="M65" s="10">
        <v>29129177650</v>
      </c>
      <c r="N65" s="10">
        <v>3364100</v>
      </c>
      <c r="O65" s="12">
        <v>37</v>
      </c>
    </row>
    <row r="66" spans="1:15" ht="15" customHeight="1" x14ac:dyDescent="0.3">
      <c r="A66" s="9">
        <v>43661</v>
      </c>
      <c r="B66" s="12">
        <v>6</v>
      </c>
      <c r="C66" s="11">
        <v>1E-3</v>
      </c>
      <c r="D66" s="12">
        <v>6</v>
      </c>
      <c r="E66" s="11">
        <v>0</v>
      </c>
      <c r="F66" s="10">
        <v>1058</v>
      </c>
      <c r="G66" s="11">
        <v>0</v>
      </c>
      <c r="H66" s="11">
        <v>0.124</v>
      </c>
      <c r="I66" s="10">
        <v>692000</v>
      </c>
      <c r="J66" s="12" t="s">
        <v>7306</v>
      </c>
      <c r="K66" s="12">
        <v>131</v>
      </c>
      <c r="L66" s="12" t="s">
        <v>7307</v>
      </c>
      <c r="M66" s="10">
        <v>29129869650</v>
      </c>
      <c r="N66" s="10">
        <v>3364231</v>
      </c>
      <c r="O66" s="12">
        <v>37</v>
      </c>
    </row>
    <row r="67" spans="1:15" ht="15" customHeight="1" x14ac:dyDescent="0.3">
      <c r="A67" s="9">
        <v>43662</v>
      </c>
      <c r="B67" s="12">
        <v>6</v>
      </c>
      <c r="C67" s="11">
        <v>1E-3</v>
      </c>
      <c r="D67" s="12">
        <v>6</v>
      </c>
      <c r="E67" s="11">
        <v>0</v>
      </c>
      <c r="F67" s="10">
        <v>1110</v>
      </c>
      <c r="G67" s="11">
        <v>0</v>
      </c>
      <c r="H67" s="11">
        <v>0.11600000000000001</v>
      </c>
      <c r="I67" s="10">
        <v>670500</v>
      </c>
      <c r="J67" s="12" t="s">
        <v>7308</v>
      </c>
      <c r="K67" s="12">
        <v>129</v>
      </c>
      <c r="L67" s="12" t="s">
        <v>7301</v>
      </c>
      <c r="M67" s="10">
        <v>29130540150</v>
      </c>
      <c r="N67" s="10">
        <v>3364360</v>
      </c>
      <c r="O67" s="12">
        <v>48</v>
      </c>
    </row>
    <row r="68" spans="1:15" ht="15" customHeight="1" x14ac:dyDescent="0.3"/>
    <row r="69" spans="1:15" ht="15" customHeight="1" x14ac:dyDescent="0.3"/>
    <row r="70" spans="1:15" ht="15" customHeight="1" x14ac:dyDescent="0.3"/>
    <row r="71" spans="1:15" ht="15" customHeight="1" x14ac:dyDescent="0.3"/>
    <row r="72" spans="1:15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4425C-728A-47D1-A589-A36A17A0B8E0}">
  <dimension ref="A1:O66"/>
  <sheetViews>
    <sheetView showGridLines="0" workbookViewId="0">
      <selection activeCell="A5" sqref="A5:O9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20.2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7309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43594</v>
      </c>
      <c r="B5" s="12">
        <v>760</v>
      </c>
      <c r="C5" s="11">
        <v>0.14899999999999999</v>
      </c>
      <c r="D5" s="10">
        <v>3434</v>
      </c>
      <c r="E5" s="11">
        <v>0.20699999999999999</v>
      </c>
      <c r="F5" s="10">
        <v>476596</v>
      </c>
      <c r="G5" s="11">
        <v>0.188</v>
      </c>
      <c r="H5" s="11">
        <v>0.157</v>
      </c>
      <c r="I5" s="10">
        <v>600962410</v>
      </c>
      <c r="J5" s="12" t="s">
        <v>7310</v>
      </c>
      <c r="K5" s="10">
        <v>74718</v>
      </c>
      <c r="L5" s="12" t="s">
        <v>7311</v>
      </c>
      <c r="M5" s="10">
        <v>656761710</v>
      </c>
      <c r="N5" s="10">
        <v>80505</v>
      </c>
      <c r="O5" s="12">
        <v>2</v>
      </c>
    </row>
    <row r="6" spans="1:15" ht="15" customHeight="1" x14ac:dyDescent="0.3">
      <c r="A6" s="9">
        <v>43595</v>
      </c>
      <c r="B6" s="12">
        <v>834</v>
      </c>
      <c r="C6" s="11">
        <v>0.16200000000000001</v>
      </c>
      <c r="D6" s="10">
        <v>3661</v>
      </c>
      <c r="E6" s="11">
        <v>0.214</v>
      </c>
      <c r="F6" s="10">
        <v>505985</v>
      </c>
      <c r="G6" s="11">
        <v>0.19400000000000001</v>
      </c>
      <c r="H6" s="11">
        <v>0.19900000000000001</v>
      </c>
      <c r="I6" s="10">
        <v>883127033</v>
      </c>
      <c r="J6" s="12" t="s">
        <v>7312</v>
      </c>
      <c r="K6" s="10">
        <v>100549</v>
      </c>
      <c r="L6" s="12" t="s">
        <v>7313</v>
      </c>
      <c r="M6" s="10">
        <v>1539888743</v>
      </c>
      <c r="N6" s="10">
        <v>181054</v>
      </c>
      <c r="O6" s="12">
        <v>2</v>
      </c>
    </row>
    <row r="7" spans="1:15" ht="15" customHeight="1" x14ac:dyDescent="0.3">
      <c r="A7" s="9">
        <v>43596</v>
      </c>
      <c r="B7" s="12">
        <v>941</v>
      </c>
      <c r="C7" s="11">
        <v>0.16300000000000001</v>
      </c>
      <c r="D7" s="10">
        <v>4028</v>
      </c>
      <c r="E7" s="11">
        <v>0.222</v>
      </c>
      <c r="F7" s="10">
        <v>579856</v>
      </c>
      <c r="G7" s="11">
        <v>0.21099999999999999</v>
      </c>
      <c r="H7" s="11">
        <v>0.35799999999999998</v>
      </c>
      <c r="I7" s="10">
        <v>1835756461</v>
      </c>
      <c r="J7" s="12" t="s">
        <v>7314</v>
      </c>
      <c r="K7" s="10">
        <v>207606</v>
      </c>
      <c r="L7" s="12" t="s">
        <v>7315</v>
      </c>
      <c r="M7" s="10">
        <v>3375645204</v>
      </c>
      <c r="N7" s="10">
        <v>388660</v>
      </c>
      <c r="O7" s="12">
        <v>2</v>
      </c>
    </row>
    <row r="8" spans="1:15" ht="15" customHeight="1" x14ac:dyDescent="0.3">
      <c r="A8" s="9">
        <v>43597</v>
      </c>
      <c r="B8" s="12">
        <v>973</v>
      </c>
      <c r="C8" s="11">
        <v>0.16900000000000001</v>
      </c>
      <c r="D8" s="10">
        <v>4070</v>
      </c>
      <c r="E8" s="11">
        <v>0.22900000000000001</v>
      </c>
      <c r="F8" s="10">
        <v>593636</v>
      </c>
      <c r="G8" s="11">
        <v>0.221</v>
      </c>
      <c r="H8" s="11">
        <v>0.34200000000000003</v>
      </c>
      <c r="I8" s="10">
        <v>1794178850</v>
      </c>
      <c r="J8" s="12" t="s">
        <v>7316</v>
      </c>
      <c r="K8" s="10">
        <v>203308</v>
      </c>
      <c r="L8" s="12" t="s">
        <v>7317</v>
      </c>
      <c r="M8" s="10">
        <v>5169824054</v>
      </c>
      <c r="N8" s="10">
        <v>591968</v>
      </c>
      <c r="O8" s="12">
        <v>2</v>
      </c>
    </row>
    <row r="9" spans="1:15" ht="15" customHeight="1" x14ac:dyDescent="0.3">
      <c r="A9" s="9">
        <v>43598</v>
      </c>
      <c r="B9" s="12">
        <v>894</v>
      </c>
      <c r="C9" s="11">
        <v>0.186</v>
      </c>
      <c r="D9" s="10">
        <v>4185</v>
      </c>
      <c r="E9" s="11">
        <v>0.25900000000000001</v>
      </c>
      <c r="F9" s="10">
        <v>605244</v>
      </c>
      <c r="G9" s="11">
        <v>0.245</v>
      </c>
      <c r="H9" s="11">
        <v>0.122</v>
      </c>
      <c r="I9" s="10">
        <v>602880820</v>
      </c>
      <c r="J9" s="12" t="s">
        <v>7318</v>
      </c>
      <c r="K9" s="10">
        <v>73974</v>
      </c>
      <c r="L9" s="12" t="s">
        <v>7319</v>
      </c>
      <c r="M9" s="10">
        <v>5772704874</v>
      </c>
      <c r="N9" s="10">
        <v>665942</v>
      </c>
      <c r="O9" s="12">
        <v>2</v>
      </c>
    </row>
    <row r="10" spans="1:15" ht="15" customHeight="1" x14ac:dyDescent="0.3">
      <c r="A10" s="9">
        <v>43599</v>
      </c>
      <c r="B10" s="12">
        <v>942</v>
      </c>
      <c r="C10" s="11">
        <v>0.189</v>
      </c>
      <c r="D10" s="10">
        <v>4236</v>
      </c>
      <c r="E10" s="11">
        <v>0.26200000000000001</v>
      </c>
      <c r="F10" s="10">
        <v>612192</v>
      </c>
      <c r="G10" s="11">
        <v>0.249</v>
      </c>
      <c r="H10" s="11">
        <v>0.125</v>
      </c>
      <c r="I10" s="10">
        <v>609143820</v>
      </c>
      <c r="J10" s="12" t="s">
        <v>7320</v>
      </c>
      <c r="K10" s="10">
        <v>76544</v>
      </c>
      <c r="L10" s="12" t="s">
        <v>7321</v>
      </c>
      <c r="M10" s="10">
        <v>6381848694</v>
      </c>
      <c r="N10" s="10">
        <v>742486</v>
      </c>
      <c r="O10" s="12">
        <v>1</v>
      </c>
    </row>
    <row r="11" spans="1:15" ht="15" customHeight="1" x14ac:dyDescent="0.3">
      <c r="A11" s="9">
        <v>43600</v>
      </c>
      <c r="B11" s="12">
        <v>756</v>
      </c>
      <c r="C11" s="11">
        <v>0.14299999999999999</v>
      </c>
      <c r="D11" s="10">
        <v>2927</v>
      </c>
      <c r="E11" s="11">
        <v>0.16700000000000001</v>
      </c>
      <c r="F11" s="10">
        <v>411078</v>
      </c>
      <c r="G11" s="11">
        <v>0.151</v>
      </c>
      <c r="H11" s="11">
        <v>0.156</v>
      </c>
      <c r="I11" s="10">
        <v>508551020</v>
      </c>
      <c r="J11" s="12" t="s">
        <v>7322</v>
      </c>
      <c r="K11" s="10">
        <v>63999</v>
      </c>
      <c r="L11" s="12" t="s">
        <v>7323</v>
      </c>
      <c r="M11" s="10">
        <v>6890399714</v>
      </c>
      <c r="N11" s="10">
        <v>806485</v>
      </c>
      <c r="O11" s="12">
        <v>2</v>
      </c>
    </row>
    <row r="12" spans="1:15" ht="15" customHeight="1" x14ac:dyDescent="0.3">
      <c r="A12" s="9">
        <v>43601</v>
      </c>
      <c r="B12" s="12">
        <v>809</v>
      </c>
      <c r="C12" s="11">
        <v>0.14199999999999999</v>
      </c>
      <c r="D12" s="10">
        <v>2953</v>
      </c>
      <c r="E12" s="11">
        <v>0.16900000000000001</v>
      </c>
      <c r="F12" s="10">
        <v>422803</v>
      </c>
      <c r="G12" s="11">
        <v>0.155</v>
      </c>
      <c r="H12" s="11">
        <v>0.11700000000000001</v>
      </c>
      <c r="I12" s="10">
        <v>398018680</v>
      </c>
      <c r="J12" s="12" t="s">
        <v>7324</v>
      </c>
      <c r="K12" s="10">
        <v>49509</v>
      </c>
      <c r="L12" s="12" t="s">
        <v>7325</v>
      </c>
      <c r="M12" s="10">
        <v>7288418394</v>
      </c>
      <c r="N12" s="10">
        <v>855994</v>
      </c>
      <c r="O12" s="12">
        <v>3</v>
      </c>
    </row>
    <row r="13" spans="1:15" ht="15" customHeight="1" x14ac:dyDescent="0.3">
      <c r="A13" s="9">
        <v>43602</v>
      </c>
      <c r="B13" s="12">
        <v>872</v>
      </c>
      <c r="C13" s="11">
        <v>0.15</v>
      </c>
      <c r="D13" s="10">
        <v>3324</v>
      </c>
      <c r="E13" s="11">
        <v>0.183</v>
      </c>
      <c r="F13" s="10">
        <v>482076</v>
      </c>
      <c r="G13" s="11">
        <v>0.17</v>
      </c>
      <c r="H13" s="11">
        <v>0.14699999999999999</v>
      </c>
      <c r="I13" s="10">
        <v>613012210</v>
      </c>
      <c r="J13" s="12" t="s">
        <v>7326</v>
      </c>
      <c r="K13" s="10">
        <v>70771</v>
      </c>
      <c r="L13" s="12" t="s">
        <v>7327</v>
      </c>
      <c r="M13" s="10">
        <v>7901430604</v>
      </c>
      <c r="N13" s="10">
        <v>926765</v>
      </c>
      <c r="O13" s="12">
        <v>3</v>
      </c>
    </row>
    <row r="14" spans="1:15" ht="15" customHeight="1" x14ac:dyDescent="0.3">
      <c r="A14" s="9">
        <v>43603</v>
      </c>
      <c r="B14" s="12">
        <v>885</v>
      </c>
      <c r="C14" s="11">
        <v>0.13800000000000001</v>
      </c>
      <c r="D14" s="10">
        <v>3585</v>
      </c>
      <c r="E14" s="11">
        <v>0.185</v>
      </c>
      <c r="F14" s="10">
        <v>539838</v>
      </c>
      <c r="G14" s="11">
        <v>0.18</v>
      </c>
      <c r="H14" s="11">
        <v>0.29199999999999998</v>
      </c>
      <c r="I14" s="10">
        <v>1381847590</v>
      </c>
      <c r="J14" s="12" t="s">
        <v>7328</v>
      </c>
      <c r="K14" s="10">
        <v>157612</v>
      </c>
      <c r="L14" s="12" t="s">
        <v>7329</v>
      </c>
      <c r="M14" s="10">
        <v>9283278194</v>
      </c>
      <c r="N14" s="10">
        <v>1084377</v>
      </c>
      <c r="O14" s="12">
        <v>3</v>
      </c>
    </row>
    <row r="15" spans="1:15" ht="15" customHeight="1" x14ac:dyDescent="0.3">
      <c r="A15" s="9">
        <v>43604</v>
      </c>
      <c r="B15" s="12">
        <v>865</v>
      </c>
      <c r="C15" s="11">
        <v>0.13600000000000001</v>
      </c>
      <c r="D15" s="10">
        <v>3479</v>
      </c>
      <c r="E15" s="11">
        <v>0.184</v>
      </c>
      <c r="F15" s="10">
        <v>523561</v>
      </c>
      <c r="G15" s="11">
        <v>0.17899999999999999</v>
      </c>
      <c r="H15" s="11">
        <v>0.27400000000000002</v>
      </c>
      <c r="I15" s="10">
        <v>1251767720</v>
      </c>
      <c r="J15" s="12" t="s">
        <v>7330</v>
      </c>
      <c r="K15" s="10">
        <v>143448</v>
      </c>
      <c r="L15" s="12" t="s">
        <v>7331</v>
      </c>
      <c r="M15" s="10">
        <v>10535045914</v>
      </c>
      <c r="N15" s="10">
        <v>1227825</v>
      </c>
      <c r="O15" s="12">
        <v>3</v>
      </c>
    </row>
    <row r="16" spans="1:15" ht="15" customHeight="1" x14ac:dyDescent="0.3">
      <c r="A16" s="9">
        <v>43605</v>
      </c>
      <c r="B16" s="12">
        <v>815</v>
      </c>
      <c r="C16" s="11">
        <v>0.14899999999999999</v>
      </c>
      <c r="D16" s="10">
        <v>3341</v>
      </c>
      <c r="E16" s="11">
        <v>0.192</v>
      </c>
      <c r="F16" s="10">
        <v>496692</v>
      </c>
      <c r="G16" s="11">
        <v>0.182</v>
      </c>
      <c r="H16" s="11">
        <v>8.3000000000000004E-2</v>
      </c>
      <c r="I16" s="10">
        <v>334603120</v>
      </c>
      <c r="J16" s="12" t="s">
        <v>7332</v>
      </c>
      <c r="K16" s="10">
        <v>41314</v>
      </c>
      <c r="L16" s="12" t="s">
        <v>7333</v>
      </c>
      <c r="M16" s="10">
        <v>10869649034</v>
      </c>
      <c r="N16" s="10">
        <v>1269139</v>
      </c>
      <c r="O16" s="12">
        <v>3</v>
      </c>
    </row>
    <row r="17" spans="1:15" ht="15" customHeight="1" x14ac:dyDescent="0.3">
      <c r="A17" s="9">
        <v>43606</v>
      </c>
      <c r="B17" s="12">
        <v>828</v>
      </c>
      <c r="C17" s="11">
        <v>0.15</v>
      </c>
      <c r="D17" s="10">
        <v>3322</v>
      </c>
      <c r="E17" s="11">
        <v>0.192</v>
      </c>
      <c r="F17" s="10">
        <v>494108</v>
      </c>
      <c r="G17" s="11">
        <v>0.182</v>
      </c>
      <c r="H17" s="11">
        <v>7.9000000000000001E-2</v>
      </c>
      <c r="I17" s="10">
        <v>312140200</v>
      </c>
      <c r="J17" s="12" t="s">
        <v>7334</v>
      </c>
      <c r="K17" s="10">
        <v>39012</v>
      </c>
      <c r="L17" s="12" t="s">
        <v>7335</v>
      </c>
      <c r="M17" s="10">
        <v>11181789234</v>
      </c>
      <c r="N17" s="10">
        <v>1308151</v>
      </c>
      <c r="O17" s="12">
        <v>2</v>
      </c>
    </row>
    <row r="18" spans="1:15" ht="15" customHeight="1" x14ac:dyDescent="0.3">
      <c r="A18" s="9">
        <v>43607</v>
      </c>
      <c r="B18" s="12">
        <v>714</v>
      </c>
      <c r="C18" s="11">
        <v>0.13900000000000001</v>
      </c>
      <c r="D18" s="10">
        <v>3072</v>
      </c>
      <c r="E18" s="11">
        <v>0.17399999999999999</v>
      </c>
      <c r="F18" s="10">
        <v>443328</v>
      </c>
      <c r="G18" s="11">
        <v>0.161</v>
      </c>
      <c r="H18" s="11">
        <v>8.7999999999999995E-2</v>
      </c>
      <c r="I18" s="10">
        <v>311690020</v>
      </c>
      <c r="J18" s="12" t="s">
        <v>7336</v>
      </c>
      <c r="K18" s="10">
        <v>38840</v>
      </c>
      <c r="L18" s="12" t="s">
        <v>7337</v>
      </c>
      <c r="M18" s="10">
        <v>11493479254</v>
      </c>
      <c r="N18" s="10">
        <v>1346991</v>
      </c>
      <c r="O18" s="12">
        <v>2</v>
      </c>
    </row>
    <row r="19" spans="1:15" ht="15" customHeight="1" x14ac:dyDescent="0.3">
      <c r="A19" s="9">
        <v>43608</v>
      </c>
      <c r="B19" s="12">
        <v>599</v>
      </c>
      <c r="C19" s="11">
        <v>0.10299999999999999</v>
      </c>
      <c r="D19" s="10">
        <v>1745</v>
      </c>
      <c r="E19" s="11">
        <v>9.6000000000000002E-2</v>
      </c>
      <c r="F19" s="10">
        <v>233870</v>
      </c>
      <c r="G19" s="11">
        <v>8.3000000000000004E-2</v>
      </c>
      <c r="H19" s="11">
        <v>0.111</v>
      </c>
      <c r="I19" s="10">
        <v>208670810</v>
      </c>
      <c r="J19" s="12" t="s">
        <v>7338</v>
      </c>
      <c r="K19" s="10">
        <v>26047</v>
      </c>
      <c r="L19" s="12" t="s">
        <v>7339</v>
      </c>
      <c r="M19" s="10">
        <v>11702150064</v>
      </c>
      <c r="N19" s="10">
        <v>1373038</v>
      </c>
      <c r="O19" s="12">
        <v>3</v>
      </c>
    </row>
    <row r="20" spans="1:15" ht="15" customHeight="1" x14ac:dyDescent="0.3">
      <c r="A20" s="9">
        <v>43609</v>
      </c>
      <c r="B20" s="12">
        <v>637</v>
      </c>
      <c r="C20" s="11">
        <v>0.105</v>
      </c>
      <c r="D20" s="10">
        <v>1816</v>
      </c>
      <c r="E20" s="11">
        <v>9.7000000000000003E-2</v>
      </c>
      <c r="F20" s="10">
        <v>244623</v>
      </c>
      <c r="G20" s="11">
        <v>8.5000000000000006E-2</v>
      </c>
      <c r="H20" s="11">
        <v>0.14499999999999999</v>
      </c>
      <c r="I20" s="10">
        <v>308577790</v>
      </c>
      <c r="J20" s="12" t="s">
        <v>7340</v>
      </c>
      <c r="K20" s="10">
        <v>35502</v>
      </c>
      <c r="L20" s="12" t="s">
        <v>7341</v>
      </c>
      <c r="M20" s="10">
        <v>12010727854</v>
      </c>
      <c r="N20" s="10">
        <v>1408540</v>
      </c>
      <c r="O20" s="12">
        <v>3</v>
      </c>
    </row>
    <row r="21" spans="1:15" ht="15" customHeight="1" x14ac:dyDescent="0.3">
      <c r="A21" s="9">
        <v>43610</v>
      </c>
      <c r="B21" s="12">
        <v>622</v>
      </c>
      <c r="C21" s="11">
        <v>9.5000000000000001E-2</v>
      </c>
      <c r="D21" s="10">
        <v>1755</v>
      </c>
      <c r="E21" s="11">
        <v>8.8999999999999996E-2</v>
      </c>
      <c r="F21" s="10">
        <v>233216</v>
      </c>
      <c r="G21" s="11">
        <v>7.6999999999999999E-2</v>
      </c>
      <c r="H21" s="11">
        <v>0.29599999999999999</v>
      </c>
      <c r="I21" s="10">
        <v>610422850</v>
      </c>
      <c r="J21" s="12" t="s">
        <v>7342</v>
      </c>
      <c r="K21" s="10">
        <v>69084</v>
      </c>
      <c r="L21" s="12" t="s">
        <v>7343</v>
      </c>
      <c r="M21" s="10">
        <v>12621150704</v>
      </c>
      <c r="N21" s="10">
        <v>1477624</v>
      </c>
      <c r="O21" s="12">
        <v>4</v>
      </c>
    </row>
    <row r="22" spans="1:15" ht="15" customHeight="1" x14ac:dyDescent="0.3">
      <c r="A22" s="9">
        <v>43611</v>
      </c>
      <c r="B22" s="12">
        <v>632</v>
      </c>
      <c r="C22" s="11">
        <v>9.6000000000000002E-2</v>
      </c>
      <c r="D22" s="10">
        <v>1695</v>
      </c>
      <c r="E22" s="11">
        <v>8.7999999999999995E-2</v>
      </c>
      <c r="F22" s="10">
        <v>224564</v>
      </c>
      <c r="G22" s="11">
        <v>7.5999999999999998E-2</v>
      </c>
      <c r="H22" s="11">
        <v>0.27</v>
      </c>
      <c r="I22" s="10">
        <v>528000390</v>
      </c>
      <c r="J22" s="12" t="s">
        <v>7344</v>
      </c>
      <c r="K22" s="10">
        <v>60541</v>
      </c>
      <c r="L22" s="12" t="s">
        <v>7345</v>
      </c>
      <c r="M22" s="10">
        <v>13149151094</v>
      </c>
      <c r="N22" s="10">
        <v>1538165</v>
      </c>
      <c r="O22" s="12">
        <v>3</v>
      </c>
    </row>
    <row r="23" spans="1:15" ht="15" customHeight="1" x14ac:dyDescent="0.3">
      <c r="A23" s="9">
        <v>43612</v>
      </c>
      <c r="B23" s="12">
        <v>619</v>
      </c>
      <c r="C23" s="11">
        <v>0.109</v>
      </c>
      <c r="D23" s="10">
        <v>1785</v>
      </c>
      <c r="E23" s="11">
        <v>0.10100000000000001</v>
      </c>
      <c r="F23" s="10">
        <v>238735</v>
      </c>
      <c r="G23" s="11">
        <v>8.5999999999999993E-2</v>
      </c>
      <c r="H23" s="11">
        <v>8.8999999999999996E-2</v>
      </c>
      <c r="I23" s="10">
        <v>171506220</v>
      </c>
      <c r="J23" s="12" t="s">
        <v>7346</v>
      </c>
      <c r="K23" s="10">
        <v>21330</v>
      </c>
      <c r="L23" s="12" t="s">
        <v>7347</v>
      </c>
      <c r="M23" s="10">
        <v>13320657314</v>
      </c>
      <c r="N23" s="10">
        <v>1559495</v>
      </c>
      <c r="O23" s="12">
        <v>4</v>
      </c>
    </row>
    <row r="24" spans="1:15" ht="15" customHeight="1" x14ac:dyDescent="0.3">
      <c r="A24" s="9">
        <v>43613</v>
      </c>
      <c r="B24" s="12">
        <v>623</v>
      </c>
      <c r="C24" s="11">
        <v>0.106</v>
      </c>
      <c r="D24" s="10">
        <v>1733</v>
      </c>
      <c r="E24" s="11">
        <v>9.8000000000000004E-2</v>
      </c>
      <c r="F24" s="10">
        <v>232085</v>
      </c>
      <c r="G24" s="11">
        <v>8.4000000000000005E-2</v>
      </c>
      <c r="H24" s="11">
        <v>7.6999999999999999E-2</v>
      </c>
      <c r="I24" s="10">
        <v>142920020</v>
      </c>
      <c r="J24" s="12" t="s">
        <v>7348</v>
      </c>
      <c r="K24" s="10">
        <v>17900</v>
      </c>
      <c r="L24" s="12" t="s">
        <v>7349</v>
      </c>
      <c r="M24" s="10">
        <v>13463577334</v>
      </c>
      <c r="N24" s="10">
        <v>1577395</v>
      </c>
      <c r="O24" s="12">
        <v>4</v>
      </c>
    </row>
    <row r="25" spans="1:15" ht="15" customHeight="1" x14ac:dyDescent="0.3">
      <c r="A25" s="9">
        <v>43614</v>
      </c>
      <c r="B25" s="12">
        <v>479</v>
      </c>
      <c r="C25" s="11">
        <v>8.3000000000000004E-2</v>
      </c>
      <c r="D25" s="10">
        <v>1185</v>
      </c>
      <c r="E25" s="11">
        <v>6.6000000000000003E-2</v>
      </c>
      <c r="F25" s="10">
        <v>146155</v>
      </c>
      <c r="G25" s="11">
        <v>5.1999999999999998E-2</v>
      </c>
      <c r="H25" s="11">
        <v>0.18099999999999999</v>
      </c>
      <c r="I25" s="10">
        <v>157521100</v>
      </c>
      <c r="J25" s="12" t="s">
        <v>7350</v>
      </c>
      <c r="K25" s="10">
        <v>26423</v>
      </c>
      <c r="L25" s="12" t="s">
        <v>7351</v>
      </c>
      <c r="M25" s="10">
        <v>13621098434</v>
      </c>
      <c r="N25" s="10">
        <v>1603818</v>
      </c>
      <c r="O25" s="12">
        <v>5</v>
      </c>
    </row>
    <row r="26" spans="1:15" ht="15" customHeight="1" x14ac:dyDescent="0.3">
      <c r="A26" s="9">
        <v>43615</v>
      </c>
      <c r="B26" s="12">
        <v>213</v>
      </c>
      <c r="C26" s="11">
        <v>3.7999999999999999E-2</v>
      </c>
      <c r="D26" s="12">
        <v>319</v>
      </c>
      <c r="E26" s="11">
        <v>1.7999999999999999E-2</v>
      </c>
      <c r="F26" s="10">
        <v>36443</v>
      </c>
      <c r="G26" s="11">
        <v>1.2999999999999999E-2</v>
      </c>
      <c r="H26" s="11">
        <v>0.08</v>
      </c>
      <c r="I26" s="10">
        <v>22612970</v>
      </c>
      <c r="J26" s="12" t="s">
        <v>7352</v>
      </c>
      <c r="K26" s="10">
        <v>2919</v>
      </c>
      <c r="L26" s="12" t="s">
        <v>7353</v>
      </c>
      <c r="M26" s="10">
        <v>13643711404</v>
      </c>
      <c r="N26" s="10">
        <v>1606737</v>
      </c>
      <c r="O26" s="12">
        <v>7</v>
      </c>
    </row>
    <row r="27" spans="1:15" ht="15" customHeight="1" x14ac:dyDescent="0.3">
      <c r="A27" s="9">
        <v>43616</v>
      </c>
      <c r="B27" s="12">
        <v>213</v>
      </c>
      <c r="C27" s="11">
        <v>3.7999999999999999E-2</v>
      </c>
      <c r="D27" s="12">
        <v>315</v>
      </c>
      <c r="E27" s="11">
        <v>1.7000000000000001E-2</v>
      </c>
      <c r="F27" s="10">
        <v>35364</v>
      </c>
      <c r="G27" s="11">
        <v>1.2999999999999999E-2</v>
      </c>
      <c r="H27" s="11">
        <v>0.109</v>
      </c>
      <c r="I27" s="10">
        <v>31945010</v>
      </c>
      <c r="J27" s="12" t="s">
        <v>7354</v>
      </c>
      <c r="K27" s="10">
        <v>3845</v>
      </c>
      <c r="L27" s="12" t="s">
        <v>7355</v>
      </c>
      <c r="M27" s="10">
        <v>13675656414</v>
      </c>
      <c r="N27" s="10">
        <v>1610582</v>
      </c>
      <c r="O27" s="12">
        <v>7</v>
      </c>
    </row>
    <row r="28" spans="1:15" ht="15" customHeight="1" x14ac:dyDescent="0.3">
      <c r="A28" s="9">
        <v>43617</v>
      </c>
      <c r="B28" s="12">
        <v>164</v>
      </c>
      <c r="C28" s="11">
        <v>2.8000000000000001E-2</v>
      </c>
      <c r="D28" s="12">
        <v>215</v>
      </c>
      <c r="E28" s="11">
        <v>1.0999999999999999E-2</v>
      </c>
      <c r="F28" s="10">
        <v>23807</v>
      </c>
      <c r="G28" s="11">
        <v>8.0000000000000002E-3</v>
      </c>
      <c r="H28" s="11">
        <v>0.17899999999999999</v>
      </c>
      <c r="I28" s="10">
        <v>36020220</v>
      </c>
      <c r="J28" s="12" t="s">
        <v>7356</v>
      </c>
      <c r="K28" s="10">
        <v>4258</v>
      </c>
      <c r="L28" s="12" t="s">
        <v>7357</v>
      </c>
      <c r="M28" s="10">
        <v>13711676634</v>
      </c>
      <c r="N28" s="10">
        <v>1614840</v>
      </c>
      <c r="O28" s="12">
        <v>8</v>
      </c>
    </row>
    <row r="29" spans="1:15" ht="15" customHeight="1" x14ac:dyDescent="0.3">
      <c r="A29" s="9">
        <v>43618</v>
      </c>
      <c r="B29" s="12">
        <v>158</v>
      </c>
      <c r="C29" s="11">
        <v>2.7E-2</v>
      </c>
      <c r="D29" s="12">
        <v>206</v>
      </c>
      <c r="E29" s="11">
        <v>1.0999999999999999E-2</v>
      </c>
      <c r="F29" s="10">
        <v>22145</v>
      </c>
      <c r="G29" s="11">
        <v>8.0000000000000002E-3</v>
      </c>
      <c r="H29" s="11">
        <v>0.17</v>
      </c>
      <c r="I29" s="10">
        <v>31357150</v>
      </c>
      <c r="J29" s="12" t="s">
        <v>7358</v>
      </c>
      <c r="K29" s="10">
        <v>3761</v>
      </c>
      <c r="L29" s="12" t="s">
        <v>7359</v>
      </c>
      <c r="M29" s="10">
        <v>13743033784</v>
      </c>
      <c r="N29" s="10">
        <v>1618601</v>
      </c>
      <c r="O29" s="12">
        <v>8</v>
      </c>
    </row>
    <row r="30" spans="1:15" ht="15" customHeight="1" x14ac:dyDescent="0.3">
      <c r="A30" s="9">
        <v>43619</v>
      </c>
      <c r="B30" s="12">
        <v>169</v>
      </c>
      <c r="C30" s="11">
        <v>3.2000000000000001E-2</v>
      </c>
      <c r="D30" s="12">
        <v>228</v>
      </c>
      <c r="E30" s="11">
        <v>1.2999999999999999E-2</v>
      </c>
      <c r="F30" s="10">
        <v>25221</v>
      </c>
      <c r="G30" s="11">
        <v>8.9999999999999993E-3</v>
      </c>
      <c r="H30" s="11">
        <v>7.0000000000000007E-2</v>
      </c>
      <c r="I30" s="10">
        <v>13639070</v>
      </c>
      <c r="J30" s="12" t="s">
        <v>7360</v>
      </c>
      <c r="K30" s="10">
        <v>1754</v>
      </c>
      <c r="L30" s="12" t="s">
        <v>7361</v>
      </c>
      <c r="M30" s="10">
        <v>13756672854</v>
      </c>
      <c r="N30" s="10">
        <v>1620355</v>
      </c>
      <c r="O30" s="12">
        <v>7</v>
      </c>
    </row>
    <row r="31" spans="1:15" ht="15" customHeight="1" x14ac:dyDescent="0.3">
      <c r="A31" s="9">
        <v>43620</v>
      </c>
      <c r="B31" s="12">
        <v>164</v>
      </c>
      <c r="C31" s="11">
        <v>3.1E-2</v>
      </c>
      <c r="D31" s="12">
        <v>221</v>
      </c>
      <c r="E31" s="11">
        <v>1.2999999999999999E-2</v>
      </c>
      <c r="F31" s="10">
        <v>24323</v>
      </c>
      <c r="G31" s="11">
        <v>8.9999999999999993E-3</v>
      </c>
      <c r="H31" s="11">
        <v>6.0999999999999999E-2</v>
      </c>
      <c r="I31" s="10">
        <v>10862760</v>
      </c>
      <c r="J31" s="12" t="s">
        <v>7362</v>
      </c>
      <c r="K31" s="10">
        <v>1487</v>
      </c>
      <c r="L31" s="12" t="s">
        <v>7363</v>
      </c>
      <c r="M31" s="10">
        <v>13767535614</v>
      </c>
      <c r="N31" s="10">
        <v>1621842</v>
      </c>
      <c r="O31" s="12">
        <v>10</v>
      </c>
    </row>
    <row r="32" spans="1:15" ht="15" customHeight="1" x14ac:dyDescent="0.3">
      <c r="A32" s="9">
        <v>43621</v>
      </c>
      <c r="B32" s="12">
        <v>40</v>
      </c>
      <c r="C32" s="11">
        <v>7.0000000000000001E-3</v>
      </c>
      <c r="D32" s="12">
        <v>48</v>
      </c>
      <c r="E32" s="11">
        <v>3.0000000000000001E-3</v>
      </c>
      <c r="F32" s="10">
        <v>5497</v>
      </c>
      <c r="G32" s="11">
        <v>2E-3</v>
      </c>
      <c r="H32" s="11">
        <v>7.3999999999999996E-2</v>
      </c>
      <c r="I32" s="10">
        <v>2947000</v>
      </c>
      <c r="J32" s="12" t="s">
        <v>7364</v>
      </c>
      <c r="K32" s="12">
        <v>407</v>
      </c>
      <c r="L32" s="12" t="s">
        <v>7365</v>
      </c>
      <c r="M32" s="10">
        <v>13770482614</v>
      </c>
      <c r="N32" s="10">
        <v>1622249</v>
      </c>
      <c r="O32" s="12">
        <v>16</v>
      </c>
    </row>
    <row r="33" spans="1:15" ht="15" customHeight="1" x14ac:dyDescent="0.3">
      <c r="A33" s="9">
        <v>43622</v>
      </c>
      <c r="B33" s="12">
        <v>4</v>
      </c>
      <c r="C33" s="11">
        <v>1E-3</v>
      </c>
      <c r="D33" s="12">
        <v>4</v>
      </c>
      <c r="E33" s="11">
        <v>0</v>
      </c>
      <c r="F33" s="12">
        <v>362</v>
      </c>
      <c r="G33" s="11">
        <v>0</v>
      </c>
      <c r="H33" s="11">
        <v>0.33100000000000002</v>
      </c>
      <c r="I33" s="10">
        <v>871940</v>
      </c>
      <c r="J33" s="12" t="s">
        <v>7366</v>
      </c>
      <c r="K33" s="12">
        <v>120</v>
      </c>
      <c r="L33" s="12" t="s">
        <v>7367</v>
      </c>
      <c r="M33" s="10">
        <v>13771354554</v>
      </c>
      <c r="N33" s="10">
        <v>1622369</v>
      </c>
      <c r="O33" s="12">
        <v>41</v>
      </c>
    </row>
    <row r="34" spans="1:15" ht="15" customHeight="1" x14ac:dyDescent="0.3">
      <c r="A34" s="9">
        <v>43623</v>
      </c>
      <c r="B34" s="12">
        <v>9</v>
      </c>
      <c r="C34" s="11">
        <v>2E-3</v>
      </c>
      <c r="D34" s="12">
        <v>12</v>
      </c>
      <c r="E34" s="11">
        <v>1E-3</v>
      </c>
      <c r="F34" s="10">
        <v>1294</v>
      </c>
      <c r="G34" s="11">
        <v>0</v>
      </c>
      <c r="H34" s="11">
        <v>0.152</v>
      </c>
      <c r="I34" s="10">
        <v>1414980</v>
      </c>
      <c r="J34" s="12" t="s">
        <v>7368</v>
      </c>
      <c r="K34" s="12">
        <v>197</v>
      </c>
      <c r="L34" s="12" t="s">
        <v>7369</v>
      </c>
      <c r="M34" s="10">
        <v>13772769534</v>
      </c>
      <c r="N34" s="10">
        <v>1622566</v>
      </c>
      <c r="O34" s="12">
        <v>25</v>
      </c>
    </row>
    <row r="35" spans="1:15" ht="15" customHeight="1" x14ac:dyDescent="0.3">
      <c r="A35" s="9">
        <v>43624</v>
      </c>
      <c r="B35" s="12">
        <v>12</v>
      </c>
      <c r="C35" s="11">
        <v>2E-3</v>
      </c>
      <c r="D35" s="12">
        <v>12</v>
      </c>
      <c r="E35" s="11">
        <v>1E-3</v>
      </c>
      <c r="F35" s="10">
        <v>1444</v>
      </c>
      <c r="G35" s="11">
        <v>0</v>
      </c>
      <c r="H35" s="11">
        <v>0.17299999999999999</v>
      </c>
      <c r="I35" s="10">
        <v>1579660</v>
      </c>
      <c r="J35" s="12" t="s">
        <v>7370</v>
      </c>
      <c r="K35" s="12">
        <v>250</v>
      </c>
      <c r="L35" s="12" t="s">
        <v>7371</v>
      </c>
      <c r="M35" s="10">
        <v>13774349194</v>
      </c>
      <c r="N35" s="10">
        <v>1622816</v>
      </c>
      <c r="O35" s="12">
        <v>22</v>
      </c>
    </row>
    <row r="36" spans="1:15" ht="15" customHeight="1" x14ac:dyDescent="0.3">
      <c r="A36" s="9">
        <v>43625</v>
      </c>
      <c r="B36" s="12">
        <v>14</v>
      </c>
      <c r="C36" s="11">
        <v>2E-3</v>
      </c>
      <c r="D36" s="12">
        <v>14</v>
      </c>
      <c r="E36" s="11">
        <v>1E-3</v>
      </c>
      <c r="F36" s="10">
        <v>1706</v>
      </c>
      <c r="G36" s="11">
        <v>1E-3</v>
      </c>
      <c r="H36" s="11">
        <v>0.152</v>
      </c>
      <c r="I36" s="10">
        <v>1661960</v>
      </c>
      <c r="J36" s="12" t="s">
        <v>7372</v>
      </c>
      <c r="K36" s="12">
        <v>259</v>
      </c>
      <c r="L36" s="12" t="s">
        <v>7373</v>
      </c>
      <c r="M36" s="10">
        <v>13776011154</v>
      </c>
      <c r="N36" s="10">
        <v>1623075</v>
      </c>
      <c r="O36" s="12">
        <v>21</v>
      </c>
    </row>
    <row r="37" spans="1:15" ht="15" customHeight="1" x14ac:dyDescent="0.3">
      <c r="A37" s="9">
        <v>43626</v>
      </c>
      <c r="B37" s="12">
        <v>10</v>
      </c>
      <c r="C37" s="11">
        <v>2E-3</v>
      </c>
      <c r="D37" s="12">
        <v>10</v>
      </c>
      <c r="E37" s="11">
        <v>1E-3</v>
      </c>
      <c r="F37" s="10">
        <v>1309</v>
      </c>
      <c r="G37" s="11">
        <v>0</v>
      </c>
      <c r="H37" s="11">
        <v>0.14099999999999999</v>
      </c>
      <c r="I37" s="10">
        <v>1013000</v>
      </c>
      <c r="J37" s="12" t="s">
        <v>7374</v>
      </c>
      <c r="K37" s="12">
        <v>184</v>
      </c>
      <c r="L37" s="12" t="s">
        <v>7375</v>
      </c>
      <c r="M37" s="10">
        <v>13777024154</v>
      </c>
      <c r="N37" s="10">
        <v>1623259</v>
      </c>
      <c r="O37" s="12">
        <v>33</v>
      </c>
    </row>
    <row r="38" spans="1:15" ht="15" customHeight="1" x14ac:dyDescent="0.3">
      <c r="A38" s="9">
        <v>43627</v>
      </c>
      <c r="B38" s="12">
        <v>10</v>
      </c>
      <c r="C38" s="11">
        <v>2E-3</v>
      </c>
      <c r="D38" s="12">
        <v>10</v>
      </c>
      <c r="E38" s="11">
        <v>1E-3</v>
      </c>
      <c r="F38" s="10">
        <v>1228</v>
      </c>
      <c r="G38" s="11">
        <v>0</v>
      </c>
      <c r="H38" s="11">
        <v>0.154</v>
      </c>
      <c r="I38" s="10">
        <v>1062500</v>
      </c>
      <c r="J38" s="12" t="s">
        <v>7376</v>
      </c>
      <c r="K38" s="12">
        <v>189</v>
      </c>
      <c r="L38" s="12" t="s">
        <v>7377</v>
      </c>
      <c r="M38" s="10">
        <v>13778086654</v>
      </c>
      <c r="N38" s="10">
        <v>1623448</v>
      </c>
      <c r="O38" s="12">
        <v>38</v>
      </c>
    </row>
    <row r="39" spans="1:15" ht="15" customHeight="1" x14ac:dyDescent="0.3">
      <c r="A39" s="9">
        <v>43628</v>
      </c>
      <c r="B39" s="12">
        <v>8</v>
      </c>
      <c r="C39" s="11">
        <v>2E-3</v>
      </c>
      <c r="D39" s="12">
        <v>8</v>
      </c>
      <c r="E39" s="11">
        <v>0</v>
      </c>
      <c r="F39" s="10">
        <v>1070</v>
      </c>
      <c r="G39" s="11">
        <v>0</v>
      </c>
      <c r="H39" s="11">
        <v>0.155</v>
      </c>
      <c r="I39" s="10">
        <v>876000</v>
      </c>
      <c r="J39" s="12" t="s">
        <v>7378</v>
      </c>
      <c r="K39" s="12">
        <v>166</v>
      </c>
      <c r="L39" s="12" t="s">
        <v>7379</v>
      </c>
      <c r="M39" s="10">
        <v>13778962654</v>
      </c>
      <c r="N39" s="10">
        <v>1623614</v>
      </c>
      <c r="O39" s="12">
        <v>33</v>
      </c>
    </row>
    <row r="40" spans="1:15" ht="15" customHeight="1" x14ac:dyDescent="0.3">
      <c r="A40" s="9">
        <v>43629</v>
      </c>
      <c r="B40" s="12">
        <v>7</v>
      </c>
      <c r="C40" s="11">
        <v>1E-3</v>
      </c>
      <c r="D40" s="12">
        <v>7</v>
      </c>
      <c r="E40" s="11">
        <v>0</v>
      </c>
      <c r="F40" s="12">
        <v>959</v>
      </c>
      <c r="G40" s="11">
        <v>0</v>
      </c>
      <c r="H40" s="11">
        <v>0.20399999999999999</v>
      </c>
      <c r="I40" s="10">
        <v>1095000</v>
      </c>
      <c r="J40" s="12" t="s">
        <v>7380</v>
      </c>
      <c r="K40" s="12">
        <v>196</v>
      </c>
      <c r="L40" s="12" t="s">
        <v>7381</v>
      </c>
      <c r="M40" s="10">
        <v>13780057654</v>
      </c>
      <c r="N40" s="10">
        <v>1623810</v>
      </c>
      <c r="O40" s="12">
        <v>40</v>
      </c>
    </row>
    <row r="41" spans="1:15" ht="15" customHeight="1" x14ac:dyDescent="0.3">
      <c r="A41" s="9">
        <v>43630</v>
      </c>
      <c r="B41" s="12">
        <v>7</v>
      </c>
      <c r="C41" s="11">
        <v>1E-3</v>
      </c>
      <c r="D41" s="12">
        <v>7</v>
      </c>
      <c r="E41" s="11">
        <v>0</v>
      </c>
      <c r="F41" s="12">
        <v>802</v>
      </c>
      <c r="G41" s="11">
        <v>0</v>
      </c>
      <c r="H41" s="11">
        <v>0.20100000000000001</v>
      </c>
      <c r="I41" s="10">
        <v>856000</v>
      </c>
      <c r="J41" s="12" t="s">
        <v>7382</v>
      </c>
      <c r="K41" s="12">
        <v>161</v>
      </c>
      <c r="L41" s="12" t="s">
        <v>7383</v>
      </c>
      <c r="M41" s="10">
        <v>13780913654</v>
      </c>
      <c r="N41" s="10">
        <v>1623971</v>
      </c>
      <c r="O41" s="12">
        <v>40</v>
      </c>
    </row>
    <row r="42" spans="1:15" ht="15" customHeight="1" x14ac:dyDescent="0.3">
      <c r="A42" s="9">
        <v>43631</v>
      </c>
      <c r="B42" s="12">
        <v>7</v>
      </c>
      <c r="C42" s="11">
        <v>1E-3</v>
      </c>
      <c r="D42" s="12">
        <v>7</v>
      </c>
      <c r="E42" s="11">
        <v>0</v>
      </c>
      <c r="F42" s="12">
        <v>844</v>
      </c>
      <c r="G42" s="11">
        <v>0</v>
      </c>
      <c r="H42" s="11">
        <v>0.19</v>
      </c>
      <c r="I42" s="10">
        <v>827000</v>
      </c>
      <c r="J42" s="12" t="s">
        <v>7384</v>
      </c>
      <c r="K42" s="12">
        <v>160</v>
      </c>
      <c r="L42" s="12" t="s">
        <v>6434</v>
      </c>
      <c r="M42" s="10">
        <v>13781740654</v>
      </c>
      <c r="N42" s="10">
        <v>1624131</v>
      </c>
      <c r="O42" s="12">
        <v>36</v>
      </c>
    </row>
    <row r="43" spans="1:15" ht="15" customHeight="1" x14ac:dyDescent="0.3">
      <c r="A43" s="9">
        <v>43632</v>
      </c>
      <c r="B43" s="12">
        <v>6</v>
      </c>
      <c r="C43" s="11">
        <v>1E-3</v>
      </c>
      <c r="D43" s="12">
        <v>6</v>
      </c>
      <c r="E43" s="11">
        <v>0</v>
      </c>
      <c r="F43" s="12">
        <v>887</v>
      </c>
      <c r="G43" s="11">
        <v>0</v>
      </c>
      <c r="H43" s="11">
        <v>0.17799999999999999</v>
      </c>
      <c r="I43" s="10">
        <v>804000</v>
      </c>
      <c r="J43" s="12" t="s">
        <v>7385</v>
      </c>
      <c r="K43" s="12">
        <v>158</v>
      </c>
      <c r="L43" s="12" t="s">
        <v>7305</v>
      </c>
      <c r="M43" s="10">
        <v>13782544654</v>
      </c>
      <c r="N43" s="10">
        <v>1624289</v>
      </c>
      <c r="O43" s="12">
        <v>37</v>
      </c>
    </row>
    <row r="44" spans="1:15" ht="15" customHeight="1" x14ac:dyDescent="0.3">
      <c r="A44" s="9">
        <v>43633</v>
      </c>
      <c r="B44" s="12">
        <v>9</v>
      </c>
      <c r="C44" s="11">
        <v>2E-3</v>
      </c>
      <c r="D44" s="12">
        <v>10</v>
      </c>
      <c r="E44" s="11">
        <v>1E-3</v>
      </c>
      <c r="F44" s="10">
        <v>1560</v>
      </c>
      <c r="G44" s="11">
        <v>1E-3</v>
      </c>
      <c r="H44" s="11">
        <v>0.14599999999999999</v>
      </c>
      <c r="I44" s="10">
        <v>1109000</v>
      </c>
      <c r="J44" s="12" t="s">
        <v>7386</v>
      </c>
      <c r="K44" s="12">
        <v>227</v>
      </c>
      <c r="L44" s="12" t="s">
        <v>7387</v>
      </c>
      <c r="M44" s="10">
        <v>13783653654</v>
      </c>
      <c r="N44" s="10">
        <v>1624516</v>
      </c>
      <c r="O44" s="12">
        <v>24</v>
      </c>
    </row>
    <row r="45" spans="1:15" ht="15" customHeight="1" x14ac:dyDescent="0.3">
      <c r="A45" s="9">
        <v>43634</v>
      </c>
      <c r="B45" s="12">
        <v>31</v>
      </c>
      <c r="C45" s="11">
        <v>6.0000000000000001E-3</v>
      </c>
      <c r="D45" s="12">
        <v>31</v>
      </c>
      <c r="E45" s="11">
        <v>2E-3</v>
      </c>
      <c r="F45" s="10">
        <v>3842</v>
      </c>
      <c r="G45" s="11">
        <v>1E-3</v>
      </c>
      <c r="H45" s="11">
        <v>0.26500000000000001</v>
      </c>
      <c r="I45" s="10">
        <v>5250000</v>
      </c>
      <c r="J45" s="12" t="s">
        <v>7388</v>
      </c>
      <c r="K45" s="10">
        <v>1017</v>
      </c>
      <c r="L45" s="12" t="s">
        <v>7389</v>
      </c>
      <c r="M45" s="10">
        <v>13788903654</v>
      </c>
      <c r="N45" s="10">
        <v>1625533</v>
      </c>
      <c r="O45" s="12">
        <v>12</v>
      </c>
    </row>
    <row r="46" spans="1:15" ht="15" customHeight="1" x14ac:dyDescent="0.3">
      <c r="A46" s="9">
        <v>43635</v>
      </c>
      <c r="B46" s="12">
        <v>15</v>
      </c>
      <c r="C46" s="11">
        <v>3.0000000000000001E-3</v>
      </c>
      <c r="D46" s="12">
        <v>15</v>
      </c>
      <c r="E46" s="11">
        <v>1E-3</v>
      </c>
      <c r="F46" s="10">
        <v>1795</v>
      </c>
      <c r="G46" s="11">
        <v>1E-3</v>
      </c>
      <c r="H46" s="11">
        <v>0.26600000000000001</v>
      </c>
      <c r="I46" s="10">
        <v>2603480</v>
      </c>
      <c r="J46" s="12" t="s">
        <v>7390</v>
      </c>
      <c r="K46" s="12">
        <v>478</v>
      </c>
      <c r="L46" s="12" t="s">
        <v>7391</v>
      </c>
      <c r="M46" s="10">
        <v>13791507134</v>
      </c>
      <c r="N46" s="10">
        <v>1626011</v>
      </c>
      <c r="O46" s="12">
        <v>17</v>
      </c>
    </row>
    <row r="47" spans="1:15" ht="15" customHeight="1" x14ac:dyDescent="0.3">
      <c r="A47" s="9">
        <v>43636</v>
      </c>
      <c r="B47" s="12">
        <v>28</v>
      </c>
      <c r="C47" s="11">
        <v>5.0000000000000001E-3</v>
      </c>
      <c r="D47" s="12">
        <v>28</v>
      </c>
      <c r="E47" s="11">
        <v>1E-3</v>
      </c>
      <c r="F47" s="10">
        <v>3631</v>
      </c>
      <c r="G47" s="11">
        <v>1E-3</v>
      </c>
      <c r="H47" s="11">
        <v>0.26500000000000001</v>
      </c>
      <c r="I47" s="10">
        <v>5027000</v>
      </c>
      <c r="J47" s="12" t="s">
        <v>7392</v>
      </c>
      <c r="K47" s="12">
        <v>964</v>
      </c>
      <c r="L47" s="12" t="s">
        <v>7393</v>
      </c>
      <c r="M47" s="10">
        <v>13796534134</v>
      </c>
      <c r="N47" s="10">
        <v>1626975</v>
      </c>
      <c r="O47" s="12">
        <v>15</v>
      </c>
    </row>
    <row r="48" spans="1:15" ht="15" customHeight="1" x14ac:dyDescent="0.3">
      <c r="A48" s="9">
        <v>43637</v>
      </c>
      <c r="B48" s="12">
        <v>6</v>
      </c>
      <c r="C48" s="11">
        <v>1E-3</v>
      </c>
      <c r="D48" s="12">
        <v>6</v>
      </c>
      <c r="E48" s="11">
        <v>0</v>
      </c>
      <c r="F48" s="10">
        <v>1016</v>
      </c>
      <c r="G48" s="11">
        <v>0</v>
      </c>
      <c r="H48" s="11">
        <v>0.14899999999999999</v>
      </c>
      <c r="I48" s="10">
        <v>762000</v>
      </c>
      <c r="J48" s="12" t="s">
        <v>7394</v>
      </c>
      <c r="K48" s="12">
        <v>151</v>
      </c>
      <c r="L48" s="12" t="s">
        <v>7395</v>
      </c>
      <c r="M48" s="10">
        <v>13797296134</v>
      </c>
      <c r="N48" s="10">
        <v>1627126</v>
      </c>
      <c r="O48" s="12">
        <v>33</v>
      </c>
    </row>
    <row r="49" spans="1:15" ht="15" customHeight="1" x14ac:dyDescent="0.3">
      <c r="A49" s="9">
        <v>43638</v>
      </c>
      <c r="B49" s="12">
        <v>9</v>
      </c>
      <c r="C49" s="11">
        <v>1E-3</v>
      </c>
      <c r="D49" s="12">
        <v>9</v>
      </c>
      <c r="E49" s="11">
        <v>0</v>
      </c>
      <c r="F49" s="10">
        <v>1281</v>
      </c>
      <c r="G49" s="11">
        <v>0</v>
      </c>
      <c r="H49" s="11">
        <v>0.19400000000000001</v>
      </c>
      <c r="I49" s="10">
        <v>1316000</v>
      </c>
      <c r="J49" s="12" t="s">
        <v>7396</v>
      </c>
      <c r="K49" s="12">
        <v>248</v>
      </c>
      <c r="L49" s="12" t="s">
        <v>7397</v>
      </c>
      <c r="M49" s="10">
        <v>13798612134</v>
      </c>
      <c r="N49" s="10">
        <v>1627374</v>
      </c>
      <c r="O49" s="12">
        <v>26</v>
      </c>
    </row>
    <row r="50" spans="1:15" ht="15" customHeight="1" x14ac:dyDescent="0.3">
      <c r="A50" s="9">
        <v>43639</v>
      </c>
      <c r="B50" s="12">
        <v>5</v>
      </c>
      <c r="C50" s="11">
        <v>1E-3</v>
      </c>
      <c r="D50" s="12">
        <v>5</v>
      </c>
      <c r="E50" s="11">
        <v>0</v>
      </c>
      <c r="F50" s="12">
        <v>681</v>
      </c>
      <c r="G50" s="11">
        <v>0</v>
      </c>
      <c r="H50" s="11">
        <v>0.22</v>
      </c>
      <c r="I50" s="10">
        <v>750000</v>
      </c>
      <c r="J50" s="12" t="s">
        <v>7398</v>
      </c>
      <c r="K50" s="12">
        <v>150</v>
      </c>
      <c r="L50" s="12" t="s">
        <v>7399</v>
      </c>
      <c r="M50" s="10">
        <v>13799362134</v>
      </c>
      <c r="N50" s="10">
        <v>1627524</v>
      </c>
      <c r="O50" s="12">
        <v>28</v>
      </c>
    </row>
    <row r="51" spans="1:15" ht="15" customHeight="1" x14ac:dyDescent="0.3">
      <c r="A51" s="9">
        <v>43640</v>
      </c>
      <c r="B51" s="12">
        <v>9</v>
      </c>
      <c r="C51" s="11">
        <v>2E-3</v>
      </c>
      <c r="D51" s="12">
        <v>9</v>
      </c>
      <c r="E51" s="11">
        <v>0</v>
      </c>
      <c r="F51" s="10">
        <v>1120</v>
      </c>
      <c r="G51" s="11">
        <v>0</v>
      </c>
      <c r="H51" s="11">
        <v>0.25600000000000001</v>
      </c>
      <c r="I51" s="10">
        <v>1415000</v>
      </c>
      <c r="J51" s="12" t="s">
        <v>7400</v>
      </c>
      <c r="K51" s="12">
        <v>287</v>
      </c>
      <c r="L51" s="12" t="s">
        <v>7401</v>
      </c>
      <c r="M51" s="10">
        <v>13800777134</v>
      </c>
      <c r="N51" s="10">
        <v>1627811</v>
      </c>
      <c r="O51" s="12">
        <v>23</v>
      </c>
    </row>
    <row r="52" spans="1:15" ht="15" customHeight="1" x14ac:dyDescent="0.3">
      <c r="A52" s="9">
        <v>43641</v>
      </c>
      <c r="B52" s="12">
        <v>6</v>
      </c>
      <c r="C52" s="11">
        <v>1E-3</v>
      </c>
      <c r="D52" s="12">
        <v>6</v>
      </c>
      <c r="E52" s="11">
        <v>0</v>
      </c>
      <c r="F52" s="12">
        <v>799</v>
      </c>
      <c r="G52" s="11">
        <v>0</v>
      </c>
      <c r="H52" s="11">
        <v>0.20300000000000001</v>
      </c>
      <c r="I52" s="10">
        <v>810000</v>
      </c>
      <c r="J52" s="12" t="s">
        <v>7402</v>
      </c>
      <c r="K52" s="12">
        <v>162</v>
      </c>
      <c r="L52" s="12" t="s">
        <v>7403</v>
      </c>
      <c r="M52" s="10">
        <v>13801587134</v>
      </c>
      <c r="N52" s="10">
        <v>1627973</v>
      </c>
      <c r="O52" s="12">
        <v>37</v>
      </c>
    </row>
    <row r="53" spans="1:15" ht="15" customHeight="1" x14ac:dyDescent="0.3">
      <c r="A53" s="9">
        <v>43642</v>
      </c>
      <c r="B53" s="12">
        <v>1</v>
      </c>
      <c r="C53" s="11">
        <v>0</v>
      </c>
      <c r="D53" s="12">
        <v>1</v>
      </c>
      <c r="E53" s="11">
        <v>0</v>
      </c>
      <c r="F53" s="12">
        <v>42</v>
      </c>
      <c r="G53" s="11">
        <v>0</v>
      </c>
      <c r="H53" s="11">
        <v>0.52400000000000002</v>
      </c>
      <c r="I53" s="10">
        <v>110000</v>
      </c>
      <c r="J53" s="12" t="s">
        <v>7404</v>
      </c>
      <c r="K53" s="12">
        <v>22</v>
      </c>
      <c r="L53" s="12" t="s">
        <v>7405</v>
      </c>
      <c r="M53" s="10">
        <v>13801697134</v>
      </c>
      <c r="N53" s="10">
        <v>1627995</v>
      </c>
      <c r="O53" s="12">
        <v>72</v>
      </c>
    </row>
    <row r="54" spans="1:15" ht="15" customHeight="1" x14ac:dyDescent="0.3">
      <c r="A54" s="9">
        <v>43643</v>
      </c>
      <c r="B54" s="12">
        <v>6</v>
      </c>
      <c r="C54" s="11">
        <v>1E-3</v>
      </c>
      <c r="D54" s="12">
        <v>7</v>
      </c>
      <c r="E54" s="11">
        <v>0</v>
      </c>
      <c r="F54" s="10">
        <v>1286</v>
      </c>
      <c r="G54" s="11">
        <v>0</v>
      </c>
      <c r="H54" s="11">
        <v>0.19700000000000001</v>
      </c>
      <c r="I54" s="10">
        <v>1720000</v>
      </c>
      <c r="J54" s="12" t="s">
        <v>7406</v>
      </c>
      <c r="K54" s="12">
        <v>253</v>
      </c>
      <c r="L54" s="12" t="s">
        <v>7407</v>
      </c>
      <c r="M54" s="10">
        <v>13803417134</v>
      </c>
      <c r="N54" s="10">
        <v>1628248</v>
      </c>
      <c r="O54" s="12">
        <v>31</v>
      </c>
    </row>
    <row r="55" spans="1:15" ht="15" customHeight="1" x14ac:dyDescent="0.3">
      <c r="A55" s="9">
        <v>43644</v>
      </c>
      <c r="B55" s="12">
        <v>1</v>
      </c>
      <c r="C55" s="11">
        <v>0</v>
      </c>
      <c r="D55" s="12">
        <v>1</v>
      </c>
      <c r="E55" s="11">
        <v>0</v>
      </c>
      <c r="F55" s="12">
        <v>52</v>
      </c>
      <c r="G55" s="11">
        <v>0</v>
      </c>
      <c r="H55" s="11">
        <v>0.80800000000000005</v>
      </c>
      <c r="I55" s="10">
        <v>210000</v>
      </c>
      <c r="J55" s="12" t="s">
        <v>7408</v>
      </c>
      <c r="K55" s="12">
        <v>42</v>
      </c>
      <c r="L55" s="12" t="s">
        <v>7409</v>
      </c>
      <c r="M55" s="10">
        <v>13803627134</v>
      </c>
      <c r="N55" s="10">
        <v>1628290</v>
      </c>
      <c r="O55" s="12">
        <v>67</v>
      </c>
    </row>
    <row r="56" spans="1:15" ht="15" customHeight="1" x14ac:dyDescent="0.3">
      <c r="A56" s="9">
        <v>43647</v>
      </c>
      <c r="B56" s="12">
        <v>3</v>
      </c>
      <c r="C56" s="11">
        <v>0</v>
      </c>
      <c r="D56" s="12">
        <v>3</v>
      </c>
      <c r="E56" s="11">
        <v>0</v>
      </c>
      <c r="F56" s="12">
        <v>224</v>
      </c>
      <c r="G56" s="11">
        <v>0</v>
      </c>
      <c r="H56" s="11">
        <v>0.57599999999999996</v>
      </c>
      <c r="I56" s="10">
        <v>650000</v>
      </c>
      <c r="J56" s="12" t="s">
        <v>7410</v>
      </c>
      <c r="K56" s="12">
        <v>129</v>
      </c>
      <c r="L56" s="12" t="s">
        <v>7411</v>
      </c>
      <c r="M56" s="10">
        <v>13804277134</v>
      </c>
      <c r="N56" s="10">
        <v>1628419</v>
      </c>
      <c r="O56" s="12">
        <v>42</v>
      </c>
    </row>
    <row r="57" spans="1:15" ht="15" customHeight="1" x14ac:dyDescent="0.3">
      <c r="A57" s="9">
        <v>43648</v>
      </c>
      <c r="B57" s="12">
        <v>1</v>
      </c>
      <c r="C57" s="11">
        <v>0</v>
      </c>
      <c r="D57" s="12">
        <v>1</v>
      </c>
      <c r="E57" s="11">
        <v>0</v>
      </c>
      <c r="F57" s="12">
        <v>83</v>
      </c>
      <c r="G57" s="11">
        <v>0</v>
      </c>
      <c r="H57" s="11">
        <v>1</v>
      </c>
      <c r="I57" s="10">
        <v>747000</v>
      </c>
      <c r="J57" s="12" t="s">
        <v>7412</v>
      </c>
      <c r="K57" s="12">
        <v>83</v>
      </c>
      <c r="L57" s="12" t="s">
        <v>7413</v>
      </c>
      <c r="M57" s="10">
        <v>13805024134</v>
      </c>
      <c r="N57" s="10">
        <v>1628502</v>
      </c>
      <c r="O57" s="12">
        <v>47</v>
      </c>
    </row>
    <row r="58" spans="1:15" ht="15" customHeight="1" x14ac:dyDescent="0.3">
      <c r="A58" s="9">
        <v>43654</v>
      </c>
      <c r="B58" s="12">
        <v>1</v>
      </c>
      <c r="C58" s="11">
        <v>0</v>
      </c>
      <c r="D58" s="12">
        <v>3</v>
      </c>
      <c r="E58" s="11">
        <v>0</v>
      </c>
      <c r="F58" s="12">
        <v>126</v>
      </c>
      <c r="G58" s="11">
        <v>0</v>
      </c>
      <c r="H58" s="11">
        <v>1</v>
      </c>
      <c r="I58" s="10">
        <v>630000</v>
      </c>
      <c r="J58" s="12" t="s">
        <v>7414</v>
      </c>
      <c r="K58" s="12">
        <v>126</v>
      </c>
      <c r="L58" s="12" t="s">
        <v>7415</v>
      </c>
      <c r="M58" s="10">
        <v>13805654134</v>
      </c>
      <c r="N58" s="10">
        <v>1628628</v>
      </c>
      <c r="O58" s="12">
        <v>32</v>
      </c>
    </row>
    <row r="59" spans="1:15" ht="15" customHeight="1" x14ac:dyDescent="0.3">
      <c r="A59" s="9">
        <v>43655</v>
      </c>
      <c r="B59" s="12">
        <v>2</v>
      </c>
      <c r="C59" s="11">
        <v>0</v>
      </c>
      <c r="D59" s="12">
        <v>2</v>
      </c>
      <c r="E59" s="11">
        <v>0</v>
      </c>
      <c r="F59" s="12">
        <v>383</v>
      </c>
      <c r="G59" s="11">
        <v>0</v>
      </c>
      <c r="H59" s="11">
        <v>0.40699999999999997</v>
      </c>
      <c r="I59" s="10">
        <v>780000</v>
      </c>
      <c r="J59" s="12" t="s">
        <v>7416</v>
      </c>
      <c r="K59" s="12">
        <v>156</v>
      </c>
      <c r="L59" s="12" t="s">
        <v>7417</v>
      </c>
      <c r="M59" s="10">
        <v>13806434134</v>
      </c>
      <c r="N59" s="10">
        <v>1628784</v>
      </c>
      <c r="O59" s="12">
        <v>31</v>
      </c>
    </row>
    <row r="60" spans="1:15" ht="15" customHeight="1" x14ac:dyDescent="0.3">
      <c r="A60" s="9">
        <v>43662</v>
      </c>
      <c r="B60" s="12">
        <v>1</v>
      </c>
      <c r="C60" s="11">
        <v>0</v>
      </c>
      <c r="D60" s="12">
        <v>1</v>
      </c>
      <c r="E60" s="11">
        <v>0</v>
      </c>
      <c r="F60" s="12">
        <v>104</v>
      </c>
      <c r="G60" s="11">
        <v>0</v>
      </c>
      <c r="H60" s="11">
        <v>0.01</v>
      </c>
      <c r="I60" s="10">
        <v>5000</v>
      </c>
      <c r="J60" s="12" t="s">
        <v>584</v>
      </c>
      <c r="K60" s="12">
        <v>1</v>
      </c>
      <c r="L60" s="12" t="s">
        <v>312</v>
      </c>
      <c r="M60" s="10">
        <v>13806439134</v>
      </c>
      <c r="N60" s="10">
        <v>1628785</v>
      </c>
      <c r="O60" s="12">
        <v>106</v>
      </c>
    </row>
    <row r="61" spans="1:15" ht="15" customHeight="1" x14ac:dyDescent="0.3">
      <c r="A61" s="9">
        <v>43663</v>
      </c>
      <c r="B61" s="12">
        <v>1</v>
      </c>
      <c r="C61" s="11">
        <v>0</v>
      </c>
      <c r="D61" s="12">
        <v>1</v>
      </c>
      <c r="E61" s="11">
        <v>0</v>
      </c>
      <c r="F61" s="12">
        <v>127</v>
      </c>
      <c r="G61" s="11">
        <v>0</v>
      </c>
      <c r="H61" s="11">
        <v>0.441</v>
      </c>
      <c r="I61" s="10">
        <v>427000</v>
      </c>
      <c r="J61" s="12" t="s">
        <v>7418</v>
      </c>
      <c r="K61" s="12">
        <v>56</v>
      </c>
      <c r="L61" s="12" t="s">
        <v>7419</v>
      </c>
      <c r="M61" s="10">
        <v>13806866134</v>
      </c>
      <c r="N61" s="10">
        <v>1628841</v>
      </c>
      <c r="O61" s="12">
        <v>58</v>
      </c>
    </row>
    <row r="62" spans="1:15" ht="15" customHeight="1" x14ac:dyDescent="0.3"/>
    <row r="63" spans="1:15" ht="15" customHeight="1" x14ac:dyDescent="0.3"/>
    <row r="64" spans="1:15" ht="15" customHeight="1" x14ac:dyDescent="0.3"/>
    <row r="65" ht="15" customHeight="1" x14ac:dyDescent="0.3"/>
    <row r="66" ht="15" customHeight="1" x14ac:dyDescent="0.3"/>
  </sheetData>
  <mergeCells count="3">
    <mergeCell ref="A1:O1"/>
    <mergeCell ref="A2:O2"/>
    <mergeCell ref="A3:O3"/>
  </mergeCells>
  <phoneticPr fontId="2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9D303-733C-4664-9240-FA7551758CF9}">
  <dimension ref="A1:O64"/>
  <sheetViews>
    <sheetView workbookViewId="0">
      <selection activeCell="A5" sqref="A5:O8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1.5" bestFit="1" customWidth="1"/>
    <col min="10" max="10" width="19.75" bestFit="1" customWidth="1"/>
    <col min="11" max="11" width="7.12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6540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43608</v>
      </c>
      <c r="B5" s="10">
        <v>1008</v>
      </c>
      <c r="C5" s="11">
        <v>0.17399999999999999</v>
      </c>
      <c r="D5" s="10">
        <v>4265</v>
      </c>
      <c r="E5" s="11">
        <v>0.23499999999999999</v>
      </c>
      <c r="F5" s="10">
        <v>770298</v>
      </c>
      <c r="G5" s="11">
        <v>0.27200000000000002</v>
      </c>
      <c r="H5" s="11">
        <v>9.4E-2</v>
      </c>
      <c r="I5" s="10">
        <v>616644460</v>
      </c>
      <c r="J5" s="12" t="s">
        <v>6541</v>
      </c>
      <c r="K5" s="10">
        <v>72736</v>
      </c>
      <c r="L5" s="12" t="s">
        <v>6542</v>
      </c>
      <c r="M5" s="10">
        <v>640791760</v>
      </c>
      <c r="N5" s="10">
        <v>75054</v>
      </c>
      <c r="O5" s="12">
        <v>2</v>
      </c>
    </row>
    <row r="6" spans="1:15" ht="15" customHeight="1" x14ac:dyDescent="0.3">
      <c r="A6" s="9">
        <v>43609</v>
      </c>
      <c r="B6" s="10">
        <v>1061</v>
      </c>
      <c r="C6" s="11">
        <v>0.17499999999999999</v>
      </c>
      <c r="D6" s="10">
        <v>4420</v>
      </c>
      <c r="E6" s="11">
        <v>0.23699999999999999</v>
      </c>
      <c r="F6" s="10">
        <v>799264</v>
      </c>
      <c r="G6" s="11">
        <v>0.27600000000000002</v>
      </c>
      <c r="H6" s="11">
        <v>0.13800000000000001</v>
      </c>
      <c r="I6" s="10">
        <v>1016129643</v>
      </c>
      <c r="J6" s="12" t="s">
        <v>6543</v>
      </c>
      <c r="K6" s="10">
        <v>109949</v>
      </c>
      <c r="L6" s="12" t="s">
        <v>6544</v>
      </c>
      <c r="M6" s="10">
        <v>1656921403</v>
      </c>
      <c r="N6" s="10">
        <v>185003</v>
      </c>
      <c r="O6" s="12">
        <v>2</v>
      </c>
    </row>
    <row r="7" spans="1:15" ht="15" customHeight="1" x14ac:dyDescent="0.3">
      <c r="A7" s="9">
        <v>43610</v>
      </c>
      <c r="B7" s="10">
        <v>1261</v>
      </c>
      <c r="C7" s="11">
        <v>0.193</v>
      </c>
      <c r="D7" s="10">
        <v>5311</v>
      </c>
      <c r="E7" s="11">
        <v>0.27100000000000002</v>
      </c>
      <c r="F7" s="10">
        <v>937947</v>
      </c>
      <c r="G7" s="11">
        <v>0.31</v>
      </c>
      <c r="H7" s="11">
        <v>0.35199999999999998</v>
      </c>
      <c r="I7" s="10">
        <v>2965798107</v>
      </c>
      <c r="J7" s="12" t="s">
        <v>6545</v>
      </c>
      <c r="K7" s="10">
        <v>330019</v>
      </c>
      <c r="L7" s="12" t="s">
        <v>6546</v>
      </c>
      <c r="M7" s="10">
        <v>4622719510</v>
      </c>
      <c r="N7" s="10">
        <v>515022</v>
      </c>
      <c r="O7" s="12">
        <v>1</v>
      </c>
    </row>
    <row r="8" spans="1:15" ht="15" customHeight="1" x14ac:dyDescent="0.3">
      <c r="A8" s="9">
        <v>43611</v>
      </c>
      <c r="B8" s="10">
        <v>1311</v>
      </c>
      <c r="C8" s="11">
        <v>0.19900000000000001</v>
      </c>
      <c r="D8" s="10">
        <v>5390</v>
      </c>
      <c r="E8" s="11">
        <v>0.28000000000000003</v>
      </c>
      <c r="F8" s="10">
        <v>946258</v>
      </c>
      <c r="G8" s="11">
        <v>0.318</v>
      </c>
      <c r="H8" s="11">
        <v>0.379</v>
      </c>
      <c r="I8" s="10">
        <v>3181109250</v>
      </c>
      <c r="J8" s="12" t="s">
        <v>6547</v>
      </c>
      <c r="K8" s="10">
        <v>358995</v>
      </c>
      <c r="L8" s="12" t="s">
        <v>6548</v>
      </c>
      <c r="M8" s="10">
        <v>7803828760</v>
      </c>
      <c r="N8" s="10">
        <v>874017</v>
      </c>
      <c r="O8" s="12">
        <v>1</v>
      </c>
    </row>
    <row r="9" spans="1:15" ht="15" customHeight="1" x14ac:dyDescent="0.3">
      <c r="A9" s="9">
        <v>43612</v>
      </c>
      <c r="B9" s="10">
        <v>1090</v>
      </c>
      <c r="C9" s="11">
        <v>0.191</v>
      </c>
      <c r="D9" s="10">
        <v>4663</v>
      </c>
      <c r="E9" s="11">
        <v>0.26300000000000001</v>
      </c>
      <c r="F9" s="10">
        <v>844480</v>
      </c>
      <c r="G9" s="11">
        <v>0.30399999999999999</v>
      </c>
      <c r="H9" s="11">
        <v>0.13</v>
      </c>
      <c r="I9" s="10">
        <v>931032930</v>
      </c>
      <c r="J9" s="12" t="s">
        <v>6549</v>
      </c>
      <c r="K9" s="10">
        <v>109658</v>
      </c>
      <c r="L9" s="12" t="s">
        <v>6550</v>
      </c>
      <c r="M9" s="10">
        <v>8734861690</v>
      </c>
      <c r="N9" s="10">
        <v>983675</v>
      </c>
      <c r="O9" s="12">
        <v>1</v>
      </c>
    </row>
    <row r="10" spans="1:15" ht="15" customHeight="1" x14ac:dyDescent="0.3">
      <c r="A10" s="9">
        <v>43613</v>
      </c>
      <c r="B10" s="10">
        <v>1121</v>
      </c>
      <c r="C10" s="11">
        <v>0.19</v>
      </c>
      <c r="D10" s="10">
        <v>4677</v>
      </c>
      <c r="E10" s="11">
        <v>0.26500000000000001</v>
      </c>
      <c r="F10" s="10">
        <v>838216</v>
      </c>
      <c r="G10" s="11">
        <v>0.30399999999999999</v>
      </c>
      <c r="H10" s="11">
        <v>0.129</v>
      </c>
      <c r="I10" s="10">
        <v>913023310</v>
      </c>
      <c r="J10" s="12" t="s">
        <v>6551</v>
      </c>
      <c r="K10" s="10">
        <v>108339</v>
      </c>
      <c r="L10" s="12" t="s">
        <v>6552</v>
      </c>
      <c r="M10" s="10">
        <v>9647885000</v>
      </c>
      <c r="N10" s="10">
        <v>1092014</v>
      </c>
      <c r="O10" s="12">
        <v>1</v>
      </c>
    </row>
    <row r="11" spans="1:15" ht="15" customHeight="1" x14ac:dyDescent="0.3">
      <c r="A11" s="9">
        <v>43614</v>
      </c>
      <c r="B11" s="10">
        <v>1146</v>
      </c>
      <c r="C11" s="11">
        <v>0.19800000000000001</v>
      </c>
      <c r="D11" s="10">
        <v>4460</v>
      </c>
      <c r="E11" s="11">
        <v>0.248</v>
      </c>
      <c r="F11" s="10">
        <v>750607</v>
      </c>
      <c r="G11" s="11">
        <v>0.26900000000000002</v>
      </c>
      <c r="H11" s="11">
        <v>0.32800000000000001</v>
      </c>
      <c r="I11" s="10">
        <v>1458929880</v>
      </c>
      <c r="J11" s="12" t="s">
        <v>6553</v>
      </c>
      <c r="K11" s="10">
        <v>245992</v>
      </c>
      <c r="L11" s="12" t="s">
        <v>6554</v>
      </c>
      <c r="M11" s="10">
        <v>11106814880</v>
      </c>
      <c r="N11" s="10">
        <v>1338006</v>
      </c>
      <c r="O11" s="12">
        <v>1</v>
      </c>
    </row>
    <row r="12" spans="1:15" ht="15" customHeight="1" x14ac:dyDescent="0.3">
      <c r="A12" s="9">
        <v>43615</v>
      </c>
      <c r="B12" s="12">
        <v>754</v>
      </c>
      <c r="C12" s="11">
        <v>0.13300000000000001</v>
      </c>
      <c r="D12" s="10">
        <v>2493</v>
      </c>
      <c r="E12" s="11">
        <v>0.14000000000000001</v>
      </c>
      <c r="F12" s="10">
        <v>340979</v>
      </c>
      <c r="G12" s="11">
        <v>0.123</v>
      </c>
      <c r="H12" s="11">
        <v>0.22</v>
      </c>
      <c r="I12" s="10">
        <v>614078440</v>
      </c>
      <c r="J12" s="12" t="s">
        <v>6555</v>
      </c>
      <c r="K12" s="10">
        <v>74962</v>
      </c>
      <c r="L12" s="12" t="s">
        <v>6556</v>
      </c>
      <c r="M12" s="10">
        <v>11720893320</v>
      </c>
      <c r="N12" s="10">
        <v>1412968</v>
      </c>
      <c r="O12" s="12">
        <v>2</v>
      </c>
    </row>
    <row r="13" spans="1:15" ht="15" customHeight="1" x14ac:dyDescent="0.3">
      <c r="A13" s="9">
        <v>43616</v>
      </c>
      <c r="B13" s="12">
        <v>791</v>
      </c>
      <c r="C13" s="11">
        <v>0.14099999999999999</v>
      </c>
      <c r="D13" s="10">
        <v>2724</v>
      </c>
      <c r="E13" s="11">
        <v>0.14899999999999999</v>
      </c>
      <c r="F13" s="10">
        <v>366962</v>
      </c>
      <c r="G13" s="11">
        <v>0.13100000000000001</v>
      </c>
      <c r="H13" s="11">
        <v>0.33600000000000002</v>
      </c>
      <c r="I13" s="10">
        <v>1084122725</v>
      </c>
      <c r="J13" s="12" t="s">
        <v>6557</v>
      </c>
      <c r="K13" s="10">
        <v>123266</v>
      </c>
      <c r="L13" s="12" t="s">
        <v>6558</v>
      </c>
      <c r="M13" s="10">
        <v>12805016045</v>
      </c>
      <c r="N13" s="10">
        <v>1536234</v>
      </c>
      <c r="O13" s="12">
        <v>2</v>
      </c>
    </row>
    <row r="14" spans="1:15" ht="15" customHeight="1" x14ac:dyDescent="0.3">
      <c r="A14" s="9">
        <v>43617</v>
      </c>
      <c r="B14" s="12">
        <v>965</v>
      </c>
      <c r="C14" s="11">
        <v>0.16600000000000001</v>
      </c>
      <c r="D14" s="10">
        <v>3451</v>
      </c>
      <c r="E14" s="11">
        <v>0.182</v>
      </c>
      <c r="F14" s="10">
        <v>463615</v>
      </c>
      <c r="G14" s="11">
        <v>0.16</v>
      </c>
      <c r="H14" s="11">
        <v>0.66</v>
      </c>
      <c r="I14" s="10">
        <v>2610680127</v>
      </c>
      <c r="J14" s="12" t="s">
        <v>6559</v>
      </c>
      <c r="K14" s="10">
        <v>306026</v>
      </c>
      <c r="L14" s="12" t="s">
        <v>6560</v>
      </c>
      <c r="M14" s="10">
        <v>15415696172</v>
      </c>
      <c r="N14" s="10">
        <v>1842260</v>
      </c>
      <c r="O14" s="12">
        <v>2</v>
      </c>
    </row>
    <row r="15" spans="1:15" ht="15" customHeight="1" x14ac:dyDescent="0.3">
      <c r="A15" s="9">
        <v>43618</v>
      </c>
      <c r="B15" s="12">
        <v>994</v>
      </c>
      <c r="C15" s="11">
        <v>0.17100000000000001</v>
      </c>
      <c r="D15" s="10">
        <v>3499</v>
      </c>
      <c r="E15" s="11">
        <v>0.189</v>
      </c>
      <c r="F15" s="10">
        <v>471681</v>
      </c>
      <c r="G15" s="11">
        <v>0.16600000000000001</v>
      </c>
      <c r="H15" s="11">
        <v>0.65200000000000002</v>
      </c>
      <c r="I15" s="10">
        <v>2601771060</v>
      </c>
      <c r="J15" s="12" t="s">
        <v>6561</v>
      </c>
      <c r="K15" s="10">
        <v>307739</v>
      </c>
      <c r="L15" s="12" t="s">
        <v>6562</v>
      </c>
      <c r="M15" s="10">
        <v>18017467232</v>
      </c>
      <c r="N15" s="10">
        <v>2149999</v>
      </c>
      <c r="O15" s="12">
        <v>2</v>
      </c>
    </row>
    <row r="16" spans="1:15" ht="15" customHeight="1" x14ac:dyDescent="0.3">
      <c r="A16" s="9">
        <v>43619</v>
      </c>
      <c r="B16" s="12">
        <v>796</v>
      </c>
      <c r="C16" s="11">
        <v>0.152</v>
      </c>
      <c r="D16" s="10">
        <v>3038</v>
      </c>
      <c r="E16" s="11">
        <v>0.17499999999999999</v>
      </c>
      <c r="F16" s="10">
        <v>425515</v>
      </c>
      <c r="G16" s="11">
        <v>0.157</v>
      </c>
      <c r="H16" s="11">
        <v>0.192</v>
      </c>
      <c r="I16" s="10">
        <v>671525860</v>
      </c>
      <c r="J16" s="12" t="s">
        <v>6563</v>
      </c>
      <c r="K16" s="10">
        <v>81613</v>
      </c>
      <c r="L16" s="12" t="s">
        <v>6564</v>
      </c>
      <c r="M16" s="10">
        <v>18688993092</v>
      </c>
      <c r="N16" s="10">
        <v>2231612</v>
      </c>
      <c r="O16" s="12">
        <v>2</v>
      </c>
    </row>
    <row r="17" spans="1:15" ht="15" customHeight="1" x14ac:dyDescent="0.3">
      <c r="A17" s="9">
        <v>43620</v>
      </c>
      <c r="B17" s="12">
        <v>818</v>
      </c>
      <c r="C17" s="11">
        <v>0.152</v>
      </c>
      <c r="D17" s="10">
        <v>3063</v>
      </c>
      <c r="E17" s="11">
        <v>0.17599999999999999</v>
      </c>
      <c r="F17" s="10">
        <v>426623</v>
      </c>
      <c r="G17" s="11">
        <v>0.158</v>
      </c>
      <c r="H17" s="11">
        <v>0.19900000000000001</v>
      </c>
      <c r="I17" s="10">
        <v>693901620</v>
      </c>
      <c r="J17" s="12" t="s">
        <v>6565</v>
      </c>
      <c r="K17" s="10">
        <v>84798</v>
      </c>
      <c r="L17" s="12" t="s">
        <v>6566</v>
      </c>
      <c r="M17" s="10">
        <v>19382894712</v>
      </c>
      <c r="N17" s="10">
        <v>2316410</v>
      </c>
      <c r="O17" s="12">
        <v>2</v>
      </c>
    </row>
    <row r="18" spans="1:15" ht="15" customHeight="1" x14ac:dyDescent="0.3">
      <c r="A18" s="9">
        <v>43621</v>
      </c>
      <c r="B18" s="12">
        <v>937</v>
      </c>
      <c r="C18" s="11">
        <v>0.16400000000000001</v>
      </c>
      <c r="D18" s="10">
        <v>2770</v>
      </c>
      <c r="E18" s="11">
        <v>0.153</v>
      </c>
      <c r="F18" s="10">
        <v>373155</v>
      </c>
      <c r="G18" s="11">
        <v>0.13200000000000001</v>
      </c>
      <c r="H18" s="11">
        <v>0.30299999999999999</v>
      </c>
      <c r="I18" s="10">
        <v>903254870</v>
      </c>
      <c r="J18" s="12" t="s">
        <v>6567</v>
      </c>
      <c r="K18" s="10">
        <v>113165</v>
      </c>
      <c r="L18" s="12" t="s">
        <v>6568</v>
      </c>
      <c r="M18" s="10">
        <v>20286149582</v>
      </c>
      <c r="N18" s="10">
        <v>2429575</v>
      </c>
      <c r="O18" s="12">
        <v>3</v>
      </c>
    </row>
    <row r="19" spans="1:15" ht="15" customHeight="1" x14ac:dyDescent="0.3">
      <c r="A19" s="9">
        <v>43622</v>
      </c>
      <c r="B19" s="10">
        <v>1120</v>
      </c>
      <c r="C19" s="11">
        <v>0.19</v>
      </c>
      <c r="D19" s="10">
        <v>3738</v>
      </c>
      <c r="E19" s="11">
        <v>0.192</v>
      </c>
      <c r="F19" s="10">
        <v>493898</v>
      </c>
      <c r="G19" s="11">
        <v>0.16400000000000001</v>
      </c>
      <c r="H19" s="11">
        <v>0.75600000000000001</v>
      </c>
      <c r="I19" s="10">
        <v>3146433260</v>
      </c>
      <c r="J19" s="12" t="s">
        <v>6569</v>
      </c>
      <c r="K19" s="10">
        <v>373559</v>
      </c>
      <c r="L19" s="12" t="s">
        <v>6570</v>
      </c>
      <c r="M19" s="10">
        <v>23432582842</v>
      </c>
      <c r="N19" s="10">
        <v>2803134</v>
      </c>
      <c r="O19" s="12">
        <v>2</v>
      </c>
    </row>
    <row r="20" spans="1:15" ht="15" customHeight="1" x14ac:dyDescent="0.3">
      <c r="A20" s="9">
        <v>43623</v>
      </c>
      <c r="B20" s="10">
        <v>1151</v>
      </c>
      <c r="C20" s="11">
        <v>0.19500000000000001</v>
      </c>
      <c r="D20" s="10">
        <v>4132</v>
      </c>
      <c r="E20" s="11">
        <v>0.214</v>
      </c>
      <c r="F20" s="10">
        <v>558074</v>
      </c>
      <c r="G20" s="11">
        <v>0.187</v>
      </c>
      <c r="H20" s="11">
        <v>0.51100000000000001</v>
      </c>
      <c r="I20" s="10">
        <v>2428722874</v>
      </c>
      <c r="J20" s="12" t="s">
        <v>6571</v>
      </c>
      <c r="K20" s="10">
        <v>284945</v>
      </c>
      <c r="L20" s="12" t="s">
        <v>6572</v>
      </c>
      <c r="M20" s="10">
        <v>25861305716</v>
      </c>
      <c r="N20" s="10">
        <v>3088079</v>
      </c>
      <c r="O20" s="12">
        <v>2</v>
      </c>
    </row>
    <row r="21" spans="1:15" ht="15" customHeight="1" x14ac:dyDescent="0.3">
      <c r="A21" s="9">
        <v>43624</v>
      </c>
      <c r="B21" s="10">
        <v>1356</v>
      </c>
      <c r="C21" s="11">
        <v>0.22700000000000001</v>
      </c>
      <c r="D21" s="10">
        <v>5241</v>
      </c>
      <c r="E21" s="11">
        <v>0.26700000000000002</v>
      </c>
      <c r="F21" s="10">
        <v>746940</v>
      </c>
      <c r="G21" s="11">
        <v>0.245</v>
      </c>
      <c r="H21" s="11">
        <v>0.55600000000000005</v>
      </c>
      <c r="I21" s="10">
        <v>3618669583</v>
      </c>
      <c r="J21" s="12" t="s">
        <v>6573</v>
      </c>
      <c r="K21" s="10">
        <v>415310</v>
      </c>
      <c r="L21" s="12" t="s">
        <v>6574</v>
      </c>
      <c r="M21" s="10">
        <v>29479975299</v>
      </c>
      <c r="N21" s="10">
        <v>3503389</v>
      </c>
      <c r="O21" s="12">
        <v>2</v>
      </c>
    </row>
    <row r="22" spans="1:15" ht="15" customHeight="1" x14ac:dyDescent="0.3">
      <c r="A22" s="9">
        <v>43625</v>
      </c>
      <c r="B22" s="10">
        <v>1371</v>
      </c>
      <c r="C22" s="11">
        <v>0.23200000000000001</v>
      </c>
      <c r="D22" s="10">
        <v>5263</v>
      </c>
      <c r="E22" s="11">
        <v>0.27600000000000002</v>
      </c>
      <c r="F22" s="10">
        <v>760334</v>
      </c>
      <c r="G22" s="11">
        <v>0.25700000000000001</v>
      </c>
      <c r="H22" s="11">
        <v>0.52100000000000002</v>
      </c>
      <c r="I22" s="10">
        <v>3456183040</v>
      </c>
      <c r="J22" s="12" t="s">
        <v>6575</v>
      </c>
      <c r="K22" s="10">
        <v>396151</v>
      </c>
      <c r="L22" s="12" t="s">
        <v>6576</v>
      </c>
      <c r="M22" s="10">
        <v>32936158339</v>
      </c>
      <c r="N22" s="10">
        <v>3899540</v>
      </c>
      <c r="O22" s="12">
        <v>2</v>
      </c>
    </row>
    <row r="23" spans="1:15" ht="15" customHeight="1" x14ac:dyDescent="0.3">
      <c r="A23" s="9">
        <v>43626</v>
      </c>
      <c r="B23" s="10">
        <v>1068</v>
      </c>
      <c r="C23" s="11">
        <v>0.20899999999999999</v>
      </c>
      <c r="D23" s="10">
        <v>4366</v>
      </c>
      <c r="E23" s="11">
        <v>0.251</v>
      </c>
      <c r="F23" s="10">
        <v>667237</v>
      </c>
      <c r="G23" s="11">
        <v>0.247</v>
      </c>
      <c r="H23" s="11">
        <v>0.16400000000000001</v>
      </c>
      <c r="I23" s="10">
        <v>926042240</v>
      </c>
      <c r="J23" s="12" t="s">
        <v>6577</v>
      </c>
      <c r="K23" s="10">
        <v>109402</v>
      </c>
      <c r="L23" s="12" t="s">
        <v>6578</v>
      </c>
      <c r="M23" s="10">
        <v>33862200579</v>
      </c>
      <c r="N23" s="10">
        <v>4008942</v>
      </c>
      <c r="O23" s="12">
        <v>2</v>
      </c>
    </row>
    <row r="24" spans="1:15" ht="15" customHeight="1" x14ac:dyDescent="0.3">
      <c r="A24" s="9">
        <v>43627</v>
      </c>
      <c r="B24" s="10">
        <v>1092</v>
      </c>
      <c r="C24" s="11">
        <v>0.21199999999999999</v>
      </c>
      <c r="D24" s="10">
        <v>4422</v>
      </c>
      <c r="E24" s="11">
        <v>0.255</v>
      </c>
      <c r="F24" s="10">
        <v>672007</v>
      </c>
      <c r="G24" s="11">
        <v>0.249</v>
      </c>
      <c r="H24" s="11">
        <v>0.155</v>
      </c>
      <c r="I24" s="10">
        <v>876638740</v>
      </c>
      <c r="J24" s="12" t="s">
        <v>6579</v>
      </c>
      <c r="K24" s="10">
        <v>104428</v>
      </c>
      <c r="L24" s="12" t="s">
        <v>6580</v>
      </c>
      <c r="M24" s="10">
        <v>34738839319</v>
      </c>
      <c r="N24" s="10">
        <v>4113370</v>
      </c>
      <c r="O24" s="12">
        <v>2</v>
      </c>
    </row>
    <row r="25" spans="1:15" ht="15" customHeight="1" x14ac:dyDescent="0.3">
      <c r="A25" s="9">
        <v>43628</v>
      </c>
      <c r="B25" s="12">
        <v>973</v>
      </c>
      <c r="C25" s="11">
        <v>0.19500000000000001</v>
      </c>
      <c r="D25" s="10">
        <v>3849</v>
      </c>
      <c r="E25" s="11">
        <v>0.215</v>
      </c>
      <c r="F25" s="10">
        <v>572800</v>
      </c>
      <c r="G25" s="11">
        <v>0.20499999999999999</v>
      </c>
      <c r="H25" s="11">
        <v>0.17899999999999999</v>
      </c>
      <c r="I25" s="10">
        <v>841904820</v>
      </c>
      <c r="J25" s="12" t="s">
        <v>6581</v>
      </c>
      <c r="K25" s="10">
        <v>102436</v>
      </c>
      <c r="L25" s="12" t="s">
        <v>6582</v>
      </c>
      <c r="M25" s="10">
        <v>35580744139</v>
      </c>
      <c r="N25" s="10">
        <v>4215806</v>
      </c>
      <c r="O25" s="12">
        <v>3</v>
      </c>
    </row>
    <row r="26" spans="1:15" ht="15" customHeight="1" x14ac:dyDescent="0.3">
      <c r="A26" s="9">
        <v>43629</v>
      </c>
      <c r="B26" s="12">
        <v>947</v>
      </c>
      <c r="C26" s="11">
        <v>0.17499999999999999</v>
      </c>
      <c r="D26" s="10">
        <v>3701</v>
      </c>
      <c r="E26" s="11">
        <v>0.20799999999999999</v>
      </c>
      <c r="F26" s="10">
        <v>561141</v>
      </c>
      <c r="G26" s="11">
        <v>0.20200000000000001</v>
      </c>
      <c r="H26" s="11">
        <v>0.185</v>
      </c>
      <c r="I26" s="10">
        <v>858827730</v>
      </c>
      <c r="J26" s="12" t="s">
        <v>6583</v>
      </c>
      <c r="K26" s="10">
        <v>103618</v>
      </c>
      <c r="L26" s="12" t="s">
        <v>6584</v>
      </c>
      <c r="M26" s="10">
        <v>36439571869</v>
      </c>
      <c r="N26" s="10">
        <v>4319424</v>
      </c>
      <c r="O26" s="12">
        <v>2</v>
      </c>
    </row>
    <row r="27" spans="1:15" ht="15" customHeight="1" x14ac:dyDescent="0.3">
      <c r="A27" s="9">
        <v>43630</v>
      </c>
      <c r="B27" s="10">
        <v>1075</v>
      </c>
      <c r="C27" s="11">
        <v>0.192</v>
      </c>
      <c r="D27" s="10">
        <v>4286</v>
      </c>
      <c r="E27" s="11">
        <v>0.23400000000000001</v>
      </c>
      <c r="F27" s="10">
        <v>653230</v>
      </c>
      <c r="G27" s="11">
        <v>0.22900000000000001</v>
      </c>
      <c r="H27" s="11">
        <v>0.253</v>
      </c>
      <c r="I27" s="10">
        <v>1499530210</v>
      </c>
      <c r="J27" s="12" t="s">
        <v>6585</v>
      </c>
      <c r="K27" s="10">
        <v>165074</v>
      </c>
      <c r="L27" s="12" t="s">
        <v>6586</v>
      </c>
      <c r="M27" s="10">
        <v>37939102079</v>
      </c>
      <c r="N27" s="10">
        <v>4484498</v>
      </c>
      <c r="O27" s="12">
        <v>2</v>
      </c>
    </row>
    <row r="28" spans="1:15" ht="15" customHeight="1" x14ac:dyDescent="0.3">
      <c r="A28" s="9">
        <v>43631</v>
      </c>
      <c r="B28" s="10">
        <v>1384</v>
      </c>
      <c r="C28" s="11">
        <v>0.22800000000000001</v>
      </c>
      <c r="D28" s="10">
        <v>5635</v>
      </c>
      <c r="E28" s="11">
        <v>0.29599999999999999</v>
      </c>
      <c r="F28" s="10">
        <v>903647</v>
      </c>
      <c r="G28" s="11">
        <v>0.308</v>
      </c>
      <c r="H28" s="11">
        <v>0.47399999999999998</v>
      </c>
      <c r="I28" s="10">
        <v>3807068740</v>
      </c>
      <c r="J28" s="12" t="s">
        <v>6587</v>
      </c>
      <c r="K28" s="10">
        <v>427943</v>
      </c>
      <c r="L28" s="12" t="s">
        <v>6588</v>
      </c>
      <c r="M28" s="10">
        <v>41746170819</v>
      </c>
      <c r="N28" s="10">
        <v>4912441</v>
      </c>
      <c r="O28" s="12">
        <v>1</v>
      </c>
    </row>
    <row r="29" spans="1:15" ht="15" customHeight="1" x14ac:dyDescent="0.3">
      <c r="A29" s="9">
        <v>43632</v>
      </c>
      <c r="B29" s="10">
        <v>1409</v>
      </c>
      <c r="C29" s="11">
        <v>0.23400000000000001</v>
      </c>
      <c r="D29" s="10">
        <v>5737</v>
      </c>
      <c r="E29" s="11">
        <v>0.30599999999999999</v>
      </c>
      <c r="F29" s="10">
        <v>926631</v>
      </c>
      <c r="G29" s="11">
        <v>0.32</v>
      </c>
      <c r="H29" s="11">
        <v>0.44600000000000001</v>
      </c>
      <c r="I29" s="10">
        <v>3671179210</v>
      </c>
      <c r="J29" s="12" t="s">
        <v>6589</v>
      </c>
      <c r="K29" s="10">
        <v>413326</v>
      </c>
      <c r="L29" s="12" t="s">
        <v>6590</v>
      </c>
      <c r="M29" s="10">
        <v>45417350029</v>
      </c>
      <c r="N29" s="10">
        <v>5325767</v>
      </c>
      <c r="O29" s="12">
        <v>1</v>
      </c>
    </row>
    <row r="30" spans="1:15" ht="15" customHeight="1" x14ac:dyDescent="0.3">
      <c r="A30" s="9">
        <v>43633</v>
      </c>
      <c r="B30" s="10">
        <v>1168</v>
      </c>
      <c r="C30" s="11">
        <v>0.222</v>
      </c>
      <c r="D30" s="10">
        <v>4908</v>
      </c>
      <c r="E30" s="11">
        <v>0.28199999999999997</v>
      </c>
      <c r="F30" s="10">
        <v>810066</v>
      </c>
      <c r="G30" s="11">
        <v>0.29899999999999999</v>
      </c>
      <c r="H30" s="11">
        <v>0.16200000000000001</v>
      </c>
      <c r="I30" s="10">
        <v>1106625600</v>
      </c>
      <c r="J30" s="12" t="s">
        <v>6591</v>
      </c>
      <c r="K30" s="10">
        <v>131239</v>
      </c>
      <c r="L30" s="12" t="s">
        <v>6592</v>
      </c>
      <c r="M30" s="10">
        <v>46523975629</v>
      </c>
      <c r="N30" s="10">
        <v>5457006</v>
      </c>
      <c r="O30" s="12">
        <v>1</v>
      </c>
    </row>
    <row r="31" spans="1:15" ht="15" customHeight="1" x14ac:dyDescent="0.3">
      <c r="A31" s="9">
        <v>43634</v>
      </c>
      <c r="B31" s="10">
        <v>1198</v>
      </c>
      <c r="C31" s="11">
        <v>0.22</v>
      </c>
      <c r="D31" s="10">
        <v>4968</v>
      </c>
      <c r="E31" s="11">
        <v>0.28699999999999998</v>
      </c>
      <c r="F31" s="10">
        <v>818721</v>
      </c>
      <c r="G31" s="11">
        <v>0.30399999999999999</v>
      </c>
      <c r="H31" s="11">
        <v>0.16200000000000001</v>
      </c>
      <c r="I31" s="10">
        <v>1110765950</v>
      </c>
      <c r="J31" s="12" t="s">
        <v>6593</v>
      </c>
      <c r="K31" s="10">
        <v>132540</v>
      </c>
      <c r="L31" s="12" t="s">
        <v>6594</v>
      </c>
      <c r="M31" s="10">
        <v>47634741579</v>
      </c>
      <c r="N31" s="10">
        <v>5589546</v>
      </c>
      <c r="O31" s="12">
        <v>1</v>
      </c>
    </row>
    <row r="32" spans="1:15" ht="15" customHeight="1" x14ac:dyDescent="0.3">
      <c r="A32" s="9">
        <v>43635</v>
      </c>
      <c r="B32" s="10">
        <v>1027</v>
      </c>
      <c r="C32" s="11">
        <v>0.20200000000000001</v>
      </c>
      <c r="D32" s="10">
        <v>4435</v>
      </c>
      <c r="E32" s="11">
        <v>0.249</v>
      </c>
      <c r="F32" s="10">
        <v>748910</v>
      </c>
      <c r="G32" s="11">
        <v>0.27100000000000002</v>
      </c>
      <c r="H32" s="11">
        <v>0.182</v>
      </c>
      <c r="I32" s="10">
        <v>1153558190</v>
      </c>
      <c r="J32" s="12" t="s">
        <v>6595</v>
      </c>
      <c r="K32" s="10">
        <v>136650</v>
      </c>
      <c r="L32" s="12" t="s">
        <v>6596</v>
      </c>
      <c r="M32" s="10">
        <v>48788299769</v>
      </c>
      <c r="N32" s="10">
        <v>5726196</v>
      </c>
      <c r="O32" s="12">
        <v>1</v>
      </c>
    </row>
    <row r="33" spans="1:15" ht="15" customHeight="1" x14ac:dyDescent="0.3">
      <c r="A33" s="9">
        <v>43636</v>
      </c>
      <c r="B33" s="12">
        <v>875</v>
      </c>
      <c r="C33" s="11">
        <v>0.154</v>
      </c>
      <c r="D33" s="10">
        <v>3204</v>
      </c>
      <c r="E33" s="11">
        <v>0.17</v>
      </c>
      <c r="F33" s="10">
        <v>515106</v>
      </c>
      <c r="G33" s="11">
        <v>0.17399999999999999</v>
      </c>
      <c r="H33" s="11">
        <v>0.23699999999999999</v>
      </c>
      <c r="I33" s="10">
        <v>1012960770</v>
      </c>
      <c r="J33" s="12" t="s">
        <v>6597</v>
      </c>
      <c r="K33" s="10">
        <v>122023</v>
      </c>
      <c r="L33" s="12" t="s">
        <v>6598</v>
      </c>
      <c r="M33" s="10">
        <v>49801260539</v>
      </c>
      <c r="N33" s="10">
        <v>5848219</v>
      </c>
      <c r="O33" s="12">
        <v>2</v>
      </c>
    </row>
    <row r="34" spans="1:15" ht="15" customHeight="1" x14ac:dyDescent="0.3">
      <c r="A34" s="9">
        <v>43637</v>
      </c>
      <c r="B34" s="12">
        <v>977</v>
      </c>
      <c r="C34" s="11">
        <v>0.16900000000000001</v>
      </c>
      <c r="D34" s="10">
        <v>3626</v>
      </c>
      <c r="E34" s="11">
        <v>0.189</v>
      </c>
      <c r="F34" s="10">
        <v>576526</v>
      </c>
      <c r="G34" s="11">
        <v>0.192</v>
      </c>
      <c r="H34" s="11">
        <v>0.3</v>
      </c>
      <c r="I34" s="10">
        <v>1584330080</v>
      </c>
      <c r="J34" s="12" t="s">
        <v>6599</v>
      </c>
      <c r="K34" s="10">
        <v>172890</v>
      </c>
      <c r="L34" s="12" t="s">
        <v>6600</v>
      </c>
      <c r="M34" s="10">
        <v>51385590619</v>
      </c>
      <c r="N34" s="10">
        <v>6021109</v>
      </c>
      <c r="O34" s="12">
        <v>1</v>
      </c>
    </row>
    <row r="35" spans="1:15" ht="15" customHeight="1" x14ac:dyDescent="0.3">
      <c r="A35" s="9">
        <v>43638</v>
      </c>
      <c r="B35" s="10">
        <v>1174</v>
      </c>
      <c r="C35" s="11">
        <v>0.183</v>
      </c>
      <c r="D35" s="10">
        <v>4515</v>
      </c>
      <c r="E35" s="11">
        <v>0.22500000000000001</v>
      </c>
      <c r="F35" s="10">
        <v>717196</v>
      </c>
      <c r="G35" s="11">
        <v>0.22900000000000001</v>
      </c>
      <c r="H35" s="11">
        <v>0.56000000000000005</v>
      </c>
      <c r="I35" s="10">
        <v>3562347560</v>
      </c>
      <c r="J35" s="12" t="s">
        <v>6601</v>
      </c>
      <c r="K35" s="10">
        <v>401926</v>
      </c>
      <c r="L35" s="12" t="s">
        <v>6602</v>
      </c>
      <c r="M35" s="10">
        <v>54947938179</v>
      </c>
      <c r="N35" s="10">
        <v>6423035</v>
      </c>
      <c r="O35" s="12">
        <v>2</v>
      </c>
    </row>
    <row r="36" spans="1:15" ht="15" customHeight="1" x14ac:dyDescent="0.3">
      <c r="A36" s="9">
        <v>43639</v>
      </c>
      <c r="B36" s="10">
        <v>1226</v>
      </c>
      <c r="C36" s="11">
        <v>0.19</v>
      </c>
      <c r="D36" s="10">
        <v>4577</v>
      </c>
      <c r="E36" s="11">
        <v>0.23300000000000001</v>
      </c>
      <c r="F36" s="10">
        <v>725312</v>
      </c>
      <c r="G36" s="11">
        <v>0.23599999999999999</v>
      </c>
      <c r="H36" s="11">
        <v>0.51900000000000002</v>
      </c>
      <c r="I36" s="10">
        <v>3304901600</v>
      </c>
      <c r="J36" s="12" t="s">
        <v>6603</v>
      </c>
      <c r="K36" s="10">
        <v>376622</v>
      </c>
      <c r="L36" s="12" t="s">
        <v>6604</v>
      </c>
      <c r="M36" s="10">
        <v>58252839779</v>
      </c>
      <c r="N36" s="10">
        <v>6799657</v>
      </c>
      <c r="O36" s="12">
        <v>2</v>
      </c>
    </row>
    <row r="37" spans="1:15" ht="15" customHeight="1" x14ac:dyDescent="0.3">
      <c r="A37" s="9">
        <v>43640</v>
      </c>
      <c r="B37" s="10">
        <v>1036</v>
      </c>
      <c r="C37" s="11">
        <v>0.19</v>
      </c>
      <c r="D37" s="10">
        <v>4203</v>
      </c>
      <c r="E37" s="11">
        <v>0.22800000000000001</v>
      </c>
      <c r="F37" s="10">
        <v>692287</v>
      </c>
      <c r="G37" s="11">
        <v>0.24</v>
      </c>
      <c r="H37" s="11">
        <v>0.185</v>
      </c>
      <c r="I37" s="10">
        <v>1067394260</v>
      </c>
      <c r="J37" s="12" t="s">
        <v>6605</v>
      </c>
      <c r="K37" s="10">
        <v>127993</v>
      </c>
      <c r="L37" s="12" t="s">
        <v>6606</v>
      </c>
      <c r="M37" s="10">
        <v>59320234039</v>
      </c>
      <c r="N37" s="10">
        <v>6927650</v>
      </c>
      <c r="O37" s="12">
        <v>1</v>
      </c>
    </row>
    <row r="38" spans="1:15" ht="15" customHeight="1" x14ac:dyDescent="0.3">
      <c r="A38" s="9">
        <v>43641</v>
      </c>
      <c r="B38" s="10">
        <v>1043</v>
      </c>
      <c r="C38" s="11">
        <v>0.186</v>
      </c>
      <c r="D38" s="10">
        <v>4251</v>
      </c>
      <c r="E38" s="11">
        <v>0.23100000000000001</v>
      </c>
      <c r="F38" s="10">
        <v>699462</v>
      </c>
      <c r="G38" s="11">
        <v>0.24299999999999999</v>
      </c>
      <c r="H38" s="11">
        <v>0.17199999999999999</v>
      </c>
      <c r="I38" s="10">
        <v>998337580</v>
      </c>
      <c r="J38" s="12" t="s">
        <v>6607</v>
      </c>
      <c r="K38" s="10">
        <v>120315</v>
      </c>
      <c r="L38" s="12" t="s">
        <v>6608</v>
      </c>
      <c r="M38" s="10">
        <v>60318571619</v>
      </c>
      <c r="N38" s="10">
        <v>7047965</v>
      </c>
      <c r="O38" s="12">
        <v>1</v>
      </c>
    </row>
    <row r="39" spans="1:15" ht="15" customHeight="1" x14ac:dyDescent="0.3">
      <c r="A39" s="9">
        <v>43642</v>
      </c>
      <c r="B39" s="12">
        <v>939</v>
      </c>
      <c r="C39" s="11">
        <v>0.14599999999999999</v>
      </c>
      <c r="D39" s="10">
        <v>3385</v>
      </c>
      <c r="E39" s="11">
        <v>0.182</v>
      </c>
      <c r="F39" s="10">
        <v>612040</v>
      </c>
      <c r="G39" s="11">
        <v>0.21199999999999999</v>
      </c>
      <c r="H39" s="11">
        <v>0.32800000000000001</v>
      </c>
      <c r="I39" s="10">
        <v>1256012600</v>
      </c>
      <c r="J39" s="12" t="s">
        <v>6609</v>
      </c>
      <c r="K39" s="10">
        <v>200782</v>
      </c>
      <c r="L39" s="12" t="s">
        <v>6610</v>
      </c>
      <c r="M39" s="10">
        <v>61574584219</v>
      </c>
      <c r="N39" s="10">
        <v>7248747</v>
      </c>
      <c r="O39" s="12">
        <v>1</v>
      </c>
    </row>
    <row r="40" spans="1:15" ht="15" customHeight="1" x14ac:dyDescent="0.3">
      <c r="A40" s="9">
        <v>43643</v>
      </c>
      <c r="B40" s="12">
        <v>890</v>
      </c>
      <c r="C40" s="11">
        <v>0.14699999999999999</v>
      </c>
      <c r="D40" s="10">
        <v>3477</v>
      </c>
      <c r="E40" s="11">
        <v>0.187</v>
      </c>
      <c r="F40" s="10">
        <v>636476</v>
      </c>
      <c r="G40" s="11">
        <v>0.22</v>
      </c>
      <c r="H40" s="11">
        <v>0.17899999999999999</v>
      </c>
      <c r="I40" s="10">
        <v>942441960</v>
      </c>
      <c r="J40" s="12" t="s">
        <v>6611</v>
      </c>
      <c r="K40" s="10">
        <v>113611</v>
      </c>
      <c r="L40" s="12" t="s">
        <v>6612</v>
      </c>
      <c r="M40" s="10">
        <v>62517026179</v>
      </c>
      <c r="N40" s="10">
        <v>7362358</v>
      </c>
      <c r="O40" s="12">
        <v>1</v>
      </c>
    </row>
    <row r="41" spans="1:15" ht="15" customHeight="1" x14ac:dyDescent="0.3">
      <c r="A41" s="9">
        <v>43644</v>
      </c>
      <c r="B41" s="12">
        <v>970</v>
      </c>
      <c r="C41" s="11">
        <v>0.158</v>
      </c>
      <c r="D41" s="10">
        <v>3827</v>
      </c>
      <c r="E41" s="11">
        <v>0.20200000000000001</v>
      </c>
      <c r="F41" s="10">
        <v>692038</v>
      </c>
      <c r="G41" s="11">
        <v>0.23599999999999999</v>
      </c>
      <c r="H41" s="11">
        <v>0.219</v>
      </c>
      <c r="I41" s="10">
        <v>1394146730</v>
      </c>
      <c r="J41" s="12" t="s">
        <v>6613</v>
      </c>
      <c r="K41" s="10">
        <v>151505</v>
      </c>
      <c r="L41" s="12" t="s">
        <v>6614</v>
      </c>
      <c r="M41" s="10">
        <v>63911172909</v>
      </c>
      <c r="N41" s="10">
        <v>7513863</v>
      </c>
      <c r="O41" s="12">
        <v>1</v>
      </c>
    </row>
    <row r="42" spans="1:15" ht="15" customHeight="1" x14ac:dyDescent="0.3">
      <c r="A42" s="9">
        <v>43645</v>
      </c>
      <c r="B42" s="10">
        <v>1172</v>
      </c>
      <c r="C42" s="11">
        <v>0.17399999999999999</v>
      </c>
      <c r="D42" s="10">
        <v>4702</v>
      </c>
      <c r="E42" s="11">
        <v>0.23699999999999999</v>
      </c>
      <c r="F42" s="10">
        <v>841725</v>
      </c>
      <c r="G42" s="11">
        <v>0.27500000000000002</v>
      </c>
      <c r="H42" s="11">
        <v>0.47299999999999998</v>
      </c>
      <c r="I42" s="10">
        <v>3538350480</v>
      </c>
      <c r="J42" s="12" t="s">
        <v>6615</v>
      </c>
      <c r="K42" s="10">
        <v>398137</v>
      </c>
      <c r="L42" s="12" t="s">
        <v>6616</v>
      </c>
      <c r="M42" s="10">
        <v>67449523389</v>
      </c>
      <c r="N42" s="10">
        <v>7912000</v>
      </c>
      <c r="O42" s="12">
        <v>1</v>
      </c>
    </row>
    <row r="43" spans="1:15" ht="15" customHeight="1" x14ac:dyDescent="0.3">
      <c r="A43" s="9">
        <v>43646</v>
      </c>
      <c r="B43" s="10">
        <v>1199</v>
      </c>
      <c r="C43" s="11">
        <v>0.17799999999999999</v>
      </c>
      <c r="D43" s="10">
        <v>4677</v>
      </c>
      <c r="E43" s="11">
        <v>0.24</v>
      </c>
      <c r="F43" s="10">
        <v>836842</v>
      </c>
      <c r="G43" s="11">
        <v>0.27900000000000003</v>
      </c>
      <c r="H43" s="11">
        <v>0.43</v>
      </c>
      <c r="I43" s="10">
        <v>3156555950</v>
      </c>
      <c r="J43" s="12" t="s">
        <v>6617</v>
      </c>
      <c r="K43" s="10">
        <v>359759</v>
      </c>
      <c r="L43" s="12" t="s">
        <v>6618</v>
      </c>
      <c r="M43" s="10">
        <v>70606079339</v>
      </c>
      <c r="N43" s="10">
        <v>8271759</v>
      </c>
      <c r="O43" s="12">
        <v>1</v>
      </c>
    </row>
    <row r="44" spans="1:15" ht="15" customHeight="1" x14ac:dyDescent="0.3">
      <c r="A44" s="9">
        <v>43647</v>
      </c>
      <c r="B44" s="10">
        <v>1030</v>
      </c>
      <c r="C44" s="11">
        <v>0.155</v>
      </c>
      <c r="D44" s="10">
        <v>3961</v>
      </c>
      <c r="E44" s="11">
        <v>0.21199999999999999</v>
      </c>
      <c r="F44" s="10">
        <v>707440</v>
      </c>
      <c r="G44" s="11">
        <v>0.24299999999999999</v>
      </c>
      <c r="H44" s="11">
        <v>0.158</v>
      </c>
      <c r="I44" s="10">
        <v>926508510</v>
      </c>
      <c r="J44" s="12" t="s">
        <v>6619</v>
      </c>
      <c r="K44" s="10">
        <v>111674</v>
      </c>
      <c r="L44" s="12" t="s">
        <v>6620</v>
      </c>
      <c r="M44" s="10">
        <v>71532587849</v>
      </c>
      <c r="N44" s="10">
        <v>8383433</v>
      </c>
      <c r="O44" s="12">
        <v>1</v>
      </c>
    </row>
    <row r="45" spans="1:15" ht="15" customHeight="1" x14ac:dyDescent="0.3">
      <c r="A45" s="9">
        <v>43648</v>
      </c>
      <c r="B45" s="12">
        <v>651</v>
      </c>
      <c r="C45" s="11">
        <v>0.111</v>
      </c>
      <c r="D45" s="10">
        <v>2263</v>
      </c>
      <c r="E45" s="11">
        <v>0.121</v>
      </c>
      <c r="F45" s="10">
        <v>307973</v>
      </c>
      <c r="G45" s="11">
        <v>0.107</v>
      </c>
      <c r="H45" s="11">
        <v>0.23499999999999999</v>
      </c>
      <c r="I45" s="10">
        <v>589054240</v>
      </c>
      <c r="J45" s="12" t="s">
        <v>6621</v>
      </c>
      <c r="K45" s="10">
        <v>72410</v>
      </c>
      <c r="L45" s="12" t="s">
        <v>6622</v>
      </c>
      <c r="M45" s="10">
        <v>72121642089</v>
      </c>
      <c r="N45" s="10">
        <v>8455843</v>
      </c>
      <c r="O45" s="12">
        <v>2</v>
      </c>
    </row>
    <row r="46" spans="1:15" ht="15" customHeight="1" x14ac:dyDescent="0.3">
      <c r="A46" s="9">
        <v>43649</v>
      </c>
      <c r="B46" s="12">
        <v>691</v>
      </c>
      <c r="C46" s="11">
        <v>0.125</v>
      </c>
      <c r="D46" s="10">
        <v>2450</v>
      </c>
      <c r="E46" s="11">
        <v>0.13200000000000001</v>
      </c>
      <c r="F46" s="10">
        <v>331155</v>
      </c>
      <c r="G46" s="11">
        <v>0.11600000000000001</v>
      </c>
      <c r="H46" s="11">
        <v>0.24099999999999999</v>
      </c>
      <c r="I46" s="10">
        <v>644215680</v>
      </c>
      <c r="J46" s="12" t="s">
        <v>6623</v>
      </c>
      <c r="K46" s="10">
        <v>79742</v>
      </c>
      <c r="L46" s="12" t="s">
        <v>6624</v>
      </c>
      <c r="M46" s="10">
        <v>72765857769</v>
      </c>
      <c r="N46" s="10">
        <v>8535585</v>
      </c>
      <c r="O46" s="12">
        <v>2</v>
      </c>
    </row>
    <row r="47" spans="1:15" ht="15" customHeight="1" x14ac:dyDescent="0.3">
      <c r="A47" s="9">
        <v>43650</v>
      </c>
      <c r="B47" s="12">
        <v>694</v>
      </c>
      <c r="C47" s="11">
        <v>0.122</v>
      </c>
      <c r="D47" s="10">
        <v>2421</v>
      </c>
      <c r="E47" s="11">
        <v>0.13100000000000001</v>
      </c>
      <c r="F47" s="10">
        <v>329128</v>
      </c>
      <c r="G47" s="11">
        <v>0.115</v>
      </c>
      <c r="H47" s="11">
        <v>0.253</v>
      </c>
      <c r="I47" s="10">
        <v>671530540</v>
      </c>
      <c r="J47" s="12" t="s">
        <v>6625</v>
      </c>
      <c r="K47" s="10">
        <v>83127</v>
      </c>
      <c r="L47" s="12" t="s">
        <v>6626</v>
      </c>
      <c r="M47" s="10">
        <v>73437388309</v>
      </c>
      <c r="N47" s="10">
        <v>8618712</v>
      </c>
      <c r="O47" s="12">
        <v>2</v>
      </c>
    </row>
    <row r="48" spans="1:15" ht="15" customHeight="1" x14ac:dyDescent="0.3">
      <c r="A48" s="9">
        <v>43651</v>
      </c>
      <c r="B48" s="12">
        <v>715</v>
      </c>
      <c r="C48" s="11">
        <v>0.124</v>
      </c>
      <c r="D48" s="10">
        <v>2522</v>
      </c>
      <c r="E48" s="11">
        <v>0.13300000000000001</v>
      </c>
      <c r="F48" s="10">
        <v>341169</v>
      </c>
      <c r="G48" s="11">
        <v>0.11700000000000001</v>
      </c>
      <c r="H48" s="11">
        <v>0.36399999999999999</v>
      </c>
      <c r="I48" s="10">
        <v>1102744830</v>
      </c>
      <c r="J48" s="12" t="s">
        <v>6627</v>
      </c>
      <c r="K48" s="10">
        <v>124142</v>
      </c>
      <c r="L48" s="12" t="s">
        <v>6628</v>
      </c>
      <c r="M48" s="10">
        <v>74540133139</v>
      </c>
      <c r="N48" s="10">
        <v>8742854</v>
      </c>
      <c r="O48" s="12">
        <v>2</v>
      </c>
    </row>
    <row r="49" spans="1:15" ht="15" customHeight="1" x14ac:dyDescent="0.3">
      <c r="A49" s="9">
        <v>43652</v>
      </c>
      <c r="B49" s="12">
        <v>806</v>
      </c>
      <c r="C49" s="11">
        <v>0.13700000000000001</v>
      </c>
      <c r="D49" s="10">
        <v>2855</v>
      </c>
      <c r="E49" s="11">
        <v>0.14399999999999999</v>
      </c>
      <c r="F49" s="10">
        <v>373424</v>
      </c>
      <c r="G49" s="11">
        <v>0.123</v>
      </c>
      <c r="H49" s="11">
        <v>0.66200000000000003</v>
      </c>
      <c r="I49" s="10">
        <v>2126663380</v>
      </c>
      <c r="J49" s="12" t="s">
        <v>6629</v>
      </c>
      <c r="K49" s="10">
        <v>247200</v>
      </c>
      <c r="L49" s="12" t="s">
        <v>6630</v>
      </c>
      <c r="M49" s="10">
        <v>76666796519</v>
      </c>
      <c r="N49" s="10">
        <v>8990054</v>
      </c>
      <c r="O49" s="12">
        <v>2</v>
      </c>
    </row>
    <row r="50" spans="1:15" ht="15" customHeight="1" x14ac:dyDescent="0.3">
      <c r="A50" s="9">
        <v>43653</v>
      </c>
      <c r="B50" s="12">
        <v>841</v>
      </c>
      <c r="C50" s="11">
        <v>0.14199999999999999</v>
      </c>
      <c r="D50" s="10">
        <v>2863</v>
      </c>
      <c r="E50" s="11">
        <v>0.14799999999999999</v>
      </c>
      <c r="F50" s="10">
        <v>375312</v>
      </c>
      <c r="G50" s="11">
        <v>0.126</v>
      </c>
      <c r="H50" s="11">
        <v>0.62</v>
      </c>
      <c r="I50" s="10">
        <v>1988360700</v>
      </c>
      <c r="J50" s="12" t="s">
        <v>6631</v>
      </c>
      <c r="K50" s="10">
        <v>232580</v>
      </c>
      <c r="L50" s="12" t="s">
        <v>6632</v>
      </c>
      <c r="M50" s="10">
        <v>78655157219</v>
      </c>
      <c r="N50" s="10">
        <v>9222634</v>
      </c>
      <c r="O50" s="12">
        <v>2</v>
      </c>
    </row>
    <row r="51" spans="1:15" ht="15" customHeight="1" x14ac:dyDescent="0.3">
      <c r="A51" s="9">
        <v>43654</v>
      </c>
      <c r="B51" s="12">
        <v>728</v>
      </c>
      <c r="C51" s="11">
        <v>0.13200000000000001</v>
      </c>
      <c r="D51" s="10">
        <v>2686</v>
      </c>
      <c r="E51" s="11">
        <v>0.14799999999999999</v>
      </c>
      <c r="F51" s="10">
        <v>366663</v>
      </c>
      <c r="G51" s="11">
        <v>0.13</v>
      </c>
      <c r="H51" s="11">
        <v>0.21299999999999999</v>
      </c>
      <c r="I51" s="10">
        <v>638264220</v>
      </c>
      <c r="J51" s="12" t="s">
        <v>6633</v>
      </c>
      <c r="K51" s="10">
        <v>77948</v>
      </c>
      <c r="L51" s="12" t="s">
        <v>6634</v>
      </c>
      <c r="M51" s="10">
        <v>79293421439</v>
      </c>
      <c r="N51" s="10">
        <v>9300582</v>
      </c>
      <c r="O51" s="12">
        <v>2</v>
      </c>
    </row>
    <row r="52" spans="1:15" ht="15" customHeight="1" x14ac:dyDescent="0.3">
      <c r="A52" s="9">
        <v>43655</v>
      </c>
      <c r="B52" s="12">
        <v>770</v>
      </c>
      <c r="C52" s="11">
        <v>0.13600000000000001</v>
      </c>
      <c r="D52" s="10">
        <v>2741</v>
      </c>
      <c r="E52" s="11">
        <v>0.151</v>
      </c>
      <c r="F52" s="10">
        <v>373074</v>
      </c>
      <c r="G52" s="11">
        <v>0.13300000000000001</v>
      </c>
      <c r="H52" s="11">
        <v>0.22900000000000001</v>
      </c>
      <c r="I52" s="10">
        <v>691661230</v>
      </c>
      <c r="J52" s="12" t="s">
        <v>6635</v>
      </c>
      <c r="K52" s="10">
        <v>85552</v>
      </c>
      <c r="L52" s="12" t="s">
        <v>6636</v>
      </c>
      <c r="M52" s="10">
        <v>79985082669</v>
      </c>
      <c r="N52" s="10">
        <v>9386134</v>
      </c>
      <c r="O52" s="12">
        <v>2</v>
      </c>
    </row>
    <row r="53" spans="1:15" ht="15" customHeight="1" x14ac:dyDescent="0.3">
      <c r="A53" s="9">
        <v>43656</v>
      </c>
      <c r="B53" s="12">
        <v>706</v>
      </c>
      <c r="C53" s="11">
        <v>0.13300000000000001</v>
      </c>
      <c r="D53" s="10">
        <v>2659</v>
      </c>
      <c r="E53" s="11">
        <v>0.14399999999999999</v>
      </c>
      <c r="F53" s="10">
        <v>370814</v>
      </c>
      <c r="G53" s="11">
        <v>0.13</v>
      </c>
      <c r="H53" s="11">
        <v>0.21099999999999999</v>
      </c>
      <c r="I53" s="10">
        <v>638052280</v>
      </c>
      <c r="J53" s="12" t="s">
        <v>6637</v>
      </c>
      <c r="K53" s="10">
        <v>78149</v>
      </c>
      <c r="L53" s="12" t="s">
        <v>6638</v>
      </c>
      <c r="M53" s="10">
        <v>80623134949</v>
      </c>
      <c r="N53" s="10">
        <v>9464283</v>
      </c>
      <c r="O53" s="12">
        <v>2</v>
      </c>
    </row>
    <row r="54" spans="1:15" ht="15" customHeight="1" x14ac:dyDescent="0.3">
      <c r="A54" s="9">
        <v>43657</v>
      </c>
      <c r="B54" s="12">
        <v>713</v>
      </c>
      <c r="C54" s="11">
        <v>0.121</v>
      </c>
      <c r="D54" s="10">
        <v>2541</v>
      </c>
      <c r="E54" s="11">
        <v>0.13700000000000001</v>
      </c>
      <c r="F54" s="10">
        <v>358853</v>
      </c>
      <c r="G54" s="11">
        <v>0.125</v>
      </c>
      <c r="H54" s="11">
        <v>0.20499999999999999</v>
      </c>
      <c r="I54" s="10">
        <v>602756510</v>
      </c>
      <c r="J54" s="12" t="s">
        <v>6639</v>
      </c>
      <c r="K54" s="10">
        <v>73409</v>
      </c>
      <c r="L54" s="12" t="s">
        <v>6640</v>
      </c>
      <c r="M54" s="10">
        <v>81225891459</v>
      </c>
      <c r="N54" s="10">
        <v>9537692</v>
      </c>
      <c r="O54" s="12">
        <v>2</v>
      </c>
    </row>
    <row r="55" spans="1:15" ht="15" customHeight="1" x14ac:dyDescent="0.3">
      <c r="A55" s="9">
        <v>43658</v>
      </c>
      <c r="B55" s="12">
        <v>797</v>
      </c>
      <c r="C55" s="11">
        <v>0.13</v>
      </c>
      <c r="D55" s="10">
        <v>2827</v>
      </c>
      <c r="E55" s="11">
        <v>0.14899999999999999</v>
      </c>
      <c r="F55" s="10">
        <v>402056</v>
      </c>
      <c r="G55" s="11">
        <v>0.13800000000000001</v>
      </c>
      <c r="H55" s="11">
        <v>0.251</v>
      </c>
      <c r="I55" s="10">
        <v>914897680</v>
      </c>
      <c r="J55" s="12" t="s">
        <v>6641</v>
      </c>
      <c r="K55" s="10">
        <v>101041</v>
      </c>
      <c r="L55" s="12" t="s">
        <v>6642</v>
      </c>
      <c r="M55" s="10">
        <v>82140789139</v>
      </c>
      <c r="N55" s="10">
        <v>9638733</v>
      </c>
      <c r="O55" s="12">
        <v>2</v>
      </c>
    </row>
    <row r="56" spans="1:15" ht="15" customHeight="1" x14ac:dyDescent="0.3">
      <c r="A56" s="9">
        <v>43659</v>
      </c>
      <c r="B56" s="12">
        <v>939</v>
      </c>
      <c r="C56" s="11">
        <v>0.14499999999999999</v>
      </c>
      <c r="D56" s="10">
        <v>3384</v>
      </c>
      <c r="E56" s="11">
        <v>0.16800000000000001</v>
      </c>
      <c r="F56" s="10">
        <v>482272</v>
      </c>
      <c r="G56" s="11">
        <v>0.157</v>
      </c>
      <c r="H56" s="11">
        <v>0.54600000000000004</v>
      </c>
      <c r="I56" s="10">
        <v>2309276480</v>
      </c>
      <c r="J56" s="12" t="s">
        <v>6643</v>
      </c>
      <c r="K56" s="10">
        <v>263340</v>
      </c>
      <c r="L56" s="12" t="s">
        <v>6644</v>
      </c>
      <c r="M56" s="10">
        <v>84450065619</v>
      </c>
      <c r="N56" s="10">
        <v>9902073</v>
      </c>
      <c r="O56" s="12">
        <v>2</v>
      </c>
    </row>
    <row r="57" spans="1:15" ht="15" customHeight="1" x14ac:dyDescent="0.3">
      <c r="A57" s="9">
        <v>43660</v>
      </c>
      <c r="B57" s="12">
        <v>975</v>
      </c>
      <c r="C57" s="11">
        <v>0.151</v>
      </c>
      <c r="D57" s="10">
        <v>3422</v>
      </c>
      <c r="E57" s="11">
        <v>0.17399999999999999</v>
      </c>
      <c r="F57" s="10">
        <v>486306</v>
      </c>
      <c r="G57" s="11">
        <v>0.161</v>
      </c>
      <c r="H57" s="11">
        <v>0.53300000000000003</v>
      </c>
      <c r="I57" s="10">
        <v>2253798860</v>
      </c>
      <c r="J57" s="12" t="s">
        <v>6645</v>
      </c>
      <c r="K57" s="10">
        <v>259165</v>
      </c>
      <c r="L57" s="12" t="s">
        <v>6646</v>
      </c>
      <c r="M57" s="10">
        <v>86703864479</v>
      </c>
      <c r="N57" s="10">
        <v>10161238</v>
      </c>
      <c r="O57" s="12">
        <v>2</v>
      </c>
    </row>
    <row r="58" spans="1:15" ht="15" customHeight="1" x14ac:dyDescent="0.3">
      <c r="A58" s="9">
        <v>43661</v>
      </c>
      <c r="B58" s="12">
        <v>822</v>
      </c>
      <c r="C58" s="11">
        <v>0.14399999999999999</v>
      </c>
      <c r="D58" s="10">
        <v>3029</v>
      </c>
      <c r="E58" s="11">
        <v>0.16900000000000001</v>
      </c>
      <c r="F58" s="10">
        <v>434884</v>
      </c>
      <c r="G58" s="11">
        <v>0.157</v>
      </c>
      <c r="H58" s="11">
        <v>0.185</v>
      </c>
      <c r="I58" s="10">
        <v>664191310</v>
      </c>
      <c r="J58" s="12" t="s">
        <v>6647</v>
      </c>
      <c r="K58" s="10">
        <v>80404</v>
      </c>
      <c r="L58" s="12" t="s">
        <v>6648</v>
      </c>
      <c r="M58" s="10">
        <v>87368055789</v>
      </c>
      <c r="N58" s="10">
        <v>10241642</v>
      </c>
      <c r="O58" s="12">
        <v>2</v>
      </c>
    </row>
    <row r="59" spans="1:15" ht="15" customHeight="1" x14ac:dyDescent="0.3">
      <c r="A59" s="9">
        <v>43662</v>
      </c>
      <c r="B59" s="12">
        <v>858</v>
      </c>
      <c r="C59" s="11">
        <v>0.14499999999999999</v>
      </c>
      <c r="D59" s="10">
        <v>3100</v>
      </c>
      <c r="E59" s="11">
        <v>0.17199999999999999</v>
      </c>
      <c r="F59" s="10">
        <v>449374</v>
      </c>
      <c r="G59" s="11">
        <v>0.16200000000000001</v>
      </c>
      <c r="H59" s="11">
        <v>0.187</v>
      </c>
      <c r="I59" s="10">
        <v>686843870</v>
      </c>
      <c r="J59" s="12" t="s">
        <v>6649</v>
      </c>
      <c r="K59" s="10">
        <v>84162</v>
      </c>
      <c r="L59" s="12" t="s">
        <v>6650</v>
      </c>
      <c r="M59" s="10">
        <v>88054899659</v>
      </c>
      <c r="N59" s="10">
        <v>10325804</v>
      </c>
      <c r="O59" s="12">
        <v>2</v>
      </c>
    </row>
    <row r="60" spans="1:15" ht="15" customHeight="1" x14ac:dyDescent="0.3">
      <c r="A60" s="9">
        <v>43663</v>
      </c>
      <c r="B60" s="12">
        <v>647</v>
      </c>
      <c r="C60" s="11">
        <v>0.113</v>
      </c>
      <c r="D60" s="10">
        <v>2022</v>
      </c>
      <c r="E60" s="11">
        <v>0.105</v>
      </c>
      <c r="F60" s="10">
        <v>264245</v>
      </c>
      <c r="G60" s="11">
        <v>8.8999999999999996E-2</v>
      </c>
      <c r="H60" s="11">
        <v>0.21299999999999999</v>
      </c>
      <c r="I60" s="10">
        <v>457452320</v>
      </c>
      <c r="J60" s="12" t="s">
        <v>6651</v>
      </c>
      <c r="K60" s="10">
        <v>56322</v>
      </c>
      <c r="L60" s="12" t="s">
        <v>6652</v>
      </c>
      <c r="M60" s="10">
        <v>88512351979</v>
      </c>
      <c r="N60" s="10">
        <v>10382126</v>
      </c>
      <c r="O60" s="12">
        <v>3</v>
      </c>
    </row>
    <row r="61" spans="1:15" ht="15" customHeight="1" x14ac:dyDescent="0.3"/>
    <row r="62" spans="1:15" ht="15" customHeight="1" x14ac:dyDescent="0.3"/>
    <row r="63" spans="1:15" ht="15" customHeight="1" x14ac:dyDescent="0.3"/>
    <row r="64" spans="1:15" ht="15" customHeight="1" x14ac:dyDescent="0.3"/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88670-397D-4CDD-8AF8-B4F1325EFB61}">
  <dimension ref="A1:O56"/>
  <sheetViews>
    <sheetView workbookViewId="0">
      <selection activeCell="A5" sqref="A5:O7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8.375" bestFit="1" customWidth="1"/>
    <col min="7" max="8" width="9.625" bestFit="1" customWidth="1"/>
    <col min="9" max="9" width="11.5" bestFit="1" customWidth="1"/>
    <col min="10" max="10" width="20.25" bestFit="1" customWidth="1"/>
    <col min="11" max="11" width="8.375" bestFit="1" customWidth="1"/>
    <col min="12" max="12" width="18.125" bestFit="1" customWidth="1"/>
    <col min="13" max="13" width="12.5" bestFit="1" customWidth="1"/>
    <col min="14" max="14" width="9.625" bestFit="1" customWidth="1"/>
    <col min="15" max="15" width="4.75" bestFit="1" customWidth="1"/>
  </cols>
  <sheetData>
    <row r="1" spans="1:15" ht="19.5" customHeight="1" x14ac:dyDescent="0.3">
      <c r="A1" s="197" t="s">
        <v>7420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15" customHeight="1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ht="15" customHeight="1" x14ac:dyDescent="0.3">
      <c r="A5" s="9">
        <v>43615</v>
      </c>
      <c r="B5" s="10">
        <v>1783</v>
      </c>
      <c r="C5" s="11">
        <v>0.315</v>
      </c>
      <c r="D5" s="10">
        <v>8262</v>
      </c>
      <c r="E5" s="11">
        <v>0.46200000000000002</v>
      </c>
      <c r="F5" s="10">
        <v>1461863</v>
      </c>
      <c r="G5" s="11">
        <v>0.52900000000000003</v>
      </c>
      <c r="H5" s="11">
        <v>0.38900000000000001</v>
      </c>
      <c r="I5" s="10">
        <v>4579290500</v>
      </c>
      <c r="J5" s="12" t="s">
        <v>7421</v>
      </c>
      <c r="K5" s="10">
        <v>568092</v>
      </c>
      <c r="L5" s="12" t="s">
        <v>7422</v>
      </c>
      <c r="M5" s="10">
        <v>4677727500</v>
      </c>
      <c r="N5" s="10">
        <v>577954</v>
      </c>
      <c r="O5" s="12">
        <v>1</v>
      </c>
    </row>
    <row r="6" spans="1:15" ht="15" customHeight="1" x14ac:dyDescent="0.3">
      <c r="A6" s="9">
        <v>43616</v>
      </c>
      <c r="B6" s="10">
        <v>1825</v>
      </c>
      <c r="C6" s="11">
        <v>0.32600000000000001</v>
      </c>
      <c r="D6" s="10">
        <v>8804</v>
      </c>
      <c r="E6" s="11">
        <v>0.48299999999999998</v>
      </c>
      <c r="F6" s="10">
        <v>1553421</v>
      </c>
      <c r="G6" s="11">
        <v>0.55300000000000005</v>
      </c>
      <c r="H6" s="11">
        <v>0.43</v>
      </c>
      <c r="I6" s="10">
        <v>5893310975</v>
      </c>
      <c r="J6" s="12" t="s">
        <v>7423</v>
      </c>
      <c r="K6" s="10">
        <v>667777</v>
      </c>
      <c r="L6" s="12" t="s">
        <v>7424</v>
      </c>
      <c r="M6" s="10">
        <v>10571038475</v>
      </c>
      <c r="N6" s="10">
        <v>1245731</v>
      </c>
      <c r="O6" s="12">
        <v>1</v>
      </c>
    </row>
    <row r="7" spans="1:15" ht="15" customHeight="1" x14ac:dyDescent="0.3">
      <c r="A7" s="9">
        <v>43617</v>
      </c>
      <c r="B7" s="10">
        <v>1926</v>
      </c>
      <c r="C7" s="11">
        <v>0.33200000000000002</v>
      </c>
      <c r="D7" s="10">
        <v>9901</v>
      </c>
      <c r="E7" s="11">
        <v>0.52300000000000002</v>
      </c>
      <c r="F7" s="10">
        <v>1733866</v>
      </c>
      <c r="G7" s="11">
        <v>0.59699999999999998</v>
      </c>
      <c r="H7" s="11">
        <v>0.65</v>
      </c>
      <c r="I7" s="10">
        <v>9907677473</v>
      </c>
      <c r="J7" s="12" t="s">
        <v>7425</v>
      </c>
      <c r="K7" s="10">
        <v>1126526</v>
      </c>
      <c r="L7" s="12" t="s">
        <v>7426</v>
      </c>
      <c r="M7" s="10">
        <v>20478715948</v>
      </c>
      <c r="N7" s="10">
        <v>2372257</v>
      </c>
      <c r="O7" s="12">
        <v>1</v>
      </c>
    </row>
    <row r="8" spans="1:15" ht="15" customHeight="1" x14ac:dyDescent="0.3">
      <c r="A8" s="9">
        <v>43618</v>
      </c>
      <c r="B8" s="10">
        <v>1947</v>
      </c>
      <c r="C8" s="11">
        <v>0.33600000000000002</v>
      </c>
      <c r="D8" s="10">
        <v>9814</v>
      </c>
      <c r="E8" s="11">
        <v>0.53100000000000003</v>
      </c>
      <c r="F8" s="10">
        <v>1718877</v>
      </c>
      <c r="G8" s="11">
        <v>0.60399999999999998</v>
      </c>
      <c r="H8" s="11">
        <v>0.57899999999999996</v>
      </c>
      <c r="I8" s="10">
        <v>8705202270</v>
      </c>
      <c r="J8" s="12" t="s">
        <v>7427</v>
      </c>
      <c r="K8" s="10">
        <v>994458</v>
      </c>
      <c r="L8" s="12" t="s">
        <v>7428</v>
      </c>
      <c r="M8" s="10">
        <v>29183918218</v>
      </c>
      <c r="N8" s="10">
        <v>3366715</v>
      </c>
      <c r="O8" s="12">
        <v>1</v>
      </c>
    </row>
    <row r="9" spans="1:15" ht="15" customHeight="1" x14ac:dyDescent="0.3">
      <c r="A9" s="9">
        <v>43619</v>
      </c>
      <c r="B9" s="10">
        <v>1803</v>
      </c>
      <c r="C9" s="11">
        <v>0.34499999999999997</v>
      </c>
      <c r="D9" s="10">
        <v>9190</v>
      </c>
      <c r="E9" s="11">
        <v>0.52800000000000002</v>
      </c>
      <c r="F9" s="10">
        <v>1617215</v>
      </c>
      <c r="G9" s="11">
        <v>0.59899999999999998</v>
      </c>
      <c r="H9" s="11">
        <v>0.23599999999999999</v>
      </c>
      <c r="I9" s="10">
        <v>3071054430</v>
      </c>
      <c r="J9" s="12" t="s">
        <v>7429</v>
      </c>
      <c r="K9" s="10">
        <v>382438</v>
      </c>
      <c r="L9" s="12" t="s">
        <v>7430</v>
      </c>
      <c r="M9" s="10">
        <v>32254972648</v>
      </c>
      <c r="N9" s="10">
        <v>3749153</v>
      </c>
      <c r="O9" s="12">
        <v>1</v>
      </c>
    </row>
    <row r="10" spans="1:15" ht="15" customHeight="1" x14ac:dyDescent="0.3">
      <c r="A10" s="9">
        <v>43620</v>
      </c>
      <c r="B10" s="10">
        <v>1813</v>
      </c>
      <c r="C10" s="11">
        <v>0.33800000000000002</v>
      </c>
      <c r="D10" s="10">
        <v>9188</v>
      </c>
      <c r="E10" s="11">
        <v>0.52700000000000002</v>
      </c>
      <c r="F10" s="10">
        <v>1609751</v>
      </c>
      <c r="G10" s="11">
        <v>0.59599999999999997</v>
      </c>
      <c r="H10" s="11">
        <v>0.217</v>
      </c>
      <c r="I10" s="10">
        <v>2782094190</v>
      </c>
      <c r="J10" s="12" t="s">
        <v>7431</v>
      </c>
      <c r="K10" s="10">
        <v>348670</v>
      </c>
      <c r="L10" s="12" t="s">
        <v>7432</v>
      </c>
      <c r="M10" s="10">
        <v>35037066838</v>
      </c>
      <c r="N10" s="10">
        <v>4097823</v>
      </c>
      <c r="O10" s="12">
        <v>1</v>
      </c>
    </row>
    <row r="11" spans="1:15" ht="15" customHeight="1" x14ac:dyDescent="0.3">
      <c r="A11" s="9">
        <v>43621</v>
      </c>
      <c r="B11" s="10">
        <v>1699</v>
      </c>
      <c r="C11" s="11">
        <v>0.29699999999999999</v>
      </c>
      <c r="D11" s="10">
        <v>8065</v>
      </c>
      <c r="E11" s="11">
        <v>0.44400000000000001</v>
      </c>
      <c r="F11" s="10">
        <v>1383124</v>
      </c>
      <c r="G11" s="11">
        <v>0.48799999999999999</v>
      </c>
      <c r="H11" s="11">
        <v>0.308</v>
      </c>
      <c r="I11" s="10">
        <v>3435482860</v>
      </c>
      <c r="J11" s="12" t="s">
        <v>7433</v>
      </c>
      <c r="K11" s="10">
        <v>425722</v>
      </c>
      <c r="L11" s="12" t="s">
        <v>7434</v>
      </c>
      <c r="M11" s="10">
        <v>38472549698</v>
      </c>
      <c r="N11" s="10">
        <v>4523545</v>
      </c>
      <c r="O11" s="12">
        <v>1</v>
      </c>
    </row>
    <row r="12" spans="1:15" ht="15" customHeight="1" x14ac:dyDescent="0.3">
      <c r="A12" s="9">
        <v>43622</v>
      </c>
      <c r="B12" s="10">
        <v>1573</v>
      </c>
      <c r="C12" s="11">
        <v>0.26700000000000002</v>
      </c>
      <c r="D12" s="10">
        <v>7972</v>
      </c>
      <c r="E12" s="11">
        <v>0.41</v>
      </c>
      <c r="F12" s="10">
        <v>1389907</v>
      </c>
      <c r="G12" s="11">
        <v>0.46200000000000002</v>
      </c>
      <c r="H12" s="11">
        <v>0.59799999999999998</v>
      </c>
      <c r="I12" s="10">
        <v>7209986290</v>
      </c>
      <c r="J12" s="12" t="s">
        <v>7435</v>
      </c>
      <c r="K12" s="10">
        <v>831558</v>
      </c>
      <c r="L12" s="12" t="s">
        <v>7436</v>
      </c>
      <c r="M12" s="10">
        <v>45682535988</v>
      </c>
      <c r="N12" s="10">
        <v>5355103</v>
      </c>
      <c r="O12" s="12">
        <v>1</v>
      </c>
    </row>
    <row r="13" spans="1:15" ht="15" customHeight="1" x14ac:dyDescent="0.3">
      <c r="A13" s="9">
        <v>43623</v>
      </c>
      <c r="B13" s="10">
        <v>1560</v>
      </c>
      <c r="C13" s="11">
        <v>0.26400000000000001</v>
      </c>
      <c r="D13" s="10">
        <v>7873</v>
      </c>
      <c r="E13" s="11">
        <v>0.40799999999999997</v>
      </c>
      <c r="F13" s="10">
        <v>1369931</v>
      </c>
      <c r="G13" s="11">
        <v>0.45900000000000002</v>
      </c>
      <c r="H13" s="11">
        <v>0.379</v>
      </c>
      <c r="I13" s="10">
        <v>4518603774</v>
      </c>
      <c r="J13" s="12" t="s">
        <v>7437</v>
      </c>
      <c r="K13" s="10">
        <v>519651</v>
      </c>
      <c r="L13" s="12" t="s">
        <v>7438</v>
      </c>
      <c r="M13" s="10">
        <v>50201139762</v>
      </c>
      <c r="N13" s="10">
        <v>5874754</v>
      </c>
      <c r="O13" s="12">
        <v>1</v>
      </c>
    </row>
    <row r="14" spans="1:15" ht="15" customHeight="1" x14ac:dyDescent="0.3">
      <c r="A14" s="9">
        <v>43624</v>
      </c>
      <c r="B14" s="10">
        <v>1578</v>
      </c>
      <c r="C14" s="11">
        <v>0.26400000000000001</v>
      </c>
      <c r="D14" s="10">
        <v>7951</v>
      </c>
      <c r="E14" s="11">
        <v>0.40500000000000003</v>
      </c>
      <c r="F14" s="10">
        <v>1393173</v>
      </c>
      <c r="G14" s="11">
        <v>0.45800000000000002</v>
      </c>
      <c r="H14" s="11">
        <v>0.45800000000000002</v>
      </c>
      <c r="I14" s="10">
        <v>5633441423</v>
      </c>
      <c r="J14" s="12" t="s">
        <v>7439</v>
      </c>
      <c r="K14" s="10">
        <v>637441</v>
      </c>
      <c r="L14" s="12" t="s">
        <v>7440</v>
      </c>
      <c r="M14" s="10">
        <v>55834581185</v>
      </c>
      <c r="N14" s="10">
        <v>6512195</v>
      </c>
      <c r="O14" s="12">
        <v>1</v>
      </c>
    </row>
    <row r="15" spans="1:15" ht="15" customHeight="1" x14ac:dyDescent="0.3">
      <c r="A15" s="9">
        <v>43625</v>
      </c>
      <c r="B15" s="10">
        <v>1576</v>
      </c>
      <c r="C15" s="11">
        <v>0.26700000000000002</v>
      </c>
      <c r="D15" s="10">
        <v>7729</v>
      </c>
      <c r="E15" s="11">
        <v>0.40600000000000003</v>
      </c>
      <c r="F15" s="10">
        <v>1354470</v>
      </c>
      <c r="G15" s="11">
        <v>0.45800000000000002</v>
      </c>
      <c r="H15" s="11">
        <v>0.376</v>
      </c>
      <c r="I15" s="10">
        <v>4499725560</v>
      </c>
      <c r="J15" s="12" t="s">
        <v>7441</v>
      </c>
      <c r="K15" s="10">
        <v>509012</v>
      </c>
      <c r="L15" s="12" t="s">
        <v>7442</v>
      </c>
      <c r="M15" s="10">
        <v>60334306745</v>
      </c>
      <c r="N15" s="10">
        <v>7021207</v>
      </c>
      <c r="O15" s="12">
        <v>1</v>
      </c>
    </row>
    <row r="16" spans="1:15" ht="15" customHeight="1" x14ac:dyDescent="0.3">
      <c r="A16" s="9">
        <v>43626</v>
      </c>
      <c r="B16" s="10">
        <v>1459</v>
      </c>
      <c r="C16" s="11">
        <v>0.28599999999999998</v>
      </c>
      <c r="D16" s="10">
        <v>7280</v>
      </c>
      <c r="E16" s="11">
        <v>0.41799999999999998</v>
      </c>
      <c r="F16" s="10">
        <v>1265691</v>
      </c>
      <c r="G16" s="11">
        <v>0.46800000000000003</v>
      </c>
      <c r="H16" s="11">
        <v>0.154</v>
      </c>
      <c r="I16" s="10">
        <v>1559864780</v>
      </c>
      <c r="J16" s="12" t="s">
        <v>7443</v>
      </c>
      <c r="K16" s="10">
        <v>194612</v>
      </c>
      <c r="L16" s="12" t="s">
        <v>7444</v>
      </c>
      <c r="M16" s="10">
        <v>61894171525</v>
      </c>
      <c r="N16" s="10">
        <v>7215819</v>
      </c>
      <c r="O16" s="12">
        <v>1</v>
      </c>
    </row>
    <row r="17" spans="1:15" ht="15" customHeight="1" x14ac:dyDescent="0.3">
      <c r="A17" s="9">
        <v>43627</v>
      </c>
      <c r="B17" s="10">
        <v>1459</v>
      </c>
      <c r="C17" s="11">
        <v>0.28299999999999997</v>
      </c>
      <c r="D17" s="10">
        <v>7244</v>
      </c>
      <c r="E17" s="11">
        <v>0.41799999999999998</v>
      </c>
      <c r="F17" s="10">
        <v>1258933</v>
      </c>
      <c r="G17" s="11">
        <v>0.46700000000000003</v>
      </c>
      <c r="H17" s="11">
        <v>0.125</v>
      </c>
      <c r="I17" s="10">
        <v>1259845800</v>
      </c>
      <c r="J17" s="12" t="s">
        <v>7445</v>
      </c>
      <c r="K17" s="10">
        <v>157727</v>
      </c>
      <c r="L17" s="12" t="s">
        <v>7446</v>
      </c>
      <c r="M17" s="10">
        <v>63154017325</v>
      </c>
      <c r="N17" s="10">
        <v>7373546</v>
      </c>
      <c r="O17" s="12">
        <v>1</v>
      </c>
    </row>
    <row r="18" spans="1:15" ht="15" customHeight="1" x14ac:dyDescent="0.3">
      <c r="A18" s="9">
        <v>43628</v>
      </c>
      <c r="B18" s="10">
        <v>1217</v>
      </c>
      <c r="C18" s="11">
        <v>0.24299999999999999</v>
      </c>
      <c r="D18" s="10">
        <v>5604</v>
      </c>
      <c r="E18" s="11">
        <v>0.313</v>
      </c>
      <c r="F18" s="10">
        <v>900847</v>
      </c>
      <c r="G18" s="11">
        <v>0.32200000000000001</v>
      </c>
      <c r="H18" s="11">
        <v>0.16200000000000001</v>
      </c>
      <c r="I18" s="10">
        <v>1172366590</v>
      </c>
      <c r="J18" s="12" t="s">
        <v>7447</v>
      </c>
      <c r="K18" s="10">
        <v>146216</v>
      </c>
      <c r="L18" s="12" t="s">
        <v>7448</v>
      </c>
      <c r="M18" s="10">
        <v>64326383915</v>
      </c>
      <c r="N18" s="10">
        <v>7519762</v>
      </c>
      <c r="O18" s="12">
        <v>1</v>
      </c>
    </row>
    <row r="19" spans="1:15" ht="15" customHeight="1" x14ac:dyDescent="0.3">
      <c r="A19" s="9">
        <v>43629</v>
      </c>
      <c r="B19" s="10">
        <v>1169</v>
      </c>
      <c r="C19" s="11">
        <v>0.216</v>
      </c>
      <c r="D19" s="10">
        <v>5207</v>
      </c>
      <c r="E19" s="11">
        <v>0.29199999999999998</v>
      </c>
      <c r="F19" s="10">
        <v>850429</v>
      </c>
      <c r="G19" s="11">
        <v>0.30599999999999999</v>
      </c>
      <c r="H19" s="11">
        <v>0.16</v>
      </c>
      <c r="I19" s="10">
        <v>1092831770</v>
      </c>
      <c r="J19" s="12" t="s">
        <v>7449</v>
      </c>
      <c r="K19" s="10">
        <v>136175</v>
      </c>
      <c r="L19" s="12" t="s">
        <v>7450</v>
      </c>
      <c r="M19" s="10">
        <v>65419215685</v>
      </c>
      <c r="N19" s="10">
        <v>7655937</v>
      </c>
      <c r="O19" s="12">
        <v>1</v>
      </c>
    </row>
    <row r="20" spans="1:15" ht="15" customHeight="1" x14ac:dyDescent="0.3">
      <c r="A20" s="9">
        <v>43630</v>
      </c>
      <c r="B20" s="10">
        <v>1193</v>
      </c>
      <c r="C20" s="11">
        <v>0.21299999999999999</v>
      </c>
      <c r="D20" s="10">
        <v>5391</v>
      </c>
      <c r="E20" s="11">
        <v>0.29399999999999998</v>
      </c>
      <c r="F20" s="10">
        <v>887963</v>
      </c>
      <c r="G20" s="11">
        <v>0.312</v>
      </c>
      <c r="H20" s="11">
        <v>0.189</v>
      </c>
      <c r="I20" s="10">
        <v>1485363220</v>
      </c>
      <c r="J20" s="12" t="s">
        <v>7451</v>
      </c>
      <c r="K20" s="10">
        <v>168160</v>
      </c>
      <c r="L20" s="12" t="s">
        <v>7452</v>
      </c>
      <c r="M20" s="10">
        <v>66904578905</v>
      </c>
      <c r="N20" s="10">
        <v>7824097</v>
      </c>
      <c r="O20" s="12">
        <v>1</v>
      </c>
    </row>
    <row r="21" spans="1:15" ht="15" customHeight="1" x14ac:dyDescent="0.3">
      <c r="A21" s="9">
        <v>43631</v>
      </c>
      <c r="B21" s="10">
        <v>1205</v>
      </c>
      <c r="C21" s="11">
        <v>0.19900000000000001</v>
      </c>
      <c r="D21" s="10">
        <v>5401</v>
      </c>
      <c r="E21" s="11">
        <v>0.28399999999999997</v>
      </c>
      <c r="F21" s="10">
        <v>895048</v>
      </c>
      <c r="G21" s="11">
        <v>0.30499999999999999</v>
      </c>
      <c r="H21" s="11">
        <v>0.312</v>
      </c>
      <c r="I21" s="10">
        <v>2489895460</v>
      </c>
      <c r="J21" s="12" t="s">
        <v>7453</v>
      </c>
      <c r="K21" s="10">
        <v>278966</v>
      </c>
      <c r="L21" s="12" t="s">
        <v>7454</v>
      </c>
      <c r="M21" s="10">
        <v>69394474365</v>
      </c>
      <c r="N21" s="10">
        <v>8103063</v>
      </c>
      <c r="O21" s="12">
        <v>2</v>
      </c>
    </row>
    <row r="22" spans="1:15" ht="15" customHeight="1" x14ac:dyDescent="0.3">
      <c r="A22" s="9">
        <v>43632</v>
      </c>
      <c r="B22" s="10">
        <v>1193</v>
      </c>
      <c r="C22" s="11">
        <v>0.19800000000000001</v>
      </c>
      <c r="D22" s="10">
        <v>5291</v>
      </c>
      <c r="E22" s="11">
        <v>0.28199999999999997</v>
      </c>
      <c r="F22" s="10">
        <v>884114</v>
      </c>
      <c r="G22" s="11">
        <v>0.30499999999999999</v>
      </c>
      <c r="H22" s="11">
        <v>0.27300000000000002</v>
      </c>
      <c r="I22" s="10">
        <v>2175098880</v>
      </c>
      <c r="J22" s="12" t="s">
        <v>7455</v>
      </c>
      <c r="K22" s="10">
        <v>241559</v>
      </c>
      <c r="L22" s="12" t="s">
        <v>7456</v>
      </c>
      <c r="M22" s="10">
        <v>71569573245</v>
      </c>
      <c r="N22" s="10">
        <v>8344622</v>
      </c>
      <c r="O22" s="12">
        <v>2</v>
      </c>
    </row>
    <row r="23" spans="1:15" ht="15" customHeight="1" x14ac:dyDescent="0.3">
      <c r="A23" s="9">
        <v>43633</v>
      </c>
      <c r="B23" s="10">
        <v>1134</v>
      </c>
      <c r="C23" s="11">
        <v>0.216</v>
      </c>
      <c r="D23" s="10">
        <v>5233</v>
      </c>
      <c r="E23" s="11">
        <v>0.30099999999999999</v>
      </c>
      <c r="F23" s="10">
        <v>868305</v>
      </c>
      <c r="G23" s="11">
        <v>0.32100000000000001</v>
      </c>
      <c r="H23" s="11">
        <v>0.121</v>
      </c>
      <c r="I23" s="10">
        <v>847818300</v>
      </c>
      <c r="J23" s="12" t="s">
        <v>7457</v>
      </c>
      <c r="K23" s="10">
        <v>105168</v>
      </c>
      <c r="L23" s="12" t="s">
        <v>7458</v>
      </c>
      <c r="M23" s="10">
        <v>72417391545</v>
      </c>
      <c r="N23" s="10">
        <v>8449790</v>
      </c>
      <c r="O23" s="12">
        <v>2</v>
      </c>
    </row>
    <row r="24" spans="1:15" ht="15" customHeight="1" x14ac:dyDescent="0.3">
      <c r="A24" s="9">
        <v>43634</v>
      </c>
      <c r="B24" s="10">
        <v>1156</v>
      </c>
      <c r="C24" s="11">
        <v>0.21299999999999999</v>
      </c>
      <c r="D24" s="10">
        <v>5210</v>
      </c>
      <c r="E24" s="11">
        <v>0.30099999999999999</v>
      </c>
      <c r="F24" s="10">
        <v>861187</v>
      </c>
      <c r="G24" s="11">
        <v>0.31900000000000001</v>
      </c>
      <c r="H24" s="11">
        <v>0.11700000000000001</v>
      </c>
      <c r="I24" s="10">
        <v>803985670</v>
      </c>
      <c r="J24" s="12" t="s">
        <v>7459</v>
      </c>
      <c r="K24" s="10">
        <v>100673</v>
      </c>
      <c r="L24" s="12" t="s">
        <v>7460</v>
      </c>
      <c r="M24" s="10">
        <v>73221377215</v>
      </c>
      <c r="N24" s="10">
        <v>8550463</v>
      </c>
      <c r="O24" s="12">
        <v>2</v>
      </c>
    </row>
    <row r="25" spans="1:15" ht="15" customHeight="1" x14ac:dyDescent="0.3">
      <c r="A25" s="9">
        <v>43635</v>
      </c>
      <c r="B25" s="12">
        <v>968</v>
      </c>
      <c r="C25" s="11">
        <v>0.19</v>
      </c>
      <c r="D25" s="10">
        <v>4156</v>
      </c>
      <c r="E25" s="11">
        <v>0.23400000000000001</v>
      </c>
      <c r="F25" s="10">
        <v>639668</v>
      </c>
      <c r="G25" s="11">
        <v>0.23200000000000001</v>
      </c>
      <c r="H25" s="11">
        <v>0.14399999999999999</v>
      </c>
      <c r="I25" s="10">
        <v>742452980</v>
      </c>
      <c r="J25" s="12" t="s">
        <v>7461</v>
      </c>
      <c r="K25" s="10">
        <v>92154</v>
      </c>
      <c r="L25" s="12" t="s">
        <v>7462</v>
      </c>
      <c r="M25" s="10">
        <v>73963830195</v>
      </c>
      <c r="N25" s="10">
        <v>8642617</v>
      </c>
      <c r="O25" s="12">
        <v>3</v>
      </c>
    </row>
    <row r="26" spans="1:15" ht="15" customHeight="1" x14ac:dyDescent="0.3">
      <c r="A26" s="9">
        <v>43636</v>
      </c>
      <c r="B26" s="12">
        <v>746</v>
      </c>
      <c r="C26" s="11">
        <v>0.13200000000000001</v>
      </c>
      <c r="D26" s="10">
        <v>2775</v>
      </c>
      <c r="E26" s="11">
        <v>0.14699999999999999</v>
      </c>
      <c r="F26" s="10">
        <v>406734</v>
      </c>
      <c r="G26" s="11">
        <v>0.13800000000000001</v>
      </c>
      <c r="H26" s="11">
        <v>0.19500000000000001</v>
      </c>
      <c r="I26" s="10">
        <v>641321230</v>
      </c>
      <c r="J26" s="12" t="s">
        <v>7463</v>
      </c>
      <c r="K26" s="10">
        <v>79270</v>
      </c>
      <c r="L26" s="12" t="s">
        <v>7464</v>
      </c>
      <c r="M26" s="10">
        <v>74605151425</v>
      </c>
      <c r="N26" s="10">
        <v>8721887</v>
      </c>
      <c r="O26" s="12">
        <v>4</v>
      </c>
    </row>
    <row r="27" spans="1:15" ht="15" customHeight="1" x14ac:dyDescent="0.3">
      <c r="A27" s="9">
        <v>43637</v>
      </c>
      <c r="B27" s="12">
        <v>782</v>
      </c>
      <c r="C27" s="11">
        <v>0.13500000000000001</v>
      </c>
      <c r="D27" s="10">
        <v>2868</v>
      </c>
      <c r="E27" s="11">
        <v>0.14899999999999999</v>
      </c>
      <c r="F27" s="10">
        <v>411409</v>
      </c>
      <c r="G27" s="11">
        <v>0.13700000000000001</v>
      </c>
      <c r="H27" s="11">
        <v>0.22800000000000001</v>
      </c>
      <c r="I27" s="10">
        <v>838032830</v>
      </c>
      <c r="J27" s="12" t="s">
        <v>7465</v>
      </c>
      <c r="K27" s="10">
        <v>93984</v>
      </c>
      <c r="L27" s="12" t="s">
        <v>7466</v>
      </c>
      <c r="M27" s="10">
        <v>75443184255</v>
      </c>
      <c r="N27" s="10">
        <v>8815871</v>
      </c>
      <c r="O27" s="12">
        <v>4</v>
      </c>
    </row>
    <row r="28" spans="1:15" ht="15" customHeight="1" x14ac:dyDescent="0.3">
      <c r="A28" s="9">
        <v>43638</v>
      </c>
      <c r="B28" s="12">
        <v>750</v>
      </c>
      <c r="C28" s="11">
        <v>0.11700000000000001</v>
      </c>
      <c r="D28" s="10">
        <v>2450</v>
      </c>
      <c r="E28" s="11">
        <v>0.122</v>
      </c>
      <c r="F28" s="10">
        <v>330312</v>
      </c>
      <c r="G28" s="11">
        <v>0.105</v>
      </c>
      <c r="H28" s="11">
        <v>0.442</v>
      </c>
      <c r="I28" s="10">
        <v>1304608130</v>
      </c>
      <c r="J28" s="12" t="s">
        <v>7467</v>
      </c>
      <c r="K28" s="10">
        <v>145844</v>
      </c>
      <c r="L28" s="12" t="s">
        <v>7468</v>
      </c>
      <c r="M28" s="10">
        <v>76747792385</v>
      </c>
      <c r="N28" s="10">
        <v>8961715</v>
      </c>
      <c r="O28" s="12">
        <v>4</v>
      </c>
    </row>
    <row r="29" spans="1:15" ht="15" customHeight="1" x14ac:dyDescent="0.3">
      <c r="A29" s="9">
        <v>43639</v>
      </c>
      <c r="B29" s="12">
        <v>768</v>
      </c>
      <c r="C29" s="11">
        <v>0.11899999999999999</v>
      </c>
      <c r="D29" s="10">
        <v>2384</v>
      </c>
      <c r="E29" s="11">
        <v>0.121</v>
      </c>
      <c r="F29" s="10">
        <v>323841</v>
      </c>
      <c r="G29" s="11">
        <v>0.106</v>
      </c>
      <c r="H29" s="11">
        <v>0.41099999999999998</v>
      </c>
      <c r="I29" s="10">
        <v>1193729940</v>
      </c>
      <c r="J29" s="12" t="s">
        <v>7469</v>
      </c>
      <c r="K29" s="10">
        <v>133249</v>
      </c>
      <c r="L29" s="12" t="s">
        <v>7470</v>
      </c>
      <c r="M29" s="10">
        <v>77941522325</v>
      </c>
      <c r="N29" s="10">
        <v>9094964</v>
      </c>
      <c r="O29" s="12">
        <v>4</v>
      </c>
    </row>
    <row r="30" spans="1:15" ht="15" customHeight="1" x14ac:dyDescent="0.3">
      <c r="A30" s="9">
        <v>43640</v>
      </c>
      <c r="B30" s="12">
        <v>710</v>
      </c>
      <c r="C30" s="11">
        <v>0.13</v>
      </c>
      <c r="D30" s="10">
        <v>2682</v>
      </c>
      <c r="E30" s="11">
        <v>0.14599999999999999</v>
      </c>
      <c r="F30" s="10">
        <v>364564</v>
      </c>
      <c r="G30" s="11">
        <v>0.126</v>
      </c>
      <c r="H30" s="11">
        <v>0.193</v>
      </c>
      <c r="I30" s="10">
        <v>564327520</v>
      </c>
      <c r="J30" s="12" t="s">
        <v>7471</v>
      </c>
      <c r="K30" s="10">
        <v>70449</v>
      </c>
      <c r="L30" s="12" t="s">
        <v>7472</v>
      </c>
      <c r="M30" s="10">
        <v>78505849845</v>
      </c>
      <c r="N30" s="10">
        <v>9165413</v>
      </c>
      <c r="O30" s="12">
        <v>3</v>
      </c>
    </row>
    <row r="31" spans="1:15" ht="15" customHeight="1" x14ac:dyDescent="0.3">
      <c r="A31" s="9">
        <v>43641</v>
      </c>
      <c r="B31" s="12">
        <v>733</v>
      </c>
      <c r="C31" s="11">
        <v>0.13100000000000001</v>
      </c>
      <c r="D31" s="10">
        <v>2691</v>
      </c>
      <c r="E31" s="11">
        <v>0.14599999999999999</v>
      </c>
      <c r="F31" s="10">
        <v>366731</v>
      </c>
      <c r="G31" s="11">
        <v>0.127</v>
      </c>
      <c r="H31" s="11">
        <v>0.17899999999999999</v>
      </c>
      <c r="I31" s="10">
        <v>519563910</v>
      </c>
      <c r="J31" s="12" t="s">
        <v>7473</v>
      </c>
      <c r="K31" s="10">
        <v>65725</v>
      </c>
      <c r="L31" s="12" t="s">
        <v>7474</v>
      </c>
      <c r="M31" s="10">
        <v>79025413755</v>
      </c>
      <c r="N31" s="10">
        <v>9231138</v>
      </c>
      <c r="O31" s="12">
        <v>3</v>
      </c>
    </row>
    <row r="32" spans="1:15" ht="15" customHeight="1" x14ac:dyDescent="0.3">
      <c r="A32" s="9">
        <v>43642</v>
      </c>
      <c r="B32" s="12">
        <v>604</v>
      </c>
      <c r="C32" s="11">
        <v>9.4E-2</v>
      </c>
      <c r="D32" s="10">
        <v>1441</v>
      </c>
      <c r="E32" s="11">
        <v>7.6999999999999999E-2</v>
      </c>
      <c r="F32" s="10">
        <v>187505</v>
      </c>
      <c r="G32" s="11">
        <v>6.5000000000000002E-2</v>
      </c>
      <c r="H32" s="11">
        <v>0.38100000000000001</v>
      </c>
      <c r="I32" s="10">
        <v>444699590</v>
      </c>
      <c r="J32" s="12" t="s">
        <v>7475</v>
      </c>
      <c r="K32" s="10">
        <v>71362</v>
      </c>
      <c r="L32" s="12" t="s">
        <v>7476</v>
      </c>
      <c r="M32" s="10">
        <v>79470113345</v>
      </c>
      <c r="N32" s="10">
        <v>9302500</v>
      </c>
      <c r="O32" s="12">
        <v>5</v>
      </c>
    </row>
    <row r="33" spans="1:15" ht="15" customHeight="1" x14ac:dyDescent="0.3">
      <c r="A33" s="9">
        <v>43643</v>
      </c>
      <c r="B33" s="12">
        <v>568</v>
      </c>
      <c r="C33" s="11">
        <v>9.4E-2</v>
      </c>
      <c r="D33" s="10">
        <v>1508</v>
      </c>
      <c r="E33" s="11">
        <v>8.1000000000000003E-2</v>
      </c>
      <c r="F33" s="10">
        <v>195877</v>
      </c>
      <c r="G33" s="11">
        <v>6.8000000000000005E-2</v>
      </c>
      <c r="H33" s="11">
        <v>0.23699999999999999</v>
      </c>
      <c r="I33" s="10">
        <v>364915300</v>
      </c>
      <c r="J33" s="12" t="s">
        <v>7477</v>
      </c>
      <c r="K33" s="10">
        <v>46463</v>
      </c>
      <c r="L33" s="12" t="s">
        <v>7478</v>
      </c>
      <c r="M33" s="10">
        <v>79835028645</v>
      </c>
      <c r="N33" s="10">
        <v>9348963</v>
      </c>
      <c r="O33" s="12">
        <v>4</v>
      </c>
    </row>
    <row r="34" spans="1:15" ht="15" customHeight="1" x14ac:dyDescent="0.3">
      <c r="A34" s="9">
        <v>43644</v>
      </c>
      <c r="B34" s="12">
        <v>613</v>
      </c>
      <c r="C34" s="11">
        <v>0.1</v>
      </c>
      <c r="D34" s="10">
        <v>1656</v>
      </c>
      <c r="E34" s="11">
        <v>8.7999999999999995E-2</v>
      </c>
      <c r="F34" s="10">
        <v>216882</v>
      </c>
      <c r="G34" s="11">
        <v>7.3999999999999996E-2</v>
      </c>
      <c r="H34" s="11">
        <v>0.23200000000000001</v>
      </c>
      <c r="I34" s="10">
        <v>440692590</v>
      </c>
      <c r="J34" s="12" t="s">
        <v>7479</v>
      </c>
      <c r="K34" s="10">
        <v>50331</v>
      </c>
      <c r="L34" s="12" t="s">
        <v>7480</v>
      </c>
      <c r="M34" s="10">
        <v>80275721235</v>
      </c>
      <c r="N34" s="10">
        <v>9399294</v>
      </c>
      <c r="O34" s="12">
        <v>4</v>
      </c>
    </row>
    <row r="35" spans="1:15" ht="15" customHeight="1" x14ac:dyDescent="0.3">
      <c r="A35" s="9">
        <v>43645</v>
      </c>
      <c r="B35" s="12">
        <v>641</v>
      </c>
      <c r="C35" s="11">
        <v>9.5000000000000001E-2</v>
      </c>
      <c r="D35" s="10">
        <v>1586</v>
      </c>
      <c r="E35" s="11">
        <v>0.08</v>
      </c>
      <c r="F35" s="10">
        <v>206860</v>
      </c>
      <c r="G35" s="11">
        <v>6.8000000000000005E-2</v>
      </c>
      <c r="H35" s="11">
        <v>0.439</v>
      </c>
      <c r="I35" s="10">
        <v>808902330</v>
      </c>
      <c r="J35" s="12" t="s">
        <v>7481</v>
      </c>
      <c r="K35" s="10">
        <v>90762</v>
      </c>
      <c r="L35" s="12" t="s">
        <v>7482</v>
      </c>
      <c r="M35" s="10">
        <v>81084623565</v>
      </c>
      <c r="N35" s="10">
        <v>9490056</v>
      </c>
      <c r="O35" s="12">
        <v>4</v>
      </c>
    </row>
    <row r="36" spans="1:15" ht="15" customHeight="1" x14ac:dyDescent="0.3">
      <c r="A36" s="9">
        <v>43646</v>
      </c>
      <c r="B36" s="12">
        <v>649</v>
      </c>
      <c r="C36" s="11">
        <v>9.7000000000000003E-2</v>
      </c>
      <c r="D36" s="10">
        <v>1597</v>
      </c>
      <c r="E36" s="11">
        <v>8.2000000000000003E-2</v>
      </c>
      <c r="F36" s="10">
        <v>209202</v>
      </c>
      <c r="G36" s="11">
        <v>7.0000000000000007E-2</v>
      </c>
      <c r="H36" s="11">
        <v>0.41299999999999998</v>
      </c>
      <c r="I36" s="10">
        <v>762933620</v>
      </c>
      <c r="J36" s="12" t="s">
        <v>7483</v>
      </c>
      <c r="K36" s="10">
        <v>86457</v>
      </c>
      <c r="L36" s="12" t="s">
        <v>7484</v>
      </c>
      <c r="M36" s="10">
        <v>81847557185</v>
      </c>
      <c r="N36" s="10">
        <v>9576513</v>
      </c>
      <c r="O36" s="12">
        <v>4</v>
      </c>
    </row>
    <row r="37" spans="1:15" ht="15" customHeight="1" x14ac:dyDescent="0.3">
      <c r="A37" s="9">
        <v>43647</v>
      </c>
      <c r="B37" s="12">
        <v>624</v>
      </c>
      <c r="C37" s="11">
        <v>9.4E-2</v>
      </c>
      <c r="D37" s="10">
        <v>1773</v>
      </c>
      <c r="E37" s="11">
        <v>9.5000000000000001E-2</v>
      </c>
      <c r="F37" s="10">
        <v>234959</v>
      </c>
      <c r="G37" s="11">
        <v>8.1000000000000003E-2</v>
      </c>
      <c r="H37" s="11">
        <v>0.17199999999999999</v>
      </c>
      <c r="I37" s="10">
        <v>324798040</v>
      </c>
      <c r="J37" s="12" t="s">
        <v>7485</v>
      </c>
      <c r="K37" s="10">
        <v>40505</v>
      </c>
      <c r="L37" s="12" t="s">
        <v>7486</v>
      </c>
      <c r="M37" s="10">
        <v>82172355225</v>
      </c>
      <c r="N37" s="10">
        <v>9617018</v>
      </c>
      <c r="O37" s="12">
        <v>5</v>
      </c>
    </row>
    <row r="38" spans="1:15" ht="15" customHeight="1" x14ac:dyDescent="0.3">
      <c r="A38" s="9">
        <v>43648</v>
      </c>
      <c r="B38" s="12">
        <v>446</v>
      </c>
      <c r="C38" s="11">
        <v>7.5999999999999998E-2</v>
      </c>
      <c r="D38" s="12">
        <v>912</v>
      </c>
      <c r="E38" s="11">
        <v>4.9000000000000002E-2</v>
      </c>
      <c r="F38" s="10">
        <v>107344</v>
      </c>
      <c r="G38" s="11">
        <v>3.6999999999999998E-2</v>
      </c>
      <c r="H38" s="11">
        <v>0.215</v>
      </c>
      <c r="I38" s="10">
        <v>183117730</v>
      </c>
      <c r="J38" s="12" t="s">
        <v>7487</v>
      </c>
      <c r="K38" s="10">
        <v>23038</v>
      </c>
      <c r="L38" s="12" t="s">
        <v>7488</v>
      </c>
      <c r="M38" s="10">
        <v>82355472955</v>
      </c>
      <c r="N38" s="10">
        <v>9640056</v>
      </c>
      <c r="O38" s="12">
        <v>4</v>
      </c>
    </row>
    <row r="39" spans="1:15" ht="15" customHeight="1" x14ac:dyDescent="0.3">
      <c r="A39" s="9">
        <v>43649</v>
      </c>
      <c r="B39" s="12">
        <v>464</v>
      </c>
      <c r="C39" s="11">
        <v>8.4000000000000005E-2</v>
      </c>
      <c r="D39" s="12">
        <v>972</v>
      </c>
      <c r="E39" s="11">
        <v>5.1999999999999998E-2</v>
      </c>
      <c r="F39" s="10">
        <v>113935</v>
      </c>
      <c r="G39" s="11">
        <v>0.04</v>
      </c>
      <c r="H39" s="11">
        <v>0.19600000000000001</v>
      </c>
      <c r="I39" s="10">
        <v>178241150</v>
      </c>
      <c r="J39" s="12" t="s">
        <v>7489</v>
      </c>
      <c r="K39" s="10">
        <v>22294</v>
      </c>
      <c r="L39" s="12" t="s">
        <v>7490</v>
      </c>
      <c r="M39" s="10">
        <v>82533714105</v>
      </c>
      <c r="N39" s="10">
        <v>9662350</v>
      </c>
      <c r="O39" s="12">
        <v>4</v>
      </c>
    </row>
    <row r="40" spans="1:15" ht="15" customHeight="1" x14ac:dyDescent="0.3">
      <c r="A40" s="9">
        <v>43650</v>
      </c>
      <c r="B40" s="12">
        <v>464</v>
      </c>
      <c r="C40" s="11">
        <v>8.2000000000000003E-2</v>
      </c>
      <c r="D40" s="12">
        <v>962</v>
      </c>
      <c r="E40" s="11">
        <v>5.1999999999999998E-2</v>
      </c>
      <c r="F40" s="10">
        <v>113923</v>
      </c>
      <c r="G40" s="11">
        <v>0.04</v>
      </c>
      <c r="H40" s="11">
        <v>0.19400000000000001</v>
      </c>
      <c r="I40" s="10">
        <v>176004620</v>
      </c>
      <c r="J40" s="12" t="s">
        <v>7491</v>
      </c>
      <c r="K40" s="10">
        <v>22078</v>
      </c>
      <c r="L40" s="12" t="s">
        <v>7492</v>
      </c>
      <c r="M40" s="10">
        <v>82709718725</v>
      </c>
      <c r="N40" s="10">
        <v>9684428</v>
      </c>
      <c r="O40" s="12">
        <v>4</v>
      </c>
    </row>
    <row r="41" spans="1:15" ht="15" customHeight="1" x14ac:dyDescent="0.3">
      <c r="A41" s="9">
        <v>43651</v>
      </c>
      <c r="B41" s="12">
        <v>471</v>
      </c>
      <c r="C41" s="11">
        <v>8.2000000000000003E-2</v>
      </c>
      <c r="D41" s="12">
        <v>945</v>
      </c>
      <c r="E41" s="11">
        <v>0.05</v>
      </c>
      <c r="F41" s="10">
        <v>110977</v>
      </c>
      <c r="G41" s="11">
        <v>3.7999999999999999E-2</v>
      </c>
      <c r="H41" s="11">
        <v>0.223</v>
      </c>
      <c r="I41" s="10">
        <v>218156710</v>
      </c>
      <c r="J41" s="12" t="s">
        <v>7493</v>
      </c>
      <c r="K41" s="10">
        <v>24797</v>
      </c>
      <c r="L41" s="12" t="s">
        <v>7494</v>
      </c>
      <c r="M41" s="10">
        <v>82927875435</v>
      </c>
      <c r="N41" s="10">
        <v>9709225</v>
      </c>
      <c r="O41" s="12">
        <v>4</v>
      </c>
    </row>
    <row r="42" spans="1:15" ht="15" customHeight="1" x14ac:dyDescent="0.3">
      <c r="A42" s="9">
        <v>43652</v>
      </c>
      <c r="B42" s="12">
        <v>410</v>
      </c>
      <c r="C42" s="11">
        <v>7.0000000000000007E-2</v>
      </c>
      <c r="D42" s="12">
        <v>762</v>
      </c>
      <c r="E42" s="11">
        <v>3.9E-2</v>
      </c>
      <c r="F42" s="10">
        <v>87060</v>
      </c>
      <c r="G42" s="11">
        <v>2.9000000000000001E-2</v>
      </c>
      <c r="H42" s="11">
        <v>0.39800000000000002</v>
      </c>
      <c r="I42" s="10">
        <v>308185560</v>
      </c>
      <c r="J42" s="12" t="s">
        <v>7495</v>
      </c>
      <c r="K42" s="10">
        <v>34674</v>
      </c>
      <c r="L42" s="12" t="s">
        <v>7496</v>
      </c>
      <c r="M42" s="10">
        <v>83236060995</v>
      </c>
      <c r="N42" s="10">
        <v>9743899</v>
      </c>
      <c r="O42" s="12">
        <v>4</v>
      </c>
    </row>
    <row r="43" spans="1:15" ht="15" customHeight="1" x14ac:dyDescent="0.3">
      <c r="A43" s="9">
        <v>43653</v>
      </c>
      <c r="B43" s="12">
        <v>416</v>
      </c>
      <c r="C43" s="11">
        <v>7.0000000000000007E-2</v>
      </c>
      <c r="D43" s="12">
        <v>749</v>
      </c>
      <c r="E43" s="11">
        <v>3.9E-2</v>
      </c>
      <c r="F43" s="10">
        <v>86291</v>
      </c>
      <c r="G43" s="11">
        <v>2.9000000000000001E-2</v>
      </c>
      <c r="H43" s="11">
        <v>0.35199999999999998</v>
      </c>
      <c r="I43" s="10">
        <v>268342490</v>
      </c>
      <c r="J43" s="12" t="s">
        <v>7497</v>
      </c>
      <c r="K43" s="10">
        <v>30407</v>
      </c>
      <c r="L43" s="12" t="s">
        <v>7498</v>
      </c>
      <c r="M43" s="10">
        <v>83504403485</v>
      </c>
      <c r="N43" s="10">
        <v>9774306</v>
      </c>
      <c r="O43" s="12">
        <v>4</v>
      </c>
    </row>
    <row r="44" spans="1:15" ht="15" customHeight="1" x14ac:dyDescent="0.3">
      <c r="A44" s="9">
        <v>43654</v>
      </c>
      <c r="B44" s="12">
        <v>476</v>
      </c>
      <c r="C44" s="11">
        <v>8.6999999999999994E-2</v>
      </c>
      <c r="D44" s="10">
        <v>1103</v>
      </c>
      <c r="E44" s="11">
        <v>6.0999999999999999E-2</v>
      </c>
      <c r="F44" s="10">
        <v>134050</v>
      </c>
      <c r="G44" s="11">
        <v>4.8000000000000001E-2</v>
      </c>
      <c r="H44" s="11">
        <v>0.17100000000000001</v>
      </c>
      <c r="I44" s="10">
        <v>169764490</v>
      </c>
      <c r="J44" s="12" t="s">
        <v>7499</v>
      </c>
      <c r="K44" s="10">
        <v>22941</v>
      </c>
      <c r="L44" s="12" t="s">
        <v>7500</v>
      </c>
      <c r="M44" s="10">
        <v>83674167975</v>
      </c>
      <c r="N44" s="10">
        <v>9797247</v>
      </c>
      <c r="O44" s="12">
        <v>4</v>
      </c>
    </row>
    <row r="45" spans="1:15" ht="15" customHeight="1" x14ac:dyDescent="0.3">
      <c r="A45" s="9">
        <v>43655</v>
      </c>
      <c r="B45" s="12">
        <v>488</v>
      </c>
      <c r="C45" s="11">
        <v>8.5999999999999993E-2</v>
      </c>
      <c r="D45" s="10">
        <v>1084</v>
      </c>
      <c r="E45" s="11">
        <v>0.06</v>
      </c>
      <c r="F45" s="10">
        <v>132854</v>
      </c>
      <c r="G45" s="11">
        <v>4.7E-2</v>
      </c>
      <c r="H45" s="11">
        <v>0.17499999999999999</v>
      </c>
      <c r="I45" s="10">
        <v>172171870</v>
      </c>
      <c r="J45" s="12" t="s">
        <v>7501</v>
      </c>
      <c r="K45" s="10">
        <v>23287</v>
      </c>
      <c r="L45" s="12" t="s">
        <v>7502</v>
      </c>
      <c r="M45" s="10">
        <v>83846339845</v>
      </c>
      <c r="N45" s="10">
        <v>9820534</v>
      </c>
      <c r="O45" s="12">
        <v>4</v>
      </c>
    </row>
    <row r="46" spans="1:15" ht="15" customHeight="1" x14ac:dyDescent="0.3">
      <c r="A46" s="9">
        <v>43656</v>
      </c>
      <c r="B46" s="12">
        <v>383</v>
      </c>
      <c r="C46" s="11">
        <v>7.1999999999999995E-2</v>
      </c>
      <c r="D46" s="12">
        <v>798</v>
      </c>
      <c r="E46" s="11">
        <v>4.2999999999999997E-2</v>
      </c>
      <c r="F46" s="10">
        <v>98083</v>
      </c>
      <c r="G46" s="11">
        <v>3.4000000000000002E-2</v>
      </c>
      <c r="H46" s="11">
        <v>0.185</v>
      </c>
      <c r="I46" s="10">
        <v>130538910</v>
      </c>
      <c r="J46" s="12" t="s">
        <v>7503</v>
      </c>
      <c r="K46" s="10">
        <v>18103</v>
      </c>
      <c r="L46" s="12" t="s">
        <v>7504</v>
      </c>
      <c r="M46" s="10">
        <v>83976878755</v>
      </c>
      <c r="N46" s="10">
        <v>9838637</v>
      </c>
      <c r="O46" s="12">
        <v>5</v>
      </c>
    </row>
    <row r="47" spans="1:15" ht="15" customHeight="1" x14ac:dyDescent="0.3">
      <c r="A47" s="9">
        <v>43657</v>
      </c>
      <c r="B47" s="12">
        <v>357</v>
      </c>
      <c r="C47" s="11">
        <v>0.06</v>
      </c>
      <c r="D47" s="12">
        <v>640</v>
      </c>
      <c r="E47" s="11">
        <v>3.4000000000000002E-2</v>
      </c>
      <c r="F47" s="10">
        <v>81468</v>
      </c>
      <c r="G47" s="11">
        <v>2.8000000000000001E-2</v>
      </c>
      <c r="H47" s="11">
        <v>0.20799999999999999</v>
      </c>
      <c r="I47" s="10">
        <v>117862850</v>
      </c>
      <c r="J47" s="12" t="s">
        <v>7505</v>
      </c>
      <c r="K47" s="10">
        <v>16931</v>
      </c>
      <c r="L47" s="12" t="s">
        <v>7506</v>
      </c>
      <c r="M47" s="10">
        <v>84094741605</v>
      </c>
      <c r="N47" s="10">
        <v>9855568</v>
      </c>
      <c r="O47" s="12">
        <v>5</v>
      </c>
    </row>
    <row r="48" spans="1:15" ht="15" customHeight="1" x14ac:dyDescent="0.3">
      <c r="A48" s="9">
        <v>43658</v>
      </c>
      <c r="B48" s="12">
        <v>360</v>
      </c>
      <c r="C48" s="11">
        <v>5.8999999999999997E-2</v>
      </c>
      <c r="D48" s="12">
        <v>630</v>
      </c>
      <c r="E48" s="11">
        <v>3.3000000000000002E-2</v>
      </c>
      <c r="F48" s="10">
        <v>80009</v>
      </c>
      <c r="G48" s="11">
        <v>2.7E-2</v>
      </c>
      <c r="H48" s="11">
        <v>0.214</v>
      </c>
      <c r="I48" s="10">
        <v>129261750</v>
      </c>
      <c r="J48" s="12" t="s">
        <v>7507</v>
      </c>
      <c r="K48" s="10">
        <v>17159</v>
      </c>
      <c r="L48" s="12" t="s">
        <v>7508</v>
      </c>
      <c r="M48" s="10">
        <v>84224003355</v>
      </c>
      <c r="N48" s="10">
        <v>9872727</v>
      </c>
      <c r="O48" s="12">
        <v>5</v>
      </c>
    </row>
    <row r="49" spans="1:15" ht="15" customHeight="1" x14ac:dyDescent="0.3">
      <c r="A49" s="9">
        <v>43659</v>
      </c>
      <c r="B49" s="12">
        <v>314</v>
      </c>
      <c r="C49" s="11">
        <v>4.8000000000000001E-2</v>
      </c>
      <c r="D49" s="12">
        <v>522</v>
      </c>
      <c r="E49" s="11">
        <v>2.5999999999999999E-2</v>
      </c>
      <c r="F49" s="10">
        <v>63563</v>
      </c>
      <c r="G49" s="11">
        <v>2.1000000000000001E-2</v>
      </c>
      <c r="H49" s="11">
        <v>0.38200000000000001</v>
      </c>
      <c r="I49" s="10">
        <v>198468390</v>
      </c>
      <c r="J49" s="12" t="s">
        <v>7509</v>
      </c>
      <c r="K49" s="10">
        <v>24302</v>
      </c>
      <c r="L49" s="12" t="s">
        <v>7510</v>
      </c>
      <c r="M49" s="10">
        <v>84422471745</v>
      </c>
      <c r="N49" s="10">
        <v>9897029</v>
      </c>
      <c r="O49" s="12">
        <v>7</v>
      </c>
    </row>
    <row r="50" spans="1:15" ht="15" customHeight="1" x14ac:dyDescent="0.3">
      <c r="A50" s="9">
        <v>43660</v>
      </c>
      <c r="B50" s="12">
        <v>315</v>
      </c>
      <c r="C50" s="11">
        <v>4.9000000000000002E-2</v>
      </c>
      <c r="D50" s="12">
        <v>528</v>
      </c>
      <c r="E50" s="11">
        <v>2.7E-2</v>
      </c>
      <c r="F50" s="10">
        <v>65407</v>
      </c>
      <c r="G50" s="11">
        <v>2.1999999999999999E-2</v>
      </c>
      <c r="H50" s="11">
        <v>0.34899999999999998</v>
      </c>
      <c r="I50" s="10">
        <v>179004980</v>
      </c>
      <c r="J50" s="12" t="s">
        <v>7511</v>
      </c>
      <c r="K50" s="10">
        <v>22806</v>
      </c>
      <c r="L50" s="12" t="s">
        <v>7512</v>
      </c>
      <c r="M50" s="10">
        <v>84601476725</v>
      </c>
      <c r="N50" s="10">
        <v>9919835</v>
      </c>
      <c r="O50" s="12">
        <v>7</v>
      </c>
    </row>
    <row r="51" spans="1:15" ht="15" customHeight="1" x14ac:dyDescent="0.3">
      <c r="A51" s="9">
        <v>43661</v>
      </c>
      <c r="B51" s="12">
        <v>373</v>
      </c>
      <c r="C51" s="11">
        <v>6.5000000000000002E-2</v>
      </c>
      <c r="D51" s="12">
        <v>704</v>
      </c>
      <c r="E51" s="11">
        <v>3.9E-2</v>
      </c>
      <c r="F51" s="10">
        <v>90831</v>
      </c>
      <c r="G51" s="11">
        <v>3.3000000000000002E-2</v>
      </c>
      <c r="H51" s="11">
        <v>0.16600000000000001</v>
      </c>
      <c r="I51" s="10">
        <v>102616800</v>
      </c>
      <c r="J51" s="12" t="s">
        <v>7513</v>
      </c>
      <c r="K51" s="10">
        <v>15056</v>
      </c>
      <c r="L51" s="12" t="s">
        <v>7514</v>
      </c>
      <c r="M51" s="10">
        <v>84704093525</v>
      </c>
      <c r="N51" s="10">
        <v>9934891</v>
      </c>
      <c r="O51" s="12">
        <v>5</v>
      </c>
    </row>
    <row r="52" spans="1:15" ht="15" customHeight="1" x14ac:dyDescent="0.3">
      <c r="A52" s="9">
        <v>43662</v>
      </c>
      <c r="B52" s="12">
        <v>374</v>
      </c>
      <c r="C52" s="11">
        <v>6.3E-2</v>
      </c>
      <c r="D52" s="12">
        <v>712</v>
      </c>
      <c r="E52" s="11">
        <v>0.04</v>
      </c>
      <c r="F52" s="10">
        <v>92266</v>
      </c>
      <c r="G52" s="11">
        <v>3.3000000000000002E-2</v>
      </c>
      <c r="H52" s="11">
        <v>0.17299999999999999</v>
      </c>
      <c r="I52" s="10">
        <v>104922730</v>
      </c>
      <c r="J52" s="12" t="s">
        <v>7515</v>
      </c>
      <c r="K52" s="10">
        <v>15950</v>
      </c>
      <c r="L52" s="12" t="s">
        <v>7516</v>
      </c>
      <c r="M52" s="10">
        <v>84809016255</v>
      </c>
      <c r="N52" s="10">
        <v>9950841</v>
      </c>
      <c r="O52" s="12">
        <v>5</v>
      </c>
    </row>
    <row r="53" spans="1:15" ht="15" customHeight="1" x14ac:dyDescent="0.3">
      <c r="A53" s="9">
        <v>43663</v>
      </c>
      <c r="B53" s="12">
        <v>195</v>
      </c>
      <c r="C53" s="11">
        <v>3.4000000000000002E-2</v>
      </c>
      <c r="D53" s="12">
        <v>317</v>
      </c>
      <c r="E53" s="11">
        <v>1.7000000000000001E-2</v>
      </c>
      <c r="F53" s="10">
        <v>38545</v>
      </c>
      <c r="G53" s="11">
        <v>1.2999999999999999E-2</v>
      </c>
      <c r="H53" s="11">
        <v>0.20499999999999999</v>
      </c>
      <c r="I53" s="10">
        <v>50931020</v>
      </c>
      <c r="J53" s="12" t="s">
        <v>7517</v>
      </c>
      <c r="K53" s="10">
        <v>7886</v>
      </c>
      <c r="L53" s="12" t="s">
        <v>7518</v>
      </c>
      <c r="M53" s="10">
        <v>84859947275</v>
      </c>
      <c r="N53" s="10">
        <v>9958727</v>
      </c>
      <c r="O53" s="12">
        <v>6</v>
      </c>
    </row>
    <row r="54" spans="1:15" ht="15" customHeight="1" x14ac:dyDescent="0.3"/>
    <row r="55" spans="1:15" ht="15" customHeight="1" x14ac:dyDescent="0.3"/>
    <row r="56" spans="1:15" ht="15" customHeight="1" x14ac:dyDescent="0.3"/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487-8A88-4680-8A8A-B5B1A410DB94}">
  <dimension ref="A1:O41"/>
  <sheetViews>
    <sheetView workbookViewId="0">
      <selection activeCell="A5" sqref="A5:O5"/>
    </sheetView>
  </sheetViews>
  <sheetFormatPr defaultRowHeight="16.5" x14ac:dyDescent="0.3"/>
  <cols>
    <col min="1" max="1" width="9.75" bestFit="1" customWidth="1"/>
    <col min="2" max="2" width="8" bestFit="1" customWidth="1"/>
    <col min="3" max="3" width="11.375" bestFit="1" customWidth="1"/>
    <col min="4" max="4" width="8" bestFit="1" customWidth="1"/>
    <col min="5" max="5" width="9.625" bestFit="1" customWidth="1"/>
    <col min="6" max="6" width="7.125" bestFit="1" customWidth="1"/>
    <col min="7" max="8" width="9.625" bestFit="1" customWidth="1"/>
    <col min="9" max="9" width="10.125" bestFit="1" customWidth="1"/>
    <col min="10" max="10" width="18.75" bestFit="1" customWidth="1"/>
    <col min="11" max="11" width="7.125" bestFit="1" customWidth="1"/>
    <col min="12" max="12" width="18.125" bestFit="1" customWidth="1"/>
    <col min="13" max="13" width="11.5" bestFit="1" customWidth="1"/>
    <col min="14" max="14" width="9.625" bestFit="1" customWidth="1"/>
    <col min="15" max="15" width="4.75" bestFit="1" customWidth="1"/>
  </cols>
  <sheetData>
    <row r="1" spans="1:15" ht="19.5" x14ac:dyDescent="0.3">
      <c r="A1" s="197" t="s">
        <v>7519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x14ac:dyDescent="0.3">
      <c r="A4" s="6" t="s">
        <v>111</v>
      </c>
      <c r="B4" s="7" t="s">
        <v>112</v>
      </c>
      <c r="C4" s="7" t="s">
        <v>113</v>
      </c>
      <c r="D4" s="7" t="s">
        <v>114</v>
      </c>
      <c r="E4" s="7" t="s">
        <v>115</v>
      </c>
      <c r="F4" s="7" t="s">
        <v>116</v>
      </c>
      <c r="G4" s="7" t="s">
        <v>117</v>
      </c>
      <c r="H4" s="7" t="s">
        <v>118</v>
      </c>
      <c r="I4" s="7" t="s">
        <v>119</v>
      </c>
      <c r="J4" s="7" t="s">
        <v>120</v>
      </c>
      <c r="K4" s="7" t="s">
        <v>121</v>
      </c>
      <c r="L4" s="7" t="s">
        <v>122</v>
      </c>
      <c r="M4" s="7" t="s">
        <v>123</v>
      </c>
      <c r="N4" s="7" t="s">
        <v>124</v>
      </c>
      <c r="O4" s="8" t="s">
        <v>125</v>
      </c>
    </row>
    <row r="5" spans="1:15" x14ac:dyDescent="0.3">
      <c r="A5" s="9">
        <v>43589</v>
      </c>
      <c r="B5" s="12">
        <v>628</v>
      </c>
      <c r="C5" s="11">
        <v>0.112</v>
      </c>
      <c r="D5" s="10">
        <v>1569</v>
      </c>
      <c r="E5" s="11">
        <v>8.7999999999999995E-2</v>
      </c>
      <c r="F5" s="10">
        <v>210335</v>
      </c>
      <c r="G5" s="11">
        <v>7.8E-2</v>
      </c>
      <c r="H5" s="11">
        <v>0.25800000000000001</v>
      </c>
      <c r="I5" s="10">
        <v>449485960</v>
      </c>
      <c r="J5" s="12" t="s">
        <v>7520</v>
      </c>
      <c r="K5" s="10">
        <v>54170</v>
      </c>
      <c r="L5" s="12" t="s">
        <v>7521</v>
      </c>
      <c r="M5" s="10">
        <v>469935960</v>
      </c>
      <c r="N5" s="10">
        <v>56352</v>
      </c>
      <c r="O5" s="12">
        <v>4</v>
      </c>
    </row>
    <row r="6" spans="1:15" x14ac:dyDescent="0.3">
      <c r="A6" s="9">
        <v>43590</v>
      </c>
      <c r="B6" s="12">
        <v>641</v>
      </c>
      <c r="C6" s="11">
        <v>0.112</v>
      </c>
      <c r="D6" s="10">
        <v>1550</v>
      </c>
      <c r="E6" s="11">
        <v>8.5999999999999993E-2</v>
      </c>
      <c r="F6" s="10">
        <v>204650</v>
      </c>
      <c r="G6" s="11">
        <v>7.4999999999999997E-2</v>
      </c>
      <c r="H6" s="11">
        <v>0.31</v>
      </c>
      <c r="I6" s="10">
        <v>528095690</v>
      </c>
      <c r="J6" s="12" t="s">
        <v>7522</v>
      </c>
      <c r="K6" s="10">
        <v>63364</v>
      </c>
      <c r="L6" s="12" t="s">
        <v>7523</v>
      </c>
      <c r="M6" s="10">
        <v>998031650</v>
      </c>
      <c r="N6" s="10">
        <v>119716</v>
      </c>
      <c r="O6" s="12">
        <v>4</v>
      </c>
    </row>
    <row r="7" spans="1:15" x14ac:dyDescent="0.3">
      <c r="A7" s="9">
        <v>43591</v>
      </c>
      <c r="B7" s="12">
        <v>604</v>
      </c>
      <c r="C7" s="11">
        <v>0.109</v>
      </c>
      <c r="D7" s="10">
        <v>1452</v>
      </c>
      <c r="E7" s="11">
        <v>8.4000000000000005E-2</v>
      </c>
      <c r="F7" s="10">
        <v>189268</v>
      </c>
      <c r="G7" s="11">
        <v>7.1999999999999995E-2</v>
      </c>
      <c r="H7" s="11">
        <v>0.36</v>
      </c>
      <c r="I7" s="10">
        <v>552191760</v>
      </c>
      <c r="J7" s="12" t="s">
        <v>7524</v>
      </c>
      <c r="K7" s="10">
        <v>68166</v>
      </c>
      <c r="L7" s="12" t="s">
        <v>7525</v>
      </c>
      <c r="M7" s="10">
        <v>1550223410</v>
      </c>
      <c r="N7" s="10">
        <v>187882</v>
      </c>
      <c r="O7" s="12">
        <v>4</v>
      </c>
    </row>
    <row r="8" spans="1:15" x14ac:dyDescent="0.3">
      <c r="A8" s="9">
        <v>43594</v>
      </c>
      <c r="B8" s="12">
        <v>697</v>
      </c>
      <c r="C8" s="11">
        <v>0.13700000000000001</v>
      </c>
      <c r="D8" s="10">
        <v>2226</v>
      </c>
      <c r="E8" s="11">
        <v>0.13400000000000001</v>
      </c>
      <c r="F8" s="10">
        <v>304048</v>
      </c>
      <c r="G8" s="11">
        <v>0.12</v>
      </c>
      <c r="H8" s="11">
        <v>0.09</v>
      </c>
      <c r="I8" s="10">
        <v>222935100</v>
      </c>
      <c r="J8" s="12" t="s">
        <v>7526</v>
      </c>
      <c r="K8" s="10">
        <v>27354</v>
      </c>
      <c r="L8" s="12" t="s">
        <v>7527</v>
      </c>
      <c r="M8" s="10">
        <v>1773158510</v>
      </c>
      <c r="N8" s="10">
        <v>215236</v>
      </c>
      <c r="O8" s="12">
        <v>4</v>
      </c>
    </row>
    <row r="9" spans="1:15" x14ac:dyDescent="0.3">
      <c r="A9" s="9">
        <v>43595</v>
      </c>
      <c r="B9" s="12">
        <v>701</v>
      </c>
      <c r="C9" s="11">
        <v>0.13600000000000001</v>
      </c>
      <c r="D9" s="10">
        <v>2249</v>
      </c>
      <c r="E9" s="11">
        <v>0.13200000000000001</v>
      </c>
      <c r="F9" s="10">
        <v>306066</v>
      </c>
      <c r="G9" s="11">
        <v>0.11799999999999999</v>
      </c>
      <c r="H9" s="11">
        <v>0.114</v>
      </c>
      <c r="I9" s="10">
        <v>312314877</v>
      </c>
      <c r="J9" s="12" t="s">
        <v>7528</v>
      </c>
      <c r="K9" s="10">
        <v>35044</v>
      </c>
      <c r="L9" s="12" t="s">
        <v>7529</v>
      </c>
      <c r="M9" s="10">
        <v>2085473387</v>
      </c>
      <c r="N9" s="10">
        <v>250280</v>
      </c>
      <c r="O9" s="12">
        <v>4</v>
      </c>
    </row>
    <row r="10" spans="1:15" x14ac:dyDescent="0.3">
      <c r="A10" s="9">
        <v>43596</v>
      </c>
      <c r="B10" s="12">
        <v>798</v>
      </c>
      <c r="C10" s="11">
        <v>0.13900000000000001</v>
      </c>
      <c r="D10" s="10">
        <v>2382</v>
      </c>
      <c r="E10" s="11">
        <v>0.13100000000000001</v>
      </c>
      <c r="F10" s="10">
        <v>315758</v>
      </c>
      <c r="G10" s="11">
        <v>0.115</v>
      </c>
      <c r="H10" s="11">
        <v>0.32600000000000001</v>
      </c>
      <c r="I10" s="10">
        <v>871915359</v>
      </c>
      <c r="J10" s="12" t="s">
        <v>7530</v>
      </c>
      <c r="K10" s="10">
        <v>102877</v>
      </c>
      <c r="L10" s="12" t="s">
        <v>7531</v>
      </c>
      <c r="M10" s="10">
        <v>2957388746</v>
      </c>
      <c r="N10" s="10">
        <v>353157</v>
      </c>
      <c r="O10" s="12">
        <v>4</v>
      </c>
    </row>
    <row r="11" spans="1:15" x14ac:dyDescent="0.3">
      <c r="A11" s="9">
        <v>43597</v>
      </c>
      <c r="B11" s="12">
        <v>817</v>
      </c>
      <c r="C11" s="11">
        <v>0.14199999999999999</v>
      </c>
      <c r="D11" s="10">
        <v>2405</v>
      </c>
      <c r="E11" s="11">
        <v>0.13500000000000001</v>
      </c>
      <c r="F11" s="10">
        <v>316959</v>
      </c>
      <c r="G11" s="11">
        <v>0.11799999999999999</v>
      </c>
      <c r="H11" s="11">
        <v>0.318</v>
      </c>
      <c r="I11" s="10">
        <v>845074770</v>
      </c>
      <c r="J11" s="12" t="s">
        <v>7532</v>
      </c>
      <c r="K11" s="10">
        <v>100701</v>
      </c>
      <c r="L11" s="12" t="s">
        <v>7533</v>
      </c>
      <c r="M11" s="10">
        <v>3802463516</v>
      </c>
      <c r="N11" s="10">
        <v>453858</v>
      </c>
      <c r="O11" s="12">
        <v>3</v>
      </c>
    </row>
    <row r="12" spans="1:15" x14ac:dyDescent="0.3">
      <c r="A12" s="9">
        <v>43598</v>
      </c>
      <c r="B12" s="12">
        <v>647</v>
      </c>
      <c r="C12" s="11">
        <v>0.13500000000000001</v>
      </c>
      <c r="D12" s="10">
        <v>2016</v>
      </c>
      <c r="E12" s="11">
        <v>0.125</v>
      </c>
      <c r="F12" s="10">
        <v>274974</v>
      </c>
      <c r="G12" s="11">
        <v>0.111</v>
      </c>
      <c r="H12" s="11">
        <v>6.9000000000000006E-2</v>
      </c>
      <c r="I12" s="10">
        <v>156915650</v>
      </c>
      <c r="J12" s="12" t="s">
        <v>7534</v>
      </c>
      <c r="K12" s="10">
        <v>19083</v>
      </c>
      <c r="L12" s="12" t="s">
        <v>7535</v>
      </c>
      <c r="M12" s="10">
        <v>3959379166</v>
      </c>
      <c r="N12" s="10">
        <v>472941</v>
      </c>
      <c r="O12" s="12">
        <v>4</v>
      </c>
    </row>
    <row r="13" spans="1:15" x14ac:dyDescent="0.3">
      <c r="A13" s="9">
        <v>43599</v>
      </c>
      <c r="B13" s="12">
        <v>649</v>
      </c>
      <c r="C13" s="11">
        <v>0.13</v>
      </c>
      <c r="D13" s="10">
        <v>1959</v>
      </c>
      <c r="E13" s="11">
        <v>0.121</v>
      </c>
      <c r="F13" s="10">
        <v>268200</v>
      </c>
      <c r="G13" s="11">
        <v>0.109</v>
      </c>
      <c r="H13" s="11">
        <v>6.8000000000000005E-2</v>
      </c>
      <c r="I13" s="10">
        <v>147670560</v>
      </c>
      <c r="J13" s="12" t="s">
        <v>7536</v>
      </c>
      <c r="K13" s="10">
        <v>18118</v>
      </c>
      <c r="L13" s="12" t="s">
        <v>7537</v>
      </c>
      <c r="M13" s="10">
        <v>4107049726</v>
      </c>
      <c r="N13" s="10">
        <v>491059</v>
      </c>
      <c r="O13" s="12">
        <v>4</v>
      </c>
    </row>
    <row r="14" spans="1:15" x14ac:dyDescent="0.3">
      <c r="A14" s="9">
        <v>43600</v>
      </c>
      <c r="B14" s="12">
        <v>454</v>
      </c>
      <c r="C14" s="11">
        <v>8.5999999999999993E-2</v>
      </c>
      <c r="D14" s="12">
        <v>872</v>
      </c>
      <c r="E14" s="11">
        <v>0.05</v>
      </c>
      <c r="F14" s="10">
        <v>110636</v>
      </c>
      <c r="G14" s="11">
        <v>4.1000000000000002E-2</v>
      </c>
      <c r="H14" s="11">
        <v>0.11700000000000001</v>
      </c>
      <c r="I14" s="10">
        <v>102423450</v>
      </c>
      <c r="J14" s="12" t="s">
        <v>7538</v>
      </c>
      <c r="K14" s="10">
        <v>12982</v>
      </c>
      <c r="L14" s="12" t="s">
        <v>7539</v>
      </c>
      <c r="M14" s="10">
        <v>4209473176</v>
      </c>
      <c r="N14" s="10">
        <v>504041</v>
      </c>
      <c r="O14" s="12">
        <v>6</v>
      </c>
    </row>
    <row r="15" spans="1:15" x14ac:dyDescent="0.3">
      <c r="A15" s="9">
        <v>43601</v>
      </c>
      <c r="B15" s="12">
        <v>401</v>
      </c>
      <c r="C15" s="11">
        <v>7.0999999999999994E-2</v>
      </c>
      <c r="D15" s="12">
        <v>689</v>
      </c>
      <c r="E15" s="11">
        <v>3.9E-2</v>
      </c>
      <c r="F15" s="10">
        <v>90841</v>
      </c>
      <c r="G15" s="11">
        <v>3.3000000000000002E-2</v>
      </c>
      <c r="H15" s="11">
        <v>9.1999999999999998E-2</v>
      </c>
      <c r="I15" s="10">
        <v>69884490</v>
      </c>
      <c r="J15" s="12" t="s">
        <v>7540</v>
      </c>
      <c r="K15" s="10">
        <v>8395</v>
      </c>
      <c r="L15" s="12" t="s">
        <v>7541</v>
      </c>
      <c r="M15" s="10">
        <v>4279357666</v>
      </c>
      <c r="N15" s="10">
        <v>512436</v>
      </c>
      <c r="O15" s="12">
        <v>6</v>
      </c>
    </row>
    <row r="16" spans="1:15" x14ac:dyDescent="0.3">
      <c r="A16" s="9">
        <v>43602</v>
      </c>
      <c r="B16" s="12">
        <v>440</v>
      </c>
      <c r="C16" s="11">
        <v>7.5999999999999998E-2</v>
      </c>
      <c r="D16" s="12">
        <v>761</v>
      </c>
      <c r="E16" s="11">
        <v>4.2000000000000003E-2</v>
      </c>
      <c r="F16" s="10">
        <v>99185</v>
      </c>
      <c r="G16" s="11">
        <v>3.5000000000000003E-2</v>
      </c>
      <c r="H16" s="11">
        <v>0.126</v>
      </c>
      <c r="I16" s="10">
        <v>109807910</v>
      </c>
      <c r="J16" s="12" t="s">
        <v>7542</v>
      </c>
      <c r="K16" s="10">
        <v>12485</v>
      </c>
      <c r="L16" s="12" t="s">
        <v>7543</v>
      </c>
      <c r="M16" s="10">
        <v>4389165576</v>
      </c>
      <c r="N16" s="10">
        <v>524921</v>
      </c>
      <c r="O16" s="12">
        <v>6</v>
      </c>
    </row>
    <row r="17" spans="1:15" x14ac:dyDescent="0.3">
      <c r="A17" s="9">
        <v>43603</v>
      </c>
      <c r="B17" s="12">
        <v>594</v>
      </c>
      <c r="C17" s="11">
        <v>9.2999999999999999E-2</v>
      </c>
      <c r="D17" s="10">
        <v>1158</v>
      </c>
      <c r="E17" s="11">
        <v>0.06</v>
      </c>
      <c r="F17" s="10">
        <v>144369</v>
      </c>
      <c r="G17" s="11">
        <v>4.8000000000000001E-2</v>
      </c>
      <c r="H17" s="11">
        <v>0.36599999999999999</v>
      </c>
      <c r="I17" s="10">
        <v>439338250</v>
      </c>
      <c r="J17" s="12" t="s">
        <v>7544</v>
      </c>
      <c r="K17" s="10">
        <v>52856</v>
      </c>
      <c r="L17" s="12" t="s">
        <v>7545</v>
      </c>
      <c r="M17" s="10">
        <v>4828503826</v>
      </c>
      <c r="N17" s="10">
        <v>577777</v>
      </c>
      <c r="O17" s="12">
        <v>4</v>
      </c>
    </row>
    <row r="18" spans="1:15" x14ac:dyDescent="0.3">
      <c r="A18" s="9">
        <v>43604</v>
      </c>
      <c r="B18" s="12">
        <v>615</v>
      </c>
      <c r="C18" s="11">
        <v>9.7000000000000003E-2</v>
      </c>
      <c r="D18" s="10">
        <v>1175</v>
      </c>
      <c r="E18" s="11">
        <v>6.2E-2</v>
      </c>
      <c r="F18" s="10">
        <v>147414</v>
      </c>
      <c r="G18" s="11">
        <v>0.05</v>
      </c>
      <c r="H18" s="11">
        <v>0.38900000000000001</v>
      </c>
      <c r="I18" s="10">
        <v>475278740</v>
      </c>
      <c r="J18" s="12" t="s">
        <v>7546</v>
      </c>
      <c r="K18" s="10">
        <v>57351</v>
      </c>
      <c r="L18" s="12" t="s">
        <v>7547</v>
      </c>
      <c r="M18" s="10">
        <v>5303782566</v>
      </c>
      <c r="N18" s="10">
        <v>635128</v>
      </c>
      <c r="O18" s="12">
        <v>4</v>
      </c>
    </row>
    <row r="19" spans="1:15" x14ac:dyDescent="0.3">
      <c r="A19" s="9">
        <v>43605</v>
      </c>
      <c r="B19" s="12">
        <v>395</v>
      </c>
      <c r="C19" s="11">
        <v>7.1999999999999995E-2</v>
      </c>
      <c r="D19" s="12">
        <v>720</v>
      </c>
      <c r="E19" s="11">
        <v>4.1000000000000002E-2</v>
      </c>
      <c r="F19" s="10">
        <v>93898</v>
      </c>
      <c r="G19" s="11">
        <v>3.5000000000000003E-2</v>
      </c>
      <c r="H19" s="11">
        <v>7.2999999999999995E-2</v>
      </c>
      <c r="I19" s="10">
        <v>56058370</v>
      </c>
      <c r="J19" s="12" t="s">
        <v>7548</v>
      </c>
      <c r="K19" s="10">
        <v>6808</v>
      </c>
      <c r="L19" s="12" t="s">
        <v>7549</v>
      </c>
      <c r="M19" s="10">
        <v>5359840936</v>
      </c>
      <c r="N19" s="10">
        <v>641936</v>
      </c>
      <c r="O19" s="12">
        <v>6</v>
      </c>
    </row>
    <row r="20" spans="1:15" x14ac:dyDescent="0.3">
      <c r="A20" s="9">
        <v>43606</v>
      </c>
      <c r="B20" s="12">
        <v>383</v>
      </c>
      <c r="C20" s="11">
        <v>6.9000000000000006E-2</v>
      </c>
      <c r="D20" s="12">
        <v>698</v>
      </c>
      <c r="E20" s="11">
        <v>0.04</v>
      </c>
      <c r="F20" s="10">
        <v>91392</v>
      </c>
      <c r="G20" s="11">
        <v>3.4000000000000002E-2</v>
      </c>
      <c r="H20" s="11">
        <v>6.8000000000000005E-2</v>
      </c>
      <c r="I20" s="10">
        <v>50939700</v>
      </c>
      <c r="J20" s="12" t="s">
        <v>7550</v>
      </c>
      <c r="K20" s="10">
        <v>6181</v>
      </c>
      <c r="L20" s="12" t="s">
        <v>7551</v>
      </c>
      <c r="M20" s="10">
        <v>5410780636</v>
      </c>
      <c r="N20" s="10">
        <v>648117</v>
      </c>
      <c r="O20" s="12">
        <v>6</v>
      </c>
    </row>
    <row r="21" spans="1:15" x14ac:dyDescent="0.3">
      <c r="A21" s="9">
        <v>43607</v>
      </c>
      <c r="B21" s="12">
        <v>266</v>
      </c>
      <c r="C21" s="11">
        <v>5.1999999999999998E-2</v>
      </c>
      <c r="D21" s="12">
        <v>512</v>
      </c>
      <c r="E21" s="11">
        <v>2.9000000000000001E-2</v>
      </c>
      <c r="F21" s="10">
        <v>65027</v>
      </c>
      <c r="G21" s="11">
        <v>2.4E-2</v>
      </c>
      <c r="H21" s="11">
        <v>8.5000000000000006E-2</v>
      </c>
      <c r="I21" s="10">
        <v>44479360</v>
      </c>
      <c r="J21" s="12" t="s">
        <v>7552</v>
      </c>
      <c r="K21" s="10">
        <v>5548</v>
      </c>
      <c r="L21" s="12" t="s">
        <v>7553</v>
      </c>
      <c r="M21" s="10">
        <v>5455259996</v>
      </c>
      <c r="N21" s="10">
        <v>653665</v>
      </c>
      <c r="O21" s="12">
        <v>7</v>
      </c>
    </row>
    <row r="22" spans="1:15" x14ac:dyDescent="0.3">
      <c r="A22" s="9">
        <v>43608</v>
      </c>
      <c r="B22" s="12">
        <v>102</v>
      </c>
      <c r="C22" s="11">
        <v>1.7999999999999999E-2</v>
      </c>
      <c r="D22" s="12">
        <v>153</v>
      </c>
      <c r="E22" s="11">
        <v>8.0000000000000002E-3</v>
      </c>
      <c r="F22" s="10">
        <v>19502</v>
      </c>
      <c r="G22" s="11">
        <v>7.0000000000000001E-3</v>
      </c>
      <c r="H22" s="11">
        <v>8.8999999999999996E-2</v>
      </c>
      <c r="I22" s="10">
        <v>14485170</v>
      </c>
      <c r="J22" s="12" t="s">
        <v>7554</v>
      </c>
      <c r="K22" s="10">
        <v>1734</v>
      </c>
      <c r="L22" s="12" t="s">
        <v>7555</v>
      </c>
      <c r="M22" s="10">
        <v>5469745166</v>
      </c>
      <c r="N22" s="10">
        <v>655399</v>
      </c>
      <c r="O22" s="12">
        <v>10</v>
      </c>
    </row>
    <row r="23" spans="1:15" x14ac:dyDescent="0.3">
      <c r="A23" s="9">
        <v>43609</v>
      </c>
      <c r="B23" s="12">
        <v>113</v>
      </c>
      <c r="C23" s="11">
        <v>1.9E-2</v>
      </c>
      <c r="D23" s="12">
        <v>170</v>
      </c>
      <c r="E23" s="11">
        <v>8.9999999999999993E-3</v>
      </c>
      <c r="F23" s="10">
        <v>20961</v>
      </c>
      <c r="G23" s="11">
        <v>7.0000000000000001E-3</v>
      </c>
      <c r="H23" s="11">
        <v>0.13100000000000001</v>
      </c>
      <c r="I23" s="10">
        <v>24440210</v>
      </c>
      <c r="J23" s="12" t="s">
        <v>7556</v>
      </c>
      <c r="K23" s="10">
        <v>2748</v>
      </c>
      <c r="L23" s="12" t="s">
        <v>7557</v>
      </c>
      <c r="M23" s="10">
        <v>5494185376</v>
      </c>
      <c r="N23" s="10">
        <v>658147</v>
      </c>
      <c r="O23" s="12">
        <v>9</v>
      </c>
    </row>
    <row r="24" spans="1:15" x14ac:dyDescent="0.3">
      <c r="A24" s="9">
        <v>43610</v>
      </c>
      <c r="B24" s="12">
        <v>191</v>
      </c>
      <c r="C24" s="11">
        <v>2.9000000000000001E-2</v>
      </c>
      <c r="D24" s="12">
        <v>293</v>
      </c>
      <c r="E24" s="11">
        <v>1.4999999999999999E-2</v>
      </c>
      <c r="F24" s="10">
        <v>35103</v>
      </c>
      <c r="G24" s="11">
        <v>1.2E-2</v>
      </c>
      <c r="H24" s="11">
        <v>0.313</v>
      </c>
      <c r="I24" s="10">
        <v>91721590</v>
      </c>
      <c r="J24" s="12" t="s">
        <v>7558</v>
      </c>
      <c r="K24" s="10">
        <v>10997</v>
      </c>
      <c r="L24" s="12" t="s">
        <v>7559</v>
      </c>
      <c r="M24" s="10">
        <v>5585906966</v>
      </c>
      <c r="N24" s="10">
        <v>669144</v>
      </c>
      <c r="O24" s="12">
        <v>7</v>
      </c>
    </row>
    <row r="25" spans="1:15" x14ac:dyDescent="0.3">
      <c r="A25" s="9">
        <v>43611</v>
      </c>
      <c r="B25" s="12">
        <v>210</v>
      </c>
      <c r="C25" s="11">
        <v>3.2000000000000001E-2</v>
      </c>
      <c r="D25" s="12">
        <v>305</v>
      </c>
      <c r="E25" s="11">
        <v>1.6E-2</v>
      </c>
      <c r="F25" s="10">
        <v>37906</v>
      </c>
      <c r="G25" s="11">
        <v>1.2999999999999999E-2</v>
      </c>
      <c r="H25" s="11">
        <v>0.29699999999999999</v>
      </c>
      <c r="I25" s="10">
        <v>94506670</v>
      </c>
      <c r="J25" s="12" t="s">
        <v>7560</v>
      </c>
      <c r="K25" s="10">
        <v>11276</v>
      </c>
      <c r="L25" s="12" t="s">
        <v>7561</v>
      </c>
      <c r="M25" s="10">
        <v>5680413636</v>
      </c>
      <c r="N25" s="10">
        <v>680420</v>
      </c>
      <c r="O25" s="12">
        <v>7</v>
      </c>
    </row>
    <row r="26" spans="1:15" x14ac:dyDescent="0.3">
      <c r="A26" s="9">
        <v>43612</v>
      </c>
      <c r="B26" s="12">
        <v>98</v>
      </c>
      <c r="C26" s="11">
        <v>1.7000000000000001E-2</v>
      </c>
      <c r="D26" s="12">
        <v>142</v>
      </c>
      <c r="E26" s="11">
        <v>8.0000000000000002E-3</v>
      </c>
      <c r="F26" s="10">
        <v>19125</v>
      </c>
      <c r="G26" s="11">
        <v>7.0000000000000001E-3</v>
      </c>
      <c r="H26" s="11">
        <v>6.4000000000000001E-2</v>
      </c>
      <c r="I26" s="10">
        <v>10060340</v>
      </c>
      <c r="J26" s="12" t="s">
        <v>7562</v>
      </c>
      <c r="K26" s="10">
        <v>1215</v>
      </c>
      <c r="L26" s="12" t="s">
        <v>7563</v>
      </c>
      <c r="M26" s="10">
        <v>5690473976</v>
      </c>
      <c r="N26" s="10">
        <v>681635</v>
      </c>
      <c r="O26" s="12">
        <v>9</v>
      </c>
    </row>
    <row r="27" spans="1:15" x14ac:dyDescent="0.3">
      <c r="A27" s="9">
        <v>43613</v>
      </c>
      <c r="B27" s="12">
        <v>100</v>
      </c>
      <c r="C27" s="11">
        <v>1.7000000000000001E-2</v>
      </c>
      <c r="D27" s="12">
        <v>147</v>
      </c>
      <c r="E27" s="11">
        <v>8.0000000000000002E-3</v>
      </c>
      <c r="F27" s="10">
        <v>19658</v>
      </c>
      <c r="G27" s="11">
        <v>7.0000000000000001E-3</v>
      </c>
      <c r="H27" s="11">
        <v>5.8999999999999997E-2</v>
      </c>
      <c r="I27" s="10">
        <v>9545430</v>
      </c>
      <c r="J27" s="12" t="s">
        <v>7564</v>
      </c>
      <c r="K27" s="10">
        <v>1156</v>
      </c>
      <c r="L27" s="12" t="s">
        <v>7565</v>
      </c>
      <c r="M27" s="10">
        <v>5700019406</v>
      </c>
      <c r="N27" s="10">
        <v>682791</v>
      </c>
      <c r="O27" s="12">
        <v>13</v>
      </c>
    </row>
    <row r="28" spans="1:15" x14ac:dyDescent="0.3">
      <c r="A28" s="9">
        <v>43614</v>
      </c>
      <c r="B28" s="12">
        <v>35</v>
      </c>
      <c r="C28" s="11">
        <v>6.0000000000000001E-3</v>
      </c>
      <c r="D28" s="12">
        <v>46</v>
      </c>
      <c r="E28" s="11">
        <v>3.0000000000000001E-3</v>
      </c>
      <c r="F28" s="10">
        <v>6233</v>
      </c>
      <c r="G28" s="11">
        <v>2E-3</v>
      </c>
      <c r="H28" s="11">
        <v>0.14099999999999999</v>
      </c>
      <c r="I28" s="10">
        <v>5641540</v>
      </c>
      <c r="J28" s="12" t="s">
        <v>7566</v>
      </c>
      <c r="K28" s="12">
        <v>877</v>
      </c>
      <c r="L28" s="12" t="s">
        <v>7567</v>
      </c>
      <c r="M28" s="10">
        <v>5705660946</v>
      </c>
      <c r="N28" s="10">
        <v>683668</v>
      </c>
      <c r="O28" s="12">
        <v>14</v>
      </c>
    </row>
    <row r="29" spans="1:15" x14ac:dyDescent="0.3">
      <c r="A29" s="9">
        <v>43615</v>
      </c>
      <c r="B29" s="12">
        <v>15</v>
      </c>
      <c r="C29" s="11">
        <v>3.0000000000000001E-3</v>
      </c>
      <c r="D29" s="12">
        <v>17</v>
      </c>
      <c r="E29" s="11">
        <v>1E-3</v>
      </c>
      <c r="F29" s="10">
        <v>1516</v>
      </c>
      <c r="G29" s="11">
        <v>1E-3</v>
      </c>
      <c r="H29" s="11">
        <v>0.216</v>
      </c>
      <c r="I29" s="10">
        <v>2345280</v>
      </c>
      <c r="J29" s="12" t="s">
        <v>7568</v>
      </c>
      <c r="K29" s="12">
        <v>327</v>
      </c>
      <c r="L29" s="12" t="s">
        <v>7569</v>
      </c>
      <c r="M29" s="10">
        <v>5708006226</v>
      </c>
      <c r="N29" s="10">
        <v>683995</v>
      </c>
      <c r="O29" s="12">
        <v>22</v>
      </c>
    </row>
    <row r="30" spans="1:15" x14ac:dyDescent="0.3">
      <c r="A30" s="9">
        <v>43616</v>
      </c>
      <c r="B30" s="12">
        <v>13</v>
      </c>
      <c r="C30" s="11">
        <v>2E-3</v>
      </c>
      <c r="D30" s="12">
        <v>15</v>
      </c>
      <c r="E30" s="11">
        <v>1E-3</v>
      </c>
      <c r="F30" s="10">
        <v>1448</v>
      </c>
      <c r="G30" s="11">
        <v>1E-3</v>
      </c>
      <c r="H30" s="11">
        <v>0.158</v>
      </c>
      <c r="I30" s="10">
        <v>1921140</v>
      </c>
      <c r="J30" s="12" t="s">
        <v>7570</v>
      </c>
      <c r="K30" s="12">
        <v>229</v>
      </c>
      <c r="L30" s="12" t="s">
        <v>7571</v>
      </c>
      <c r="M30" s="10">
        <v>5709927366</v>
      </c>
      <c r="N30" s="10">
        <v>684224</v>
      </c>
      <c r="O30" s="12">
        <v>24</v>
      </c>
    </row>
    <row r="31" spans="1:15" x14ac:dyDescent="0.3">
      <c r="A31" s="9">
        <v>43617</v>
      </c>
      <c r="B31" s="12">
        <v>25</v>
      </c>
      <c r="C31" s="11">
        <v>4.0000000000000001E-3</v>
      </c>
      <c r="D31" s="12">
        <v>27</v>
      </c>
      <c r="E31" s="11">
        <v>1E-3</v>
      </c>
      <c r="F31" s="10">
        <v>2382</v>
      </c>
      <c r="G31" s="11">
        <v>1E-3</v>
      </c>
      <c r="H31" s="11">
        <v>0.432</v>
      </c>
      <c r="I31" s="10">
        <v>8279820</v>
      </c>
      <c r="J31" s="12" t="s">
        <v>7572</v>
      </c>
      <c r="K31" s="10">
        <v>1029</v>
      </c>
      <c r="L31" s="12" t="s">
        <v>7573</v>
      </c>
      <c r="M31" s="10">
        <v>5718207186</v>
      </c>
      <c r="N31" s="10">
        <v>685253</v>
      </c>
      <c r="O31" s="12">
        <v>14</v>
      </c>
    </row>
    <row r="32" spans="1:15" x14ac:dyDescent="0.3">
      <c r="A32" s="9">
        <v>43618</v>
      </c>
      <c r="B32" s="12">
        <v>25</v>
      </c>
      <c r="C32" s="11">
        <v>4.0000000000000001E-3</v>
      </c>
      <c r="D32" s="12">
        <v>27</v>
      </c>
      <c r="E32" s="11">
        <v>1E-3</v>
      </c>
      <c r="F32" s="10">
        <v>2527</v>
      </c>
      <c r="G32" s="11">
        <v>1E-3</v>
      </c>
      <c r="H32" s="11">
        <v>0.39300000000000002</v>
      </c>
      <c r="I32" s="10">
        <v>7928080</v>
      </c>
      <c r="J32" s="12" t="s">
        <v>7574</v>
      </c>
      <c r="K32" s="12">
        <v>993</v>
      </c>
      <c r="L32" s="12" t="s">
        <v>7575</v>
      </c>
      <c r="M32" s="10">
        <v>5726135266</v>
      </c>
      <c r="N32" s="10">
        <v>686246</v>
      </c>
      <c r="O32" s="12">
        <v>12</v>
      </c>
    </row>
    <row r="33" spans="1:15" x14ac:dyDescent="0.3">
      <c r="A33" s="9">
        <v>43619</v>
      </c>
      <c r="B33" s="12">
        <v>8</v>
      </c>
      <c r="C33" s="11">
        <v>2E-3</v>
      </c>
      <c r="D33" s="12">
        <v>8</v>
      </c>
      <c r="E33" s="11">
        <v>0</v>
      </c>
      <c r="F33" s="12">
        <v>683</v>
      </c>
      <c r="G33" s="11">
        <v>0</v>
      </c>
      <c r="H33" s="11">
        <v>0.151</v>
      </c>
      <c r="I33" s="10">
        <v>849280</v>
      </c>
      <c r="J33" s="12" t="s">
        <v>7576</v>
      </c>
      <c r="K33" s="12">
        <v>103</v>
      </c>
      <c r="L33" s="12" t="s">
        <v>7577</v>
      </c>
      <c r="M33" s="10">
        <v>5726984546</v>
      </c>
      <c r="N33" s="10">
        <v>686349</v>
      </c>
      <c r="O33" s="12">
        <v>35</v>
      </c>
    </row>
    <row r="34" spans="1:15" x14ac:dyDescent="0.3">
      <c r="A34" s="9">
        <v>43620</v>
      </c>
      <c r="B34" s="12">
        <v>9</v>
      </c>
      <c r="C34" s="11">
        <v>2E-3</v>
      </c>
      <c r="D34" s="12">
        <v>10</v>
      </c>
      <c r="E34" s="11">
        <v>1E-3</v>
      </c>
      <c r="F34" s="12">
        <v>890</v>
      </c>
      <c r="G34" s="11">
        <v>0</v>
      </c>
      <c r="H34" s="11">
        <v>0.112</v>
      </c>
      <c r="I34" s="10">
        <v>830500</v>
      </c>
      <c r="J34" s="12" t="s">
        <v>7578</v>
      </c>
      <c r="K34" s="12">
        <v>100</v>
      </c>
      <c r="L34" s="12" t="s">
        <v>7579</v>
      </c>
      <c r="M34" s="10">
        <v>5727815046</v>
      </c>
      <c r="N34" s="10">
        <v>686449</v>
      </c>
      <c r="O34" s="12">
        <v>38</v>
      </c>
    </row>
    <row r="35" spans="1:15" x14ac:dyDescent="0.3">
      <c r="A35" s="9">
        <v>43621</v>
      </c>
      <c r="B35" s="12">
        <v>4</v>
      </c>
      <c r="C35" s="11">
        <v>1E-3</v>
      </c>
      <c r="D35" s="12">
        <v>5</v>
      </c>
      <c r="E35" s="11">
        <v>0</v>
      </c>
      <c r="F35" s="12">
        <v>292</v>
      </c>
      <c r="G35" s="11">
        <v>0</v>
      </c>
      <c r="H35" s="11">
        <v>0.16800000000000001</v>
      </c>
      <c r="I35" s="10">
        <v>334500</v>
      </c>
      <c r="J35" s="12" t="s">
        <v>7580</v>
      </c>
      <c r="K35" s="12">
        <v>49</v>
      </c>
      <c r="L35" s="12" t="s">
        <v>7581</v>
      </c>
      <c r="M35" s="10">
        <v>5728149546</v>
      </c>
      <c r="N35" s="10">
        <v>686498</v>
      </c>
      <c r="O35" s="12">
        <v>60</v>
      </c>
    </row>
    <row r="36" spans="1:15" x14ac:dyDescent="0.3">
      <c r="A36" s="9">
        <v>43622</v>
      </c>
      <c r="B36" s="12">
        <v>1</v>
      </c>
      <c r="C36" s="11">
        <v>0</v>
      </c>
      <c r="D36" s="12">
        <v>1</v>
      </c>
      <c r="E36" s="11">
        <v>0</v>
      </c>
      <c r="F36" s="12">
        <v>124</v>
      </c>
      <c r="G36" s="11">
        <v>0</v>
      </c>
      <c r="H36" s="11">
        <v>0.24199999999999999</v>
      </c>
      <c r="I36" s="10">
        <v>187000</v>
      </c>
      <c r="J36" s="12" t="s">
        <v>7582</v>
      </c>
      <c r="K36" s="12">
        <v>30</v>
      </c>
      <c r="L36" s="12" t="s">
        <v>7583</v>
      </c>
      <c r="M36" s="10">
        <v>5728336546</v>
      </c>
      <c r="N36" s="10">
        <v>686528</v>
      </c>
      <c r="O36" s="12">
        <v>70</v>
      </c>
    </row>
    <row r="37" spans="1:15" x14ac:dyDescent="0.3">
      <c r="A37" s="9">
        <v>43623</v>
      </c>
      <c r="B37" s="12">
        <v>1</v>
      </c>
      <c r="C37" s="11">
        <v>0</v>
      </c>
      <c r="D37" s="12">
        <v>1</v>
      </c>
      <c r="E37" s="11">
        <v>0</v>
      </c>
      <c r="F37" s="12">
        <v>184</v>
      </c>
      <c r="G37" s="11">
        <v>0</v>
      </c>
      <c r="H37" s="11">
        <v>0.12</v>
      </c>
      <c r="I37" s="10">
        <v>171000</v>
      </c>
      <c r="J37" s="12" t="s">
        <v>7584</v>
      </c>
      <c r="K37" s="12">
        <v>22</v>
      </c>
      <c r="L37" s="12" t="s">
        <v>7585</v>
      </c>
      <c r="M37" s="10">
        <v>5728507546</v>
      </c>
      <c r="N37" s="10">
        <v>686550</v>
      </c>
      <c r="O37" s="12">
        <v>72</v>
      </c>
    </row>
    <row r="38" spans="1:15" x14ac:dyDescent="0.3">
      <c r="A38" s="9">
        <v>43625</v>
      </c>
      <c r="B38" s="12">
        <v>1</v>
      </c>
      <c r="C38" s="11">
        <v>0</v>
      </c>
      <c r="D38" s="12">
        <v>1</v>
      </c>
      <c r="E38" s="11">
        <v>0</v>
      </c>
      <c r="F38" s="12">
        <v>106</v>
      </c>
      <c r="G38" s="11">
        <v>0</v>
      </c>
      <c r="H38" s="11">
        <v>4.7E-2</v>
      </c>
      <c r="I38" s="10">
        <v>57000</v>
      </c>
      <c r="J38" s="12" t="s">
        <v>7586</v>
      </c>
      <c r="K38" s="12">
        <v>5</v>
      </c>
      <c r="L38" s="12" t="s">
        <v>1395</v>
      </c>
      <c r="M38" s="10">
        <v>5728564546</v>
      </c>
      <c r="N38" s="10">
        <v>686555</v>
      </c>
      <c r="O38" s="12">
        <v>79</v>
      </c>
    </row>
    <row r="39" spans="1:15" x14ac:dyDescent="0.3">
      <c r="A39" s="9">
        <v>43626</v>
      </c>
      <c r="B39" s="12">
        <v>1</v>
      </c>
      <c r="C39" s="11">
        <v>0</v>
      </c>
      <c r="D39" s="12">
        <v>1</v>
      </c>
      <c r="E39" s="11">
        <v>0</v>
      </c>
      <c r="F39" s="12">
        <v>184</v>
      </c>
      <c r="G39" s="11">
        <v>0</v>
      </c>
      <c r="H39" s="11">
        <v>5.0000000000000001E-3</v>
      </c>
      <c r="I39" s="10">
        <v>8000</v>
      </c>
      <c r="J39" s="12" t="s">
        <v>7587</v>
      </c>
      <c r="K39" s="12">
        <v>1</v>
      </c>
      <c r="L39" s="12" t="s">
        <v>310</v>
      </c>
      <c r="M39" s="10">
        <v>5728572546</v>
      </c>
      <c r="N39" s="10">
        <v>686556</v>
      </c>
      <c r="O39" s="12">
        <v>84</v>
      </c>
    </row>
    <row r="40" spans="1:15" x14ac:dyDescent="0.3">
      <c r="A40" s="9">
        <v>43627</v>
      </c>
      <c r="B40" s="12">
        <v>2</v>
      </c>
      <c r="C40" s="11">
        <v>0</v>
      </c>
      <c r="D40" s="12">
        <v>2</v>
      </c>
      <c r="E40" s="11">
        <v>0</v>
      </c>
      <c r="F40" s="12">
        <v>149</v>
      </c>
      <c r="G40" s="11">
        <v>0</v>
      </c>
      <c r="H40" s="11">
        <v>0.14799999999999999</v>
      </c>
      <c r="I40" s="10">
        <v>137000</v>
      </c>
      <c r="J40" s="12" t="s">
        <v>7588</v>
      </c>
      <c r="K40" s="12">
        <v>22</v>
      </c>
      <c r="L40" s="12" t="s">
        <v>7589</v>
      </c>
      <c r="M40" s="10">
        <v>5728709546</v>
      </c>
      <c r="N40" s="10">
        <v>686578</v>
      </c>
      <c r="O40" s="12">
        <v>71</v>
      </c>
    </row>
    <row r="41" spans="1:15" x14ac:dyDescent="0.3">
      <c r="A41" s="9">
        <v>43643</v>
      </c>
      <c r="B41" s="12">
        <v>1</v>
      </c>
      <c r="C41" s="11">
        <v>0</v>
      </c>
      <c r="D41" s="12">
        <v>1</v>
      </c>
      <c r="E41" s="11">
        <v>0</v>
      </c>
      <c r="F41" s="12">
        <v>231</v>
      </c>
      <c r="G41" s="11">
        <v>0</v>
      </c>
      <c r="H41" s="11">
        <v>1</v>
      </c>
      <c r="I41" s="10">
        <v>2079000</v>
      </c>
      <c r="J41" s="12" t="s">
        <v>7590</v>
      </c>
      <c r="K41" s="12">
        <v>231</v>
      </c>
      <c r="L41" s="12" t="s">
        <v>7591</v>
      </c>
      <c r="M41" s="10">
        <v>5730788546</v>
      </c>
      <c r="N41" s="10">
        <v>686809</v>
      </c>
      <c r="O41" s="12">
        <v>34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3EA9-4B57-4325-A270-8483B99FB6E9}">
  <dimension ref="A1:O51"/>
  <sheetViews>
    <sheetView workbookViewId="0">
      <selection activeCell="A5" sqref="A5:O11"/>
    </sheetView>
  </sheetViews>
  <sheetFormatPr defaultRowHeight="16.5" x14ac:dyDescent="0.3"/>
  <sheetData>
    <row r="1" spans="1:15" ht="19.5" x14ac:dyDescent="0.3">
      <c r="A1" s="197" t="s">
        <v>7592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20" t="s">
        <v>111</v>
      </c>
      <c r="B4" s="15" t="s">
        <v>112</v>
      </c>
      <c r="C4" s="15" t="s">
        <v>113</v>
      </c>
      <c r="D4" s="15" t="s">
        <v>114</v>
      </c>
      <c r="E4" s="15" t="s">
        <v>115</v>
      </c>
      <c r="F4" s="15" t="s">
        <v>116</v>
      </c>
      <c r="G4" s="15" t="s">
        <v>117</v>
      </c>
      <c r="H4" s="15" t="s">
        <v>118</v>
      </c>
      <c r="I4" s="15" t="s">
        <v>119</v>
      </c>
      <c r="J4" s="15" t="s">
        <v>120</v>
      </c>
      <c r="K4" s="15" t="s">
        <v>121</v>
      </c>
      <c r="L4" s="15" t="s">
        <v>122</v>
      </c>
      <c r="M4" s="15" t="s">
        <v>123</v>
      </c>
      <c r="N4" s="15" t="s">
        <v>124</v>
      </c>
      <c r="O4" s="21" t="s">
        <v>125</v>
      </c>
    </row>
    <row r="5" spans="1:15" ht="27" x14ac:dyDescent="0.3">
      <c r="A5" s="16">
        <v>43596</v>
      </c>
      <c r="B5" s="17">
        <v>193</v>
      </c>
      <c r="C5" s="18">
        <v>3.4000000000000002E-2</v>
      </c>
      <c r="D5" s="17">
        <v>296</v>
      </c>
      <c r="E5" s="18">
        <v>1.6E-2</v>
      </c>
      <c r="F5" s="19">
        <v>43064</v>
      </c>
      <c r="G5" s="18">
        <v>1.6E-2</v>
      </c>
      <c r="H5" s="18">
        <v>0.157</v>
      </c>
      <c r="I5" s="19">
        <v>60629790</v>
      </c>
      <c r="J5" s="17" t="s">
        <v>7593</v>
      </c>
      <c r="K5" s="19">
        <v>6766</v>
      </c>
      <c r="L5" s="17" t="s">
        <v>7594</v>
      </c>
      <c r="M5" s="19">
        <v>156678790</v>
      </c>
      <c r="N5" s="19">
        <v>17800</v>
      </c>
      <c r="O5" s="17">
        <v>7</v>
      </c>
    </row>
    <row r="6" spans="1:15" ht="27" x14ac:dyDescent="0.3">
      <c r="A6" s="16">
        <v>43597</v>
      </c>
      <c r="B6" s="17">
        <v>184</v>
      </c>
      <c r="C6" s="18">
        <v>3.2000000000000001E-2</v>
      </c>
      <c r="D6" s="17">
        <v>277</v>
      </c>
      <c r="E6" s="18">
        <v>1.6E-2</v>
      </c>
      <c r="F6" s="19">
        <v>38974</v>
      </c>
      <c r="G6" s="18">
        <v>1.4E-2</v>
      </c>
      <c r="H6" s="18">
        <v>0.152</v>
      </c>
      <c r="I6" s="19">
        <v>54355530</v>
      </c>
      <c r="J6" s="17" t="s">
        <v>7595</v>
      </c>
      <c r="K6" s="19">
        <v>5916</v>
      </c>
      <c r="L6" s="17" t="s">
        <v>7596</v>
      </c>
      <c r="M6" s="19">
        <v>211034320</v>
      </c>
      <c r="N6" s="19">
        <v>23716</v>
      </c>
      <c r="O6" s="17">
        <v>7</v>
      </c>
    </row>
    <row r="7" spans="1:15" ht="27" x14ac:dyDescent="0.3">
      <c r="A7" s="16">
        <v>43598</v>
      </c>
      <c r="B7" s="17">
        <v>8</v>
      </c>
      <c r="C7" s="18">
        <v>2E-3</v>
      </c>
      <c r="D7" s="17">
        <v>8</v>
      </c>
      <c r="E7" s="18">
        <v>0</v>
      </c>
      <c r="F7" s="19">
        <v>1795</v>
      </c>
      <c r="G7" s="18">
        <v>1E-3</v>
      </c>
      <c r="H7" s="18">
        <v>1</v>
      </c>
      <c r="I7" s="19">
        <v>16187000</v>
      </c>
      <c r="J7" s="17" t="s">
        <v>7597</v>
      </c>
      <c r="K7" s="19">
        <v>1795</v>
      </c>
      <c r="L7" s="17" t="s">
        <v>7598</v>
      </c>
      <c r="M7" s="19">
        <v>227221320</v>
      </c>
      <c r="N7" s="19">
        <v>25511</v>
      </c>
      <c r="O7" s="17">
        <v>6</v>
      </c>
    </row>
    <row r="8" spans="1:15" ht="27" x14ac:dyDescent="0.3">
      <c r="A8" s="16">
        <v>43599</v>
      </c>
      <c r="B8" s="17">
        <v>16</v>
      </c>
      <c r="C8" s="18">
        <v>3.0000000000000001E-3</v>
      </c>
      <c r="D8" s="17">
        <v>16</v>
      </c>
      <c r="E8" s="18">
        <v>1E-3</v>
      </c>
      <c r="F8" s="19">
        <v>3094</v>
      </c>
      <c r="G8" s="18">
        <v>1E-3</v>
      </c>
      <c r="H8" s="18">
        <v>0.48499999999999999</v>
      </c>
      <c r="I8" s="19">
        <v>17862200</v>
      </c>
      <c r="J8" s="17" t="s">
        <v>7599</v>
      </c>
      <c r="K8" s="19">
        <v>1501</v>
      </c>
      <c r="L8" s="17" t="s">
        <v>7600</v>
      </c>
      <c r="M8" s="19">
        <v>245083520</v>
      </c>
      <c r="N8" s="19">
        <v>27012</v>
      </c>
      <c r="O8" s="17">
        <v>8</v>
      </c>
    </row>
    <row r="9" spans="1:15" ht="27" x14ac:dyDescent="0.3">
      <c r="A9" s="16">
        <v>43600</v>
      </c>
      <c r="B9" s="17">
        <v>784</v>
      </c>
      <c r="C9" s="18">
        <v>0.14799999999999999</v>
      </c>
      <c r="D9" s="19">
        <v>3049</v>
      </c>
      <c r="E9" s="18">
        <v>0.17399999999999999</v>
      </c>
      <c r="F9" s="19">
        <v>481281</v>
      </c>
      <c r="G9" s="18">
        <v>0.17699999999999999</v>
      </c>
      <c r="H9" s="18">
        <v>5.3999999999999999E-2</v>
      </c>
      <c r="I9" s="19">
        <v>204296220</v>
      </c>
      <c r="J9" s="17" t="s">
        <v>7601</v>
      </c>
      <c r="K9" s="19">
        <v>25929</v>
      </c>
      <c r="L9" s="17" t="s">
        <v>7602</v>
      </c>
      <c r="M9" s="19">
        <v>449379740</v>
      </c>
      <c r="N9" s="19">
        <v>52941</v>
      </c>
      <c r="O9" s="17">
        <v>4</v>
      </c>
    </row>
    <row r="10" spans="1:15" ht="27" x14ac:dyDescent="0.3">
      <c r="A10" s="16">
        <v>43601</v>
      </c>
      <c r="B10" s="17">
        <v>726</v>
      </c>
      <c r="C10" s="18">
        <v>0.128</v>
      </c>
      <c r="D10" s="19">
        <v>2673</v>
      </c>
      <c r="E10" s="18">
        <v>0.153</v>
      </c>
      <c r="F10" s="19">
        <v>419890</v>
      </c>
      <c r="G10" s="18">
        <v>0.154</v>
      </c>
      <c r="H10" s="18">
        <v>4.4999999999999998E-2</v>
      </c>
      <c r="I10" s="19">
        <v>148323930</v>
      </c>
      <c r="J10" s="17" t="s">
        <v>7603</v>
      </c>
      <c r="K10" s="19">
        <v>18893</v>
      </c>
      <c r="L10" s="17" t="s">
        <v>7604</v>
      </c>
      <c r="M10" s="19">
        <v>597703670</v>
      </c>
      <c r="N10" s="19">
        <v>71834</v>
      </c>
      <c r="O10" s="17">
        <v>4</v>
      </c>
    </row>
    <row r="11" spans="1:15" ht="27" x14ac:dyDescent="0.3">
      <c r="A11" s="16">
        <v>43602</v>
      </c>
      <c r="B11" s="17">
        <v>648</v>
      </c>
      <c r="C11" s="18">
        <v>0.112</v>
      </c>
      <c r="D11" s="19">
        <v>2368</v>
      </c>
      <c r="E11" s="18">
        <v>0.13</v>
      </c>
      <c r="F11" s="19">
        <v>359494</v>
      </c>
      <c r="G11" s="18">
        <v>0.127</v>
      </c>
      <c r="H11" s="18">
        <v>7.1999999999999995E-2</v>
      </c>
      <c r="I11" s="19">
        <v>202927160</v>
      </c>
      <c r="J11" s="17" t="s">
        <v>7605</v>
      </c>
      <c r="K11" s="19">
        <v>25859</v>
      </c>
      <c r="L11" s="17" t="s">
        <v>7606</v>
      </c>
      <c r="M11" s="19">
        <v>800630830</v>
      </c>
      <c r="N11" s="19">
        <v>97693</v>
      </c>
      <c r="O11" s="17">
        <v>4</v>
      </c>
    </row>
    <row r="12" spans="1:15" ht="27" x14ac:dyDescent="0.3">
      <c r="A12" s="16">
        <v>43603</v>
      </c>
      <c r="B12" s="17">
        <v>628</v>
      </c>
      <c r="C12" s="18">
        <v>9.8000000000000004E-2</v>
      </c>
      <c r="D12" s="19">
        <v>1903</v>
      </c>
      <c r="E12" s="18">
        <v>9.8000000000000004E-2</v>
      </c>
      <c r="F12" s="19">
        <v>269760</v>
      </c>
      <c r="G12" s="18">
        <v>0.09</v>
      </c>
      <c r="H12" s="18">
        <v>0.17599999999999999</v>
      </c>
      <c r="I12" s="19">
        <v>383671930</v>
      </c>
      <c r="J12" s="17" t="s">
        <v>7607</v>
      </c>
      <c r="K12" s="19">
        <v>47395</v>
      </c>
      <c r="L12" s="17" t="s">
        <v>7608</v>
      </c>
      <c r="M12" s="19">
        <v>1184302760</v>
      </c>
      <c r="N12" s="19">
        <v>145088</v>
      </c>
      <c r="O12" s="17">
        <v>5</v>
      </c>
    </row>
    <row r="13" spans="1:15" ht="27" x14ac:dyDescent="0.3">
      <c r="A13" s="16">
        <v>43604</v>
      </c>
      <c r="B13" s="17">
        <v>615</v>
      </c>
      <c r="C13" s="18">
        <v>9.7000000000000003E-2</v>
      </c>
      <c r="D13" s="19">
        <v>1789</v>
      </c>
      <c r="E13" s="18">
        <v>9.4E-2</v>
      </c>
      <c r="F13" s="19">
        <v>247173</v>
      </c>
      <c r="G13" s="18">
        <v>8.4000000000000005E-2</v>
      </c>
      <c r="H13" s="18">
        <v>0.191</v>
      </c>
      <c r="I13" s="19">
        <v>381275480</v>
      </c>
      <c r="J13" s="17" t="s">
        <v>7609</v>
      </c>
      <c r="K13" s="19">
        <v>47090</v>
      </c>
      <c r="L13" s="17" t="s">
        <v>7610</v>
      </c>
      <c r="M13" s="19">
        <v>1565578240</v>
      </c>
      <c r="N13" s="19">
        <v>192178</v>
      </c>
      <c r="O13" s="17">
        <v>5</v>
      </c>
    </row>
    <row r="14" spans="1:15" ht="40.5" x14ac:dyDescent="0.3">
      <c r="A14" s="16">
        <v>43605</v>
      </c>
      <c r="B14" s="17">
        <v>621</v>
      </c>
      <c r="C14" s="18">
        <v>0.113</v>
      </c>
      <c r="D14" s="19">
        <v>1815</v>
      </c>
      <c r="E14" s="18">
        <v>0.104</v>
      </c>
      <c r="F14" s="19">
        <v>243366</v>
      </c>
      <c r="G14" s="18">
        <v>8.8999999999999996E-2</v>
      </c>
      <c r="H14" s="18">
        <v>8.4000000000000005E-2</v>
      </c>
      <c r="I14" s="19">
        <v>146639730</v>
      </c>
      <c r="J14" s="17" t="s">
        <v>7611</v>
      </c>
      <c r="K14" s="19">
        <v>20411</v>
      </c>
      <c r="L14" s="17" t="s">
        <v>7612</v>
      </c>
      <c r="M14" s="19">
        <v>1712217970</v>
      </c>
      <c r="N14" s="19">
        <v>212589</v>
      </c>
      <c r="O14" s="17">
        <v>4</v>
      </c>
    </row>
    <row r="15" spans="1:15" ht="27" x14ac:dyDescent="0.3">
      <c r="A15" s="16">
        <v>43606</v>
      </c>
      <c r="B15" s="17">
        <v>607</v>
      </c>
      <c r="C15" s="18">
        <v>0.11</v>
      </c>
      <c r="D15" s="19">
        <v>1804</v>
      </c>
      <c r="E15" s="18">
        <v>0.104</v>
      </c>
      <c r="F15" s="19">
        <v>240115</v>
      </c>
      <c r="G15" s="18">
        <v>8.7999999999999995E-2</v>
      </c>
      <c r="H15" s="18">
        <v>6.2E-2</v>
      </c>
      <c r="I15" s="19">
        <v>119626070</v>
      </c>
      <c r="J15" s="17" t="s">
        <v>7613</v>
      </c>
      <c r="K15" s="19">
        <v>14973</v>
      </c>
      <c r="L15" s="17" t="s">
        <v>7614</v>
      </c>
      <c r="M15" s="19">
        <v>1831844040</v>
      </c>
      <c r="N15" s="19">
        <v>227562</v>
      </c>
      <c r="O15" s="17">
        <v>4</v>
      </c>
    </row>
    <row r="16" spans="1:15" ht="27" x14ac:dyDescent="0.3">
      <c r="A16" s="16">
        <v>43607</v>
      </c>
      <c r="B16" s="17">
        <v>460</v>
      </c>
      <c r="C16" s="18">
        <v>8.8999999999999996E-2</v>
      </c>
      <c r="D16" s="19">
        <v>1106</v>
      </c>
      <c r="E16" s="18">
        <v>6.3E-2</v>
      </c>
      <c r="F16" s="19">
        <v>138888</v>
      </c>
      <c r="G16" s="18">
        <v>0.05</v>
      </c>
      <c r="H16" s="18">
        <v>7.2999999999999995E-2</v>
      </c>
      <c r="I16" s="19">
        <v>79526850</v>
      </c>
      <c r="J16" s="17" t="s">
        <v>7615</v>
      </c>
      <c r="K16" s="19">
        <v>10172</v>
      </c>
      <c r="L16" s="17" t="s">
        <v>7616</v>
      </c>
      <c r="M16" s="19">
        <v>1911370890</v>
      </c>
      <c r="N16" s="19">
        <v>237734</v>
      </c>
      <c r="O16" s="17">
        <v>5</v>
      </c>
    </row>
    <row r="17" spans="1:15" ht="27" x14ac:dyDescent="0.3">
      <c r="A17" s="16">
        <v>43608</v>
      </c>
      <c r="B17" s="17">
        <v>255</v>
      </c>
      <c r="C17" s="18">
        <v>4.3999999999999997E-2</v>
      </c>
      <c r="D17" s="17">
        <v>458</v>
      </c>
      <c r="E17" s="18">
        <v>2.5000000000000001E-2</v>
      </c>
      <c r="F17" s="19">
        <v>53887</v>
      </c>
      <c r="G17" s="18">
        <v>1.9E-2</v>
      </c>
      <c r="H17" s="18">
        <v>8.7999999999999995E-2</v>
      </c>
      <c r="I17" s="19">
        <v>36340450</v>
      </c>
      <c r="J17" s="17" t="s">
        <v>7617</v>
      </c>
      <c r="K17" s="19">
        <v>4718</v>
      </c>
      <c r="L17" s="17" t="s">
        <v>7618</v>
      </c>
      <c r="M17" s="19">
        <v>1947711340</v>
      </c>
      <c r="N17" s="19">
        <v>242452</v>
      </c>
      <c r="O17" s="17">
        <v>7</v>
      </c>
    </row>
    <row r="18" spans="1:15" ht="27" x14ac:dyDescent="0.3">
      <c r="A18" s="16">
        <v>43609</v>
      </c>
      <c r="B18" s="17">
        <v>268</v>
      </c>
      <c r="C18" s="18">
        <v>4.3999999999999997E-2</v>
      </c>
      <c r="D18" s="17">
        <v>476</v>
      </c>
      <c r="E18" s="18">
        <v>2.5999999999999999E-2</v>
      </c>
      <c r="F18" s="19">
        <v>55196</v>
      </c>
      <c r="G18" s="18">
        <v>1.9E-2</v>
      </c>
      <c r="H18" s="18">
        <v>0.124</v>
      </c>
      <c r="I18" s="19">
        <v>50024940</v>
      </c>
      <c r="J18" s="17" t="s">
        <v>7619</v>
      </c>
      <c r="K18" s="19">
        <v>6842</v>
      </c>
      <c r="L18" s="17" t="s">
        <v>7620</v>
      </c>
      <c r="M18" s="19">
        <v>1997736280</v>
      </c>
      <c r="N18" s="19">
        <v>249294</v>
      </c>
      <c r="O18" s="17">
        <v>7</v>
      </c>
    </row>
    <row r="19" spans="1:15" ht="27" x14ac:dyDescent="0.3">
      <c r="A19" s="16">
        <v>43610</v>
      </c>
      <c r="B19" s="17">
        <v>257</v>
      </c>
      <c r="C19" s="18">
        <v>3.9E-2</v>
      </c>
      <c r="D19" s="17">
        <v>417</v>
      </c>
      <c r="E19" s="18">
        <v>2.1000000000000001E-2</v>
      </c>
      <c r="F19" s="19">
        <v>49818</v>
      </c>
      <c r="G19" s="18">
        <v>1.6E-2</v>
      </c>
      <c r="H19" s="18">
        <v>0.20899999999999999</v>
      </c>
      <c r="I19" s="19">
        <v>87065240</v>
      </c>
      <c r="J19" s="17" t="s">
        <v>7621</v>
      </c>
      <c r="K19" s="19">
        <v>10402</v>
      </c>
      <c r="L19" s="17" t="s">
        <v>7622</v>
      </c>
      <c r="M19" s="19">
        <v>2084801520</v>
      </c>
      <c r="N19" s="19">
        <v>259696</v>
      </c>
      <c r="O19" s="17">
        <v>8</v>
      </c>
    </row>
    <row r="20" spans="1:15" ht="27" x14ac:dyDescent="0.3">
      <c r="A20" s="16">
        <v>43611</v>
      </c>
      <c r="B20" s="17">
        <v>264</v>
      </c>
      <c r="C20" s="18">
        <v>0.04</v>
      </c>
      <c r="D20" s="17">
        <v>411</v>
      </c>
      <c r="E20" s="18">
        <v>2.1000000000000001E-2</v>
      </c>
      <c r="F20" s="19">
        <v>48198</v>
      </c>
      <c r="G20" s="18">
        <v>1.6E-2</v>
      </c>
      <c r="H20" s="18">
        <v>0.219</v>
      </c>
      <c r="I20" s="19">
        <v>86976080</v>
      </c>
      <c r="J20" s="17" t="s">
        <v>7623</v>
      </c>
      <c r="K20" s="19">
        <v>10574</v>
      </c>
      <c r="L20" s="17" t="s">
        <v>7624</v>
      </c>
      <c r="M20" s="19">
        <v>2171777600</v>
      </c>
      <c r="N20" s="19">
        <v>270270</v>
      </c>
      <c r="O20" s="17">
        <v>8</v>
      </c>
    </row>
    <row r="21" spans="1:15" ht="27" x14ac:dyDescent="0.3">
      <c r="A21" s="16">
        <v>43612</v>
      </c>
      <c r="B21" s="17">
        <v>250</v>
      </c>
      <c r="C21" s="18">
        <v>4.3999999999999997E-2</v>
      </c>
      <c r="D21" s="17">
        <v>420</v>
      </c>
      <c r="E21" s="18">
        <v>2.4E-2</v>
      </c>
      <c r="F21" s="19">
        <v>48946</v>
      </c>
      <c r="G21" s="18">
        <v>1.7999999999999999E-2</v>
      </c>
      <c r="H21" s="18">
        <v>6.9000000000000006E-2</v>
      </c>
      <c r="I21" s="19">
        <v>26569360</v>
      </c>
      <c r="J21" s="17" t="s">
        <v>7625</v>
      </c>
      <c r="K21" s="19">
        <v>3397</v>
      </c>
      <c r="L21" s="17" t="s">
        <v>7626</v>
      </c>
      <c r="M21" s="19">
        <v>2198346960</v>
      </c>
      <c r="N21" s="19">
        <v>273667</v>
      </c>
      <c r="O21" s="17">
        <v>7</v>
      </c>
    </row>
    <row r="22" spans="1:15" ht="27" x14ac:dyDescent="0.3">
      <c r="A22" s="16">
        <v>43613</v>
      </c>
      <c r="B22" s="17">
        <v>250</v>
      </c>
      <c r="C22" s="18">
        <v>4.2000000000000003E-2</v>
      </c>
      <c r="D22" s="17">
        <v>414</v>
      </c>
      <c r="E22" s="18">
        <v>2.3E-2</v>
      </c>
      <c r="F22" s="19">
        <v>48547</v>
      </c>
      <c r="G22" s="18">
        <v>1.7999999999999999E-2</v>
      </c>
      <c r="H22" s="18">
        <v>6.8000000000000005E-2</v>
      </c>
      <c r="I22" s="19">
        <v>25901130</v>
      </c>
      <c r="J22" s="17" t="s">
        <v>7627</v>
      </c>
      <c r="K22" s="19">
        <v>3321</v>
      </c>
      <c r="L22" s="17" t="s">
        <v>7628</v>
      </c>
      <c r="M22" s="19">
        <v>2224248090</v>
      </c>
      <c r="N22" s="19">
        <v>276988</v>
      </c>
      <c r="O22" s="17">
        <v>8</v>
      </c>
    </row>
    <row r="23" spans="1:15" ht="27" x14ac:dyDescent="0.3">
      <c r="A23" s="16">
        <v>43614</v>
      </c>
      <c r="B23" s="17">
        <v>84</v>
      </c>
      <c r="C23" s="18">
        <v>1.4E-2</v>
      </c>
      <c r="D23" s="17">
        <v>94</v>
      </c>
      <c r="E23" s="18">
        <v>5.0000000000000001E-3</v>
      </c>
      <c r="F23" s="19">
        <v>10260</v>
      </c>
      <c r="G23" s="18">
        <v>4.0000000000000001E-3</v>
      </c>
      <c r="H23" s="18">
        <v>0.26</v>
      </c>
      <c r="I23" s="19">
        <v>15041400</v>
      </c>
      <c r="J23" s="17" t="s">
        <v>7629</v>
      </c>
      <c r="K23" s="19">
        <v>2672</v>
      </c>
      <c r="L23" s="17" t="s">
        <v>7630</v>
      </c>
      <c r="M23" s="19">
        <v>2239289490</v>
      </c>
      <c r="N23" s="19">
        <v>279660</v>
      </c>
      <c r="O23" s="17">
        <v>10</v>
      </c>
    </row>
    <row r="24" spans="1:15" ht="27" x14ac:dyDescent="0.3">
      <c r="A24" s="16">
        <v>43615</v>
      </c>
      <c r="B24" s="17">
        <v>40</v>
      </c>
      <c r="C24" s="18">
        <v>7.0000000000000001E-3</v>
      </c>
      <c r="D24" s="17">
        <v>60</v>
      </c>
      <c r="E24" s="18">
        <v>3.0000000000000001E-3</v>
      </c>
      <c r="F24" s="19">
        <v>6550</v>
      </c>
      <c r="G24" s="18">
        <v>2E-3</v>
      </c>
      <c r="H24" s="18">
        <v>8.5999999999999993E-2</v>
      </c>
      <c r="I24" s="19">
        <v>4399500</v>
      </c>
      <c r="J24" s="17" t="s">
        <v>7631</v>
      </c>
      <c r="K24" s="17">
        <v>563</v>
      </c>
      <c r="L24" s="17" t="s">
        <v>7632</v>
      </c>
      <c r="M24" s="19">
        <v>2243688990</v>
      </c>
      <c r="N24" s="19">
        <v>280223</v>
      </c>
      <c r="O24" s="17">
        <v>17</v>
      </c>
    </row>
    <row r="25" spans="1:15" ht="27" x14ac:dyDescent="0.3">
      <c r="A25" s="16">
        <v>43616</v>
      </c>
      <c r="B25" s="17">
        <v>37</v>
      </c>
      <c r="C25" s="18">
        <v>7.0000000000000001E-3</v>
      </c>
      <c r="D25" s="17">
        <v>56</v>
      </c>
      <c r="E25" s="18">
        <v>3.0000000000000001E-3</v>
      </c>
      <c r="F25" s="19">
        <v>6087</v>
      </c>
      <c r="G25" s="18">
        <v>2E-3</v>
      </c>
      <c r="H25" s="18">
        <v>8.1000000000000003E-2</v>
      </c>
      <c r="I25" s="19">
        <v>4018800</v>
      </c>
      <c r="J25" s="17" t="s">
        <v>7633</v>
      </c>
      <c r="K25" s="17">
        <v>491</v>
      </c>
      <c r="L25" s="17" t="s">
        <v>7634</v>
      </c>
      <c r="M25" s="19">
        <v>2247707790</v>
      </c>
      <c r="N25" s="19">
        <v>280714</v>
      </c>
      <c r="O25" s="17">
        <v>16</v>
      </c>
    </row>
    <row r="26" spans="1:15" ht="27" x14ac:dyDescent="0.3">
      <c r="A26" s="16">
        <v>43617</v>
      </c>
      <c r="B26" s="17">
        <v>33</v>
      </c>
      <c r="C26" s="18">
        <v>6.0000000000000001E-3</v>
      </c>
      <c r="D26" s="17">
        <v>56</v>
      </c>
      <c r="E26" s="18">
        <v>3.0000000000000001E-3</v>
      </c>
      <c r="F26" s="19">
        <v>6208</v>
      </c>
      <c r="G26" s="18">
        <v>2E-3</v>
      </c>
      <c r="H26" s="18">
        <v>0.16900000000000001</v>
      </c>
      <c r="I26" s="19">
        <v>8919600</v>
      </c>
      <c r="J26" s="17" t="s">
        <v>7635</v>
      </c>
      <c r="K26" s="19">
        <v>1049</v>
      </c>
      <c r="L26" s="17" t="s">
        <v>7636</v>
      </c>
      <c r="M26" s="19">
        <v>2256627390</v>
      </c>
      <c r="N26" s="19">
        <v>281763</v>
      </c>
      <c r="O26" s="17">
        <v>13</v>
      </c>
    </row>
    <row r="27" spans="1:15" ht="27" x14ac:dyDescent="0.3">
      <c r="A27" s="16">
        <v>43618</v>
      </c>
      <c r="B27" s="17">
        <v>33</v>
      </c>
      <c r="C27" s="18">
        <v>6.0000000000000001E-3</v>
      </c>
      <c r="D27" s="17">
        <v>55</v>
      </c>
      <c r="E27" s="18">
        <v>3.0000000000000001E-3</v>
      </c>
      <c r="F27" s="19">
        <v>6201</v>
      </c>
      <c r="G27" s="18">
        <v>2E-3</v>
      </c>
      <c r="H27" s="18">
        <v>0.14000000000000001</v>
      </c>
      <c r="I27" s="19">
        <v>6985100</v>
      </c>
      <c r="J27" s="17" t="s">
        <v>7637</v>
      </c>
      <c r="K27" s="17">
        <v>870</v>
      </c>
      <c r="L27" s="17" t="s">
        <v>7638</v>
      </c>
      <c r="M27" s="19">
        <v>2263612490</v>
      </c>
      <c r="N27" s="19">
        <v>282633</v>
      </c>
      <c r="O27" s="17">
        <v>14</v>
      </c>
    </row>
    <row r="28" spans="1:15" ht="27" x14ac:dyDescent="0.3">
      <c r="A28" s="16">
        <v>43619</v>
      </c>
      <c r="B28" s="17">
        <v>34</v>
      </c>
      <c r="C28" s="18">
        <v>7.0000000000000001E-3</v>
      </c>
      <c r="D28" s="17">
        <v>47</v>
      </c>
      <c r="E28" s="18">
        <v>3.0000000000000001E-3</v>
      </c>
      <c r="F28" s="19">
        <v>5308</v>
      </c>
      <c r="G28" s="18">
        <v>2E-3</v>
      </c>
      <c r="H28" s="18">
        <v>7.0000000000000007E-2</v>
      </c>
      <c r="I28" s="19">
        <v>2798500</v>
      </c>
      <c r="J28" s="17" t="s">
        <v>7639</v>
      </c>
      <c r="K28" s="17">
        <v>373</v>
      </c>
      <c r="L28" s="17" t="s">
        <v>7640</v>
      </c>
      <c r="M28" s="19">
        <v>2266410990</v>
      </c>
      <c r="N28" s="19">
        <v>283006</v>
      </c>
      <c r="O28" s="17">
        <v>18</v>
      </c>
    </row>
    <row r="29" spans="1:15" ht="27" x14ac:dyDescent="0.3">
      <c r="A29" s="16">
        <v>43620</v>
      </c>
      <c r="B29" s="17">
        <v>37</v>
      </c>
      <c r="C29" s="18">
        <v>7.0000000000000001E-3</v>
      </c>
      <c r="D29" s="17">
        <v>45</v>
      </c>
      <c r="E29" s="18">
        <v>3.0000000000000001E-3</v>
      </c>
      <c r="F29" s="19">
        <v>5124</v>
      </c>
      <c r="G29" s="18">
        <v>2E-3</v>
      </c>
      <c r="H29" s="18">
        <v>0.13800000000000001</v>
      </c>
      <c r="I29" s="19">
        <v>5575300</v>
      </c>
      <c r="J29" s="17" t="s">
        <v>7641</v>
      </c>
      <c r="K29" s="17">
        <v>708</v>
      </c>
      <c r="L29" s="17" t="s">
        <v>7642</v>
      </c>
      <c r="M29" s="19">
        <v>2271986290</v>
      </c>
      <c r="N29" s="19">
        <v>283714</v>
      </c>
      <c r="O29" s="17">
        <v>13</v>
      </c>
    </row>
    <row r="30" spans="1:15" ht="27" x14ac:dyDescent="0.3">
      <c r="A30" s="16">
        <v>43621</v>
      </c>
      <c r="B30" s="17">
        <v>21</v>
      </c>
      <c r="C30" s="18">
        <v>4.0000000000000001E-3</v>
      </c>
      <c r="D30" s="17">
        <v>34</v>
      </c>
      <c r="E30" s="18">
        <v>2E-3</v>
      </c>
      <c r="F30" s="19">
        <v>3479</v>
      </c>
      <c r="G30" s="18">
        <v>1E-3</v>
      </c>
      <c r="H30" s="18">
        <v>0.104</v>
      </c>
      <c r="I30" s="19">
        <v>2834000</v>
      </c>
      <c r="J30" s="17" t="s">
        <v>7643</v>
      </c>
      <c r="K30" s="17">
        <v>363</v>
      </c>
      <c r="L30" s="17" t="s">
        <v>7644</v>
      </c>
      <c r="M30" s="19">
        <v>2274820290</v>
      </c>
      <c r="N30" s="19">
        <v>284077</v>
      </c>
      <c r="O30" s="17">
        <v>20</v>
      </c>
    </row>
    <row r="31" spans="1:15" ht="27" x14ac:dyDescent="0.3">
      <c r="A31" s="16">
        <v>43622</v>
      </c>
      <c r="B31" s="17">
        <v>5</v>
      </c>
      <c r="C31" s="18">
        <v>1E-3</v>
      </c>
      <c r="D31" s="17">
        <v>5</v>
      </c>
      <c r="E31" s="18">
        <v>0</v>
      </c>
      <c r="F31" s="17">
        <v>444</v>
      </c>
      <c r="G31" s="18">
        <v>0</v>
      </c>
      <c r="H31" s="18">
        <v>0.378</v>
      </c>
      <c r="I31" s="19">
        <v>1028000</v>
      </c>
      <c r="J31" s="17" t="s">
        <v>7645</v>
      </c>
      <c r="K31" s="17">
        <v>168</v>
      </c>
      <c r="L31" s="17" t="s">
        <v>7646</v>
      </c>
      <c r="M31" s="19">
        <v>2275848290</v>
      </c>
      <c r="N31" s="19">
        <v>284245</v>
      </c>
      <c r="O31" s="17">
        <v>32</v>
      </c>
    </row>
    <row r="32" spans="1:15" ht="27" x14ac:dyDescent="0.3">
      <c r="A32" s="16">
        <v>43623</v>
      </c>
      <c r="B32" s="17">
        <v>4</v>
      </c>
      <c r="C32" s="18">
        <v>1E-3</v>
      </c>
      <c r="D32" s="17">
        <v>4</v>
      </c>
      <c r="E32" s="18">
        <v>0</v>
      </c>
      <c r="F32" s="17">
        <v>328</v>
      </c>
      <c r="G32" s="18">
        <v>0</v>
      </c>
      <c r="H32" s="18">
        <v>0.14299999999999999</v>
      </c>
      <c r="I32" s="19">
        <v>428000</v>
      </c>
      <c r="J32" s="17" t="s">
        <v>7647</v>
      </c>
      <c r="K32" s="17">
        <v>47</v>
      </c>
      <c r="L32" s="17" t="s">
        <v>7648</v>
      </c>
      <c r="M32" s="19">
        <v>2276276290</v>
      </c>
      <c r="N32" s="19">
        <v>284292</v>
      </c>
      <c r="O32" s="17">
        <v>50</v>
      </c>
    </row>
    <row r="33" spans="1:15" ht="27" x14ac:dyDescent="0.3">
      <c r="A33" s="16">
        <v>43624</v>
      </c>
      <c r="B33" s="17">
        <v>4</v>
      </c>
      <c r="C33" s="18">
        <v>1E-3</v>
      </c>
      <c r="D33" s="17">
        <v>4</v>
      </c>
      <c r="E33" s="18">
        <v>0</v>
      </c>
      <c r="F33" s="17">
        <v>328</v>
      </c>
      <c r="G33" s="18">
        <v>0</v>
      </c>
      <c r="H33" s="18">
        <v>0.24099999999999999</v>
      </c>
      <c r="I33" s="19">
        <v>709500</v>
      </c>
      <c r="J33" s="17" t="s">
        <v>7649</v>
      </c>
      <c r="K33" s="17">
        <v>79</v>
      </c>
      <c r="L33" s="17" t="s">
        <v>7650</v>
      </c>
      <c r="M33" s="19">
        <v>2276985790</v>
      </c>
      <c r="N33" s="19">
        <v>284371</v>
      </c>
      <c r="O33" s="17">
        <v>43</v>
      </c>
    </row>
    <row r="34" spans="1:15" ht="27" x14ac:dyDescent="0.3">
      <c r="A34" s="16">
        <v>43625</v>
      </c>
      <c r="B34" s="17">
        <v>4</v>
      </c>
      <c r="C34" s="18">
        <v>1E-3</v>
      </c>
      <c r="D34" s="17">
        <v>4</v>
      </c>
      <c r="E34" s="18">
        <v>0</v>
      </c>
      <c r="F34" s="17">
        <v>328</v>
      </c>
      <c r="G34" s="18">
        <v>0</v>
      </c>
      <c r="H34" s="18">
        <v>0.32600000000000001</v>
      </c>
      <c r="I34" s="19">
        <v>915000</v>
      </c>
      <c r="J34" s="17" t="s">
        <v>7651</v>
      </c>
      <c r="K34" s="17">
        <v>107</v>
      </c>
      <c r="L34" s="17" t="s">
        <v>7652</v>
      </c>
      <c r="M34" s="19">
        <v>2277900790</v>
      </c>
      <c r="N34" s="19">
        <v>284478</v>
      </c>
      <c r="O34" s="17">
        <v>36</v>
      </c>
    </row>
    <row r="35" spans="1:15" ht="27" x14ac:dyDescent="0.3">
      <c r="A35" s="16">
        <v>43626</v>
      </c>
      <c r="B35" s="17">
        <v>6</v>
      </c>
      <c r="C35" s="18">
        <v>1E-3</v>
      </c>
      <c r="D35" s="17">
        <v>6</v>
      </c>
      <c r="E35" s="18">
        <v>0</v>
      </c>
      <c r="F35" s="17">
        <v>596</v>
      </c>
      <c r="G35" s="18">
        <v>0</v>
      </c>
      <c r="H35" s="18">
        <v>0.32400000000000001</v>
      </c>
      <c r="I35" s="19">
        <v>1781800</v>
      </c>
      <c r="J35" s="17" t="s">
        <v>7653</v>
      </c>
      <c r="K35" s="17">
        <v>193</v>
      </c>
      <c r="L35" s="17" t="s">
        <v>7654</v>
      </c>
      <c r="M35" s="19">
        <v>2279682590</v>
      </c>
      <c r="N35" s="19">
        <v>284671</v>
      </c>
      <c r="O35" s="17">
        <v>32</v>
      </c>
    </row>
    <row r="36" spans="1:15" ht="27" x14ac:dyDescent="0.3">
      <c r="A36" s="16">
        <v>43627</v>
      </c>
      <c r="B36" s="17">
        <v>4</v>
      </c>
      <c r="C36" s="18">
        <v>1E-3</v>
      </c>
      <c r="D36" s="17">
        <v>4</v>
      </c>
      <c r="E36" s="18">
        <v>0</v>
      </c>
      <c r="F36" s="17">
        <v>330</v>
      </c>
      <c r="G36" s="18">
        <v>0</v>
      </c>
      <c r="H36" s="18">
        <v>8.2000000000000003E-2</v>
      </c>
      <c r="I36" s="19">
        <v>191000</v>
      </c>
      <c r="J36" s="17" t="s">
        <v>7655</v>
      </c>
      <c r="K36" s="17">
        <v>27</v>
      </c>
      <c r="L36" s="17" t="s">
        <v>7656</v>
      </c>
      <c r="M36" s="19">
        <v>2279873590</v>
      </c>
      <c r="N36" s="19">
        <v>284698</v>
      </c>
      <c r="O36" s="17">
        <v>66</v>
      </c>
    </row>
    <row r="37" spans="1:15" ht="27" x14ac:dyDescent="0.3">
      <c r="A37" s="16">
        <v>43628</v>
      </c>
      <c r="B37" s="17">
        <v>8</v>
      </c>
      <c r="C37" s="18">
        <v>2E-3</v>
      </c>
      <c r="D37" s="17">
        <v>8</v>
      </c>
      <c r="E37" s="18">
        <v>0</v>
      </c>
      <c r="F37" s="17">
        <v>780</v>
      </c>
      <c r="G37" s="18">
        <v>0</v>
      </c>
      <c r="H37" s="18">
        <v>0.20799999999999999</v>
      </c>
      <c r="I37" s="19">
        <v>1025500</v>
      </c>
      <c r="J37" s="17" t="s">
        <v>7657</v>
      </c>
      <c r="K37" s="17">
        <v>162</v>
      </c>
      <c r="L37" s="17" t="s">
        <v>7658</v>
      </c>
      <c r="M37" s="19">
        <v>2280899090</v>
      </c>
      <c r="N37" s="19">
        <v>284860</v>
      </c>
      <c r="O37" s="17">
        <v>35</v>
      </c>
    </row>
    <row r="38" spans="1:15" ht="27" x14ac:dyDescent="0.3">
      <c r="A38" s="16">
        <v>43629</v>
      </c>
      <c r="B38" s="17">
        <v>4</v>
      </c>
      <c r="C38" s="18">
        <v>1E-3</v>
      </c>
      <c r="D38" s="17">
        <v>4</v>
      </c>
      <c r="E38" s="18">
        <v>0</v>
      </c>
      <c r="F38" s="17">
        <v>471</v>
      </c>
      <c r="G38" s="18">
        <v>0</v>
      </c>
      <c r="H38" s="18">
        <v>0.31</v>
      </c>
      <c r="I38" s="19">
        <v>845000</v>
      </c>
      <c r="J38" s="17" t="s">
        <v>7659</v>
      </c>
      <c r="K38" s="17">
        <v>146</v>
      </c>
      <c r="L38" s="17" t="s">
        <v>7660</v>
      </c>
      <c r="M38" s="19">
        <v>2281744090</v>
      </c>
      <c r="N38" s="19">
        <v>285006</v>
      </c>
      <c r="O38" s="17">
        <v>43</v>
      </c>
    </row>
    <row r="39" spans="1:15" ht="27" x14ac:dyDescent="0.3">
      <c r="A39" s="16">
        <v>43630</v>
      </c>
      <c r="B39" s="17">
        <v>4</v>
      </c>
      <c r="C39" s="18">
        <v>1E-3</v>
      </c>
      <c r="D39" s="17">
        <v>4</v>
      </c>
      <c r="E39" s="18">
        <v>0</v>
      </c>
      <c r="F39" s="17">
        <v>962</v>
      </c>
      <c r="G39" s="18">
        <v>0</v>
      </c>
      <c r="H39" s="18">
        <v>0.307</v>
      </c>
      <c r="I39" s="19">
        <v>1769000</v>
      </c>
      <c r="J39" s="17" t="s">
        <v>7661</v>
      </c>
      <c r="K39" s="17">
        <v>295</v>
      </c>
      <c r="L39" s="17" t="s">
        <v>7662</v>
      </c>
      <c r="M39" s="19">
        <v>2283513090</v>
      </c>
      <c r="N39" s="19">
        <v>285301</v>
      </c>
      <c r="O39" s="17">
        <v>28</v>
      </c>
    </row>
    <row r="40" spans="1:15" ht="27" x14ac:dyDescent="0.3">
      <c r="A40" s="16">
        <v>43631</v>
      </c>
      <c r="B40" s="17">
        <v>3</v>
      </c>
      <c r="C40" s="18">
        <v>0</v>
      </c>
      <c r="D40" s="17">
        <v>3</v>
      </c>
      <c r="E40" s="18">
        <v>0</v>
      </c>
      <c r="F40" s="17">
        <v>473</v>
      </c>
      <c r="G40" s="18">
        <v>0</v>
      </c>
      <c r="H40" s="18">
        <v>8.2000000000000003E-2</v>
      </c>
      <c r="I40" s="19">
        <v>203000</v>
      </c>
      <c r="J40" s="17" t="s">
        <v>7663</v>
      </c>
      <c r="K40" s="17">
        <v>39</v>
      </c>
      <c r="L40" s="17" t="s">
        <v>7664</v>
      </c>
      <c r="M40" s="19">
        <v>2283716090</v>
      </c>
      <c r="N40" s="19">
        <v>285340</v>
      </c>
      <c r="O40" s="17">
        <v>55</v>
      </c>
    </row>
    <row r="41" spans="1:15" ht="27" x14ac:dyDescent="0.3">
      <c r="A41" s="16">
        <v>43632</v>
      </c>
      <c r="B41" s="17">
        <v>3</v>
      </c>
      <c r="C41" s="18">
        <v>0</v>
      </c>
      <c r="D41" s="17">
        <v>3</v>
      </c>
      <c r="E41" s="18">
        <v>0</v>
      </c>
      <c r="F41" s="17">
        <v>403</v>
      </c>
      <c r="G41" s="18">
        <v>0</v>
      </c>
      <c r="H41" s="18">
        <v>0.122</v>
      </c>
      <c r="I41" s="19">
        <v>273000</v>
      </c>
      <c r="J41" s="17" t="s">
        <v>7665</v>
      </c>
      <c r="K41" s="17">
        <v>49</v>
      </c>
      <c r="L41" s="17" t="s">
        <v>7666</v>
      </c>
      <c r="M41" s="19">
        <v>2283989090</v>
      </c>
      <c r="N41" s="19">
        <v>285389</v>
      </c>
      <c r="O41" s="17">
        <v>55</v>
      </c>
    </row>
    <row r="42" spans="1:15" ht="27" x14ac:dyDescent="0.3">
      <c r="A42" s="16">
        <v>43633</v>
      </c>
      <c r="B42" s="17">
        <v>3</v>
      </c>
      <c r="C42" s="18">
        <v>1E-3</v>
      </c>
      <c r="D42" s="17">
        <v>3</v>
      </c>
      <c r="E42" s="18">
        <v>0</v>
      </c>
      <c r="F42" s="17">
        <v>452</v>
      </c>
      <c r="G42" s="18">
        <v>0</v>
      </c>
      <c r="H42" s="18">
        <v>0.126</v>
      </c>
      <c r="I42" s="19">
        <v>316000</v>
      </c>
      <c r="J42" s="17" t="s">
        <v>7667</v>
      </c>
      <c r="K42" s="17">
        <v>57</v>
      </c>
      <c r="L42" s="17" t="s">
        <v>7668</v>
      </c>
      <c r="M42" s="19">
        <v>2284305090</v>
      </c>
      <c r="N42" s="19">
        <v>285446</v>
      </c>
      <c r="O42" s="17">
        <v>47</v>
      </c>
    </row>
    <row r="43" spans="1:15" ht="27" x14ac:dyDescent="0.3">
      <c r="A43" s="16">
        <v>43634</v>
      </c>
      <c r="B43" s="17">
        <v>1</v>
      </c>
      <c r="C43" s="18">
        <v>0</v>
      </c>
      <c r="D43" s="17">
        <v>1</v>
      </c>
      <c r="E43" s="18">
        <v>0</v>
      </c>
      <c r="F43" s="17">
        <v>167</v>
      </c>
      <c r="G43" s="18">
        <v>0</v>
      </c>
      <c r="H43" s="18">
        <v>2.4E-2</v>
      </c>
      <c r="I43" s="19">
        <v>20000</v>
      </c>
      <c r="J43" s="17" t="s">
        <v>7669</v>
      </c>
      <c r="K43" s="17">
        <v>4</v>
      </c>
      <c r="L43" s="17" t="s">
        <v>7670</v>
      </c>
      <c r="M43" s="19">
        <v>2284325090</v>
      </c>
      <c r="N43" s="19">
        <v>285450</v>
      </c>
      <c r="O43" s="17">
        <v>93</v>
      </c>
    </row>
    <row r="44" spans="1:15" ht="27" x14ac:dyDescent="0.3">
      <c r="A44" s="16">
        <v>43635</v>
      </c>
      <c r="B44" s="17">
        <v>3</v>
      </c>
      <c r="C44" s="18">
        <v>1E-3</v>
      </c>
      <c r="D44" s="17">
        <v>3</v>
      </c>
      <c r="E44" s="18">
        <v>0</v>
      </c>
      <c r="F44" s="17">
        <v>586</v>
      </c>
      <c r="G44" s="18">
        <v>0</v>
      </c>
      <c r="H44" s="18">
        <v>1</v>
      </c>
      <c r="I44" s="19">
        <v>2936000</v>
      </c>
      <c r="J44" s="17" t="s">
        <v>7671</v>
      </c>
      <c r="K44" s="17">
        <v>586</v>
      </c>
      <c r="L44" s="17" t="s">
        <v>7672</v>
      </c>
      <c r="M44" s="19">
        <v>2287261090</v>
      </c>
      <c r="N44" s="19">
        <v>286036</v>
      </c>
      <c r="O44" s="17">
        <v>13</v>
      </c>
    </row>
    <row r="45" spans="1:15" ht="27" x14ac:dyDescent="0.3">
      <c r="A45" s="16">
        <v>43636</v>
      </c>
      <c r="B45" s="17">
        <v>1</v>
      </c>
      <c r="C45" s="18">
        <v>0</v>
      </c>
      <c r="D45" s="17">
        <v>1</v>
      </c>
      <c r="E45" s="18">
        <v>0</v>
      </c>
      <c r="F45" s="17">
        <v>121</v>
      </c>
      <c r="G45" s="18">
        <v>0</v>
      </c>
      <c r="H45" s="18">
        <v>1.008</v>
      </c>
      <c r="I45" s="19">
        <v>976000</v>
      </c>
      <c r="J45" s="17" t="s">
        <v>7673</v>
      </c>
      <c r="K45" s="17">
        <v>122</v>
      </c>
      <c r="L45" s="17" t="s">
        <v>7674</v>
      </c>
      <c r="M45" s="19">
        <v>2288237090</v>
      </c>
      <c r="N45" s="19">
        <v>286158</v>
      </c>
      <c r="O45" s="17">
        <v>39</v>
      </c>
    </row>
    <row r="46" spans="1:15" ht="27" x14ac:dyDescent="0.3">
      <c r="A46" s="16">
        <v>43641</v>
      </c>
      <c r="B46" s="17">
        <v>2</v>
      </c>
      <c r="C46" s="18">
        <v>0</v>
      </c>
      <c r="D46" s="17">
        <v>2</v>
      </c>
      <c r="E46" s="18">
        <v>0</v>
      </c>
      <c r="F46" s="17">
        <v>272</v>
      </c>
      <c r="G46" s="18">
        <v>0</v>
      </c>
      <c r="H46" s="18">
        <v>1</v>
      </c>
      <c r="I46" s="19">
        <v>2176000</v>
      </c>
      <c r="J46" s="17" t="s">
        <v>7675</v>
      </c>
      <c r="K46" s="17">
        <v>272</v>
      </c>
      <c r="L46" s="17" t="s">
        <v>7676</v>
      </c>
      <c r="M46" s="19">
        <v>2290413090</v>
      </c>
      <c r="N46" s="19">
        <v>286430</v>
      </c>
      <c r="O46" s="17">
        <v>28</v>
      </c>
    </row>
    <row r="47" spans="1:15" ht="27" x14ac:dyDescent="0.3">
      <c r="A47" s="16">
        <v>43643</v>
      </c>
      <c r="B47" s="17">
        <v>4</v>
      </c>
      <c r="C47" s="18">
        <v>1E-3</v>
      </c>
      <c r="D47" s="17">
        <v>5</v>
      </c>
      <c r="E47" s="18">
        <v>0</v>
      </c>
      <c r="F47" s="19">
        <v>1329</v>
      </c>
      <c r="G47" s="18">
        <v>0</v>
      </c>
      <c r="H47" s="18">
        <v>0.88600000000000001</v>
      </c>
      <c r="I47" s="19">
        <v>10092000</v>
      </c>
      <c r="J47" s="17" t="s">
        <v>7677</v>
      </c>
      <c r="K47" s="19">
        <v>1177</v>
      </c>
      <c r="L47" s="17" t="s">
        <v>7678</v>
      </c>
      <c r="M47" s="19">
        <v>2300505090</v>
      </c>
      <c r="N47" s="19">
        <v>287607</v>
      </c>
      <c r="O47" s="17">
        <v>15</v>
      </c>
    </row>
    <row r="48" spans="1:15" ht="27" x14ac:dyDescent="0.3">
      <c r="A48" s="16">
        <v>43649</v>
      </c>
      <c r="B48" s="17">
        <v>1</v>
      </c>
      <c r="C48" s="18">
        <v>0</v>
      </c>
      <c r="D48" s="17">
        <v>1</v>
      </c>
      <c r="E48" s="18">
        <v>0</v>
      </c>
      <c r="F48" s="17">
        <v>152</v>
      </c>
      <c r="G48" s="18">
        <v>0</v>
      </c>
      <c r="H48" s="18">
        <v>0.56599999999999995</v>
      </c>
      <c r="I48" s="19">
        <v>602000</v>
      </c>
      <c r="J48" s="17" t="s">
        <v>7679</v>
      </c>
      <c r="K48" s="17">
        <v>86</v>
      </c>
      <c r="L48" s="17" t="s">
        <v>331</v>
      </c>
      <c r="M48" s="19">
        <v>2301107090</v>
      </c>
      <c r="N48" s="19">
        <v>287693</v>
      </c>
      <c r="O48" s="17">
        <v>42</v>
      </c>
    </row>
    <row r="49" spans="1:15" ht="27" x14ac:dyDescent="0.3">
      <c r="A49" s="16">
        <v>43657</v>
      </c>
      <c r="B49" s="17">
        <v>1</v>
      </c>
      <c r="C49" s="18">
        <v>0</v>
      </c>
      <c r="D49" s="17">
        <v>1</v>
      </c>
      <c r="E49" s="18">
        <v>0</v>
      </c>
      <c r="F49" s="17">
        <v>59</v>
      </c>
      <c r="G49" s="18">
        <v>0</v>
      </c>
      <c r="H49" s="18">
        <v>1</v>
      </c>
      <c r="I49" s="19">
        <v>340000</v>
      </c>
      <c r="J49" s="17" t="s">
        <v>7680</v>
      </c>
      <c r="K49" s="17">
        <v>59</v>
      </c>
      <c r="L49" s="17" t="s">
        <v>7681</v>
      </c>
      <c r="M49" s="19">
        <v>2301447090</v>
      </c>
      <c r="N49" s="19">
        <v>287752</v>
      </c>
      <c r="O49" s="17">
        <v>59</v>
      </c>
    </row>
    <row r="50" spans="1:15" ht="27" x14ac:dyDescent="0.3">
      <c r="A50" s="16">
        <v>43659</v>
      </c>
      <c r="B50" s="17">
        <v>1</v>
      </c>
      <c r="C50" s="18">
        <v>0</v>
      </c>
      <c r="D50" s="17">
        <v>1</v>
      </c>
      <c r="E50" s="18">
        <v>0</v>
      </c>
      <c r="F50" s="17">
        <v>258</v>
      </c>
      <c r="G50" s="18">
        <v>0</v>
      </c>
      <c r="H50" s="18">
        <v>0.58099999999999996</v>
      </c>
      <c r="I50" s="19">
        <v>750000</v>
      </c>
      <c r="J50" s="17" t="s">
        <v>7682</v>
      </c>
      <c r="K50" s="17">
        <v>150</v>
      </c>
      <c r="L50" s="17" t="s">
        <v>7683</v>
      </c>
      <c r="M50" s="19">
        <v>2302197090</v>
      </c>
      <c r="N50" s="19">
        <v>287902</v>
      </c>
      <c r="O50" s="17">
        <v>43</v>
      </c>
    </row>
    <row r="51" spans="1:15" ht="27" x14ac:dyDescent="0.3">
      <c r="A51" s="16">
        <v>43662</v>
      </c>
      <c r="B51" s="17">
        <v>2</v>
      </c>
      <c r="C51" s="18">
        <v>0</v>
      </c>
      <c r="D51" s="17">
        <v>2</v>
      </c>
      <c r="E51" s="18">
        <v>0</v>
      </c>
      <c r="F51" s="17">
        <v>305</v>
      </c>
      <c r="G51" s="18">
        <v>0</v>
      </c>
      <c r="H51" s="18">
        <v>0.98699999999999999</v>
      </c>
      <c r="I51" s="19">
        <v>2107000</v>
      </c>
      <c r="J51" s="17" t="s">
        <v>7684</v>
      </c>
      <c r="K51" s="17">
        <v>301</v>
      </c>
      <c r="L51" s="17" t="s">
        <v>7685</v>
      </c>
      <c r="M51" s="19">
        <v>2304304090</v>
      </c>
      <c r="N51" s="19">
        <v>288203</v>
      </c>
      <c r="O51" s="17">
        <v>29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DEF24-62AD-4046-AA32-2EC7CFC87067}">
  <dimension ref="A1:O48"/>
  <sheetViews>
    <sheetView workbookViewId="0">
      <selection activeCell="A5" sqref="A5:O19"/>
    </sheetView>
  </sheetViews>
  <sheetFormatPr defaultRowHeight="16.5" x14ac:dyDescent="0.3"/>
  <sheetData>
    <row r="1" spans="1:15" ht="19.5" x14ac:dyDescent="0.3">
      <c r="A1" s="197" t="s">
        <v>7686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27" t="s">
        <v>111</v>
      </c>
      <c r="B4" s="22" t="s">
        <v>112</v>
      </c>
      <c r="C4" s="22" t="s">
        <v>113</v>
      </c>
      <c r="D4" s="22" t="s">
        <v>114</v>
      </c>
      <c r="E4" s="22" t="s">
        <v>115</v>
      </c>
      <c r="F4" s="22" t="s">
        <v>116</v>
      </c>
      <c r="G4" s="22" t="s">
        <v>117</v>
      </c>
      <c r="H4" s="22" t="s">
        <v>118</v>
      </c>
      <c r="I4" s="22" t="s">
        <v>119</v>
      </c>
      <c r="J4" s="22" t="s">
        <v>120</v>
      </c>
      <c r="K4" s="22" t="s">
        <v>121</v>
      </c>
      <c r="L4" s="22" t="s">
        <v>122</v>
      </c>
      <c r="M4" s="22" t="s">
        <v>123</v>
      </c>
      <c r="N4" s="22" t="s">
        <v>124</v>
      </c>
      <c r="O4" s="28" t="s">
        <v>125</v>
      </c>
    </row>
    <row r="5" spans="1:15" ht="27" x14ac:dyDescent="0.3">
      <c r="A5" s="23">
        <v>43607</v>
      </c>
      <c r="B5" s="24">
        <v>654</v>
      </c>
      <c r="C5" s="25">
        <v>0.127</v>
      </c>
      <c r="D5" s="26">
        <v>2838</v>
      </c>
      <c r="E5" s="25">
        <v>0.161</v>
      </c>
      <c r="F5" s="26">
        <v>409963</v>
      </c>
      <c r="G5" s="25">
        <v>0.14899999999999999</v>
      </c>
      <c r="H5" s="25">
        <v>5.1999999999999998E-2</v>
      </c>
      <c r="I5" s="26">
        <v>169077420</v>
      </c>
      <c r="J5" s="24" t="s">
        <v>7687</v>
      </c>
      <c r="K5" s="26">
        <v>21262</v>
      </c>
      <c r="L5" s="24" t="s">
        <v>7688</v>
      </c>
      <c r="M5" s="26">
        <v>311481420</v>
      </c>
      <c r="N5" s="26">
        <v>38338</v>
      </c>
      <c r="O5" s="24">
        <v>4</v>
      </c>
    </row>
    <row r="6" spans="1:15" ht="27" x14ac:dyDescent="0.3">
      <c r="A6" s="23">
        <v>43608</v>
      </c>
      <c r="B6" s="24">
        <v>671</v>
      </c>
      <c r="C6" s="25">
        <v>0.11600000000000001</v>
      </c>
      <c r="D6" s="26">
        <v>2459</v>
      </c>
      <c r="E6" s="25">
        <v>0.13600000000000001</v>
      </c>
      <c r="F6" s="26">
        <v>346691</v>
      </c>
      <c r="G6" s="25">
        <v>0.123</v>
      </c>
      <c r="H6" s="25">
        <v>4.7E-2</v>
      </c>
      <c r="I6" s="26">
        <v>130545170</v>
      </c>
      <c r="J6" s="24" t="s">
        <v>7689</v>
      </c>
      <c r="K6" s="26">
        <v>16343</v>
      </c>
      <c r="L6" s="24" t="s">
        <v>7690</v>
      </c>
      <c r="M6" s="26">
        <v>442026590</v>
      </c>
      <c r="N6" s="26">
        <v>54681</v>
      </c>
      <c r="O6" s="24">
        <v>6</v>
      </c>
    </row>
    <row r="7" spans="1:15" ht="27" x14ac:dyDescent="0.3">
      <c r="A7" s="23">
        <v>43609</v>
      </c>
      <c r="B7" s="24">
        <v>669</v>
      </c>
      <c r="C7" s="25">
        <v>0.11</v>
      </c>
      <c r="D7" s="26">
        <v>2356</v>
      </c>
      <c r="E7" s="25">
        <v>0.126</v>
      </c>
      <c r="F7" s="26">
        <v>328173</v>
      </c>
      <c r="G7" s="25">
        <v>0.113</v>
      </c>
      <c r="H7" s="25">
        <v>6.7000000000000004E-2</v>
      </c>
      <c r="I7" s="26">
        <v>188908303</v>
      </c>
      <c r="J7" s="24" t="s">
        <v>7691</v>
      </c>
      <c r="K7" s="26">
        <v>22038</v>
      </c>
      <c r="L7" s="24" t="s">
        <v>7692</v>
      </c>
      <c r="M7" s="26">
        <v>630934893</v>
      </c>
      <c r="N7" s="26">
        <v>76719</v>
      </c>
      <c r="O7" s="24">
        <v>5</v>
      </c>
    </row>
    <row r="8" spans="1:15" ht="27" x14ac:dyDescent="0.3">
      <c r="A8" s="23">
        <v>43610</v>
      </c>
      <c r="B8" s="24">
        <v>634</v>
      </c>
      <c r="C8" s="25">
        <v>9.7000000000000003E-2</v>
      </c>
      <c r="D8" s="26">
        <v>1968</v>
      </c>
      <c r="E8" s="25">
        <v>0.1</v>
      </c>
      <c r="F8" s="26">
        <v>258385</v>
      </c>
      <c r="G8" s="25">
        <v>8.5000000000000006E-2</v>
      </c>
      <c r="H8" s="25">
        <v>0.14499999999999999</v>
      </c>
      <c r="I8" s="26">
        <v>326871127</v>
      </c>
      <c r="J8" s="24" t="s">
        <v>7693</v>
      </c>
      <c r="K8" s="26">
        <v>37403</v>
      </c>
      <c r="L8" s="24" t="s">
        <v>7694</v>
      </c>
      <c r="M8" s="26">
        <v>957806020</v>
      </c>
      <c r="N8" s="26">
        <v>114122</v>
      </c>
      <c r="O8" s="24">
        <v>5</v>
      </c>
    </row>
    <row r="9" spans="1:15" ht="27" x14ac:dyDescent="0.3">
      <c r="A9" s="23">
        <v>43611</v>
      </c>
      <c r="B9" s="24">
        <v>638</v>
      </c>
      <c r="C9" s="25">
        <v>9.7000000000000003E-2</v>
      </c>
      <c r="D9" s="26">
        <v>1832</v>
      </c>
      <c r="E9" s="25">
        <v>9.5000000000000001E-2</v>
      </c>
      <c r="F9" s="26">
        <v>237846</v>
      </c>
      <c r="G9" s="25">
        <v>0.08</v>
      </c>
      <c r="H9" s="25">
        <v>0.151</v>
      </c>
      <c r="I9" s="26">
        <v>313515140</v>
      </c>
      <c r="J9" s="24" t="s">
        <v>7695</v>
      </c>
      <c r="K9" s="26">
        <v>35946</v>
      </c>
      <c r="L9" s="24" t="s">
        <v>7696</v>
      </c>
      <c r="M9" s="26">
        <v>1271321160</v>
      </c>
      <c r="N9" s="26">
        <v>150068</v>
      </c>
      <c r="O9" s="24">
        <v>5</v>
      </c>
    </row>
    <row r="10" spans="1:15" ht="40.5" x14ac:dyDescent="0.3">
      <c r="A10" s="23">
        <v>43612</v>
      </c>
      <c r="B10" s="24">
        <v>573</v>
      </c>
      <c r="C10" s="25">
        <v>0.10100000000000001</v>
      </c>
      <c r="D10" s="26">
        <v>1805</v>
      </c>
      <c r="E10" s="25">
        <v>0.10199999999999999</v>
      </c>
      <c r="F10" s="26">
        <v>232376</v>
      </c>
      <c r="G10" s="25">
        <v>8.4000000000000005E-2</v>
      </c>
      <c r="H10" s="25">
        <v>5.5E-2</v>
      </c>
      <c r="I10" s="26">
        <v>103736750</v>
      </c>
      <c r="J10" s="24" t="s">
        <v>7697</v>
      </c>
      <c r="K10" s="26">
        <v>12882</v>
      </c>
      <c r="L10" s="24" t="s">
        <v>7698</v>
      </c>
      <c r="M10" s="26">
        <v>1375057910</v>
      </c>
      <c r="N10" s="26">
        <v>162950</v>
      </c>
      <c r="O10" s="24">
        <v>5</v>
      </c>
    </row>
    <row r="11" spans="1:15" ht="27" x14ac:dyDescent="0.3">
      <c r="A11" s="23">
        <v>43613</v>
      </c>
      <c r="B11" s="24">
        <v>597</v>
      </c>
      <c r="C11" s="25">
        <v>0.10100000000000001</v>
      </c>
      <c r="D11" s="26">
        <v>1761</v>
      </c>
      <c r="E11" s="25">
        <v>0.1</v>
      </c>
      <c r="F11" s="26">
        <v>227223</v>
      </c>
      <c r="G11" s="25">
        <v>8.2000000000000003E-2</v>
      </c>
      <c r="H11" s="25">
        <v>5.3999999999999999E-2</v>
      </c>
      <c r="I11" s="26">
        <v>99080580</v>
      </c>
      <c r="J11" s="24" t="s">
        <v>7699</v>
      </c>
      <c r="K11" s="26">
        <v>12214</v>
      </c>
      <c r="L11" s="24" t="s">
        <v>7700</v>
      </c>
      <c r="M11" s="26">
        <v>1474138490</v>
      </c>
      <c r="N11" s="26">
        <v>175164</v>
      </c>
      <c r="O11" s="24">
        <v>5</v>
      </c>
    </row>
    <row r="12" spans="1:15" ht="27" x14ac:dyDescent="0.3">
      <c r="A12" s="23">
        <v>43614</v>
      </c>
      <c r="B12" s="24">
        <v>358</v>
      </c>
      <c r="C12" s="25">
        <v>6.2E-2</v>
      </c>
      <c r="D12" s="24">
        <v>762</v>
      </c>
      <c r="E12" s="25">
        <v>4.2000000000000003E-2</v>
      </c>
      <c r="F12" s="26">
        <v>87692</v>
      </c>
      <c r="G12" s="25">
        <v>3.1E-2</v>
      </c>
      <c r="H12" s="25">
        <v>0.11799999999999999</v>
      </c>
      <c r="I12" s="26">
        <v>62645980</v>
      </c>
      <c r="J12" s="24" t="s">
        <v>7701</v>
      </c>
      <c r="K12" s="26">
        <v>10389</v>
      </c>
      <c r="L12" s="24" t="s">
        <v>7702</v>
      </c>
      <c r="M12" s="26">
        <v>1536784470</v>
      </c>
      <c r="N12" s="26">
        <v>185553</v>
      </c>
      <c r="O12" s="24">
        <v>7</v>
      </c>
    </row>
    <row r="13" spans="1:15" ht="27" x14ac:dyDescent="0.3">
      <c r="A13" s="23">
        <v>43615</v>
      </c>
      <c r="B13" s="24">
        <v>175</v>
      </c>
      <c r="C13" s="25">
        <v>3.1E-2</v>
      </c>
      <c r="D13" s="24">
        <v>259</v>
      </c>
      <c r="E13" s="25">
        <v>1.4E-2</v>
      </c>
      <c r="F13" s="26">
        <v>30504</v>
      </c>
      <c r="G13" s="25">
        <v>1.0999999999999999E-2</v>
      </c>
      <c r="H13" s="25">
        <v>4.2999999999999997E-2</v>
      </c>
      <c r="I13" s="26">
        <v>9787160</v>
      </c>
      <c r="J13" s="24" t="s">
        <v>7703</v>
      </c>
      <c r="K13" s="26">
        <v>1325</v>
      </c>
      <c r="L13" s="24" t="s">
        <v>7704</v>
      </c>
      <c r="M13" s="26">
        <v>1546571630</v>
      </c>
      <c r="N13" s="26">
        <v>186878</v>
      </c>
      <c r="O13" s="24">
        <v>12</v>
      </c>
    </row>
    <row r="14" spans="1:15" ht="27" x14ac:dyDescent="0.3">
      <c r="A14" s="23">
        <v>43616</v>
      </c>
      <c r="B14" s="24">
        <v>172</v>
      </c>
      <c r="C14" s="25">
        <v>3.1E-2</v>
      </c>
      <c r="D14" s="24">
        <v>244</v>
      </c>
      <c r="E14" s="25">
        <v>1.2999999999999999E-2</v>
      </c>
      <c r="F14" s="26">
        <v>29231</v>
      </c>
      <c r="G14" s="25">
        <v>0.01</v>
      </c>
      <c r="H14" s="25">
        <v>5.7000000000000002E-2</v>
      </c>
      <c r="I14" s="26">
        <v>13068710</v>
      </c>
      <c r="J14" s="24" t="s">
        <v>7705</v>
      </c>
      <c r="K14" s="26">
        <v>1670</v>
      </c>
      <c r="L14" s="24" t="s">
        <v>7706</v>
      </c>
      <c r="M14" s="26">
        <v>1559640340</v>
      </c>
      <c r="N14" s="26">
        <v>188548</v>
      </c>
      <c r="O14" s="24">
        <v>9</v>
      </c>
    </row>
    <row r="15" spans="1:15" ht="27" x14ac:dyDescent="0.3">
      <c r="A15" s="23">
        <v>43617</v>
      </c>
      <c r="B15" s="24">
        <v>144</v>
      </c>
      <c r="C15" s="25">
        <v>2.5000000000000001E-2</v>
      </c>
      <c r="D15" s="24">
        <v>189</v>
      </c>
      <c r="E15" s="25">
        <v>0.01</v>
      </c>
      <c r="F15" s="26">
        <v>20777</v>
      </c>
      <c r="G15" s="25">
        <v>7.0000000000000001E-3</v>
      </c>
      <c r="H15" s="25">
        <v>0.13100000000000001</v>
      </c>
      <c r="I15" s="26">
        <v>22468160</v>
      </c>
      <c r="J15" s="24" t="s">
        <v>7707</v>
      </c>
      <c r="K15" s="26">
        <v>2725</v>
      </c>
      <c r="L15" s="24" t="s">
        <v>7708</v>
      </c>
      <c r="M15" s="26">
        <v>1582108500</v>
      </c>
      <c r="N15" s="26">
        <v>191273</v>
      </c>
      <c r="O15" s="24">
        <v>9</v>
      </c>
    </row>
    <row r="16" spans="1:15" ht="27" x14ac:dyDescent="0.3">
      <c r="A16" s="23">
        <v>43618</v>
      </c>
      <c r="B16" s="24">
        <v>142</v>
      </c>
      <c r="C16" s="25">
        <v>2.4E-2</v>
      </c>
      <c r="D16" s="24">
        <v>179</v>
      </c>
      <c r="E16" s="25">
        <v>0.01</v>
      </c>
      <c r="F16" s="26">
        <v>20323</v>
      </c>
      <c r="G16" s="25">
        <v>7.0000000000000001E-3</v>
      </c>
      <c r="H16" s="25">
        <v>0.13200000000000001</v>
      </c>
      <c r="I16" s="26">
        <v>22916620</v>
      </c>
      <c r="J16" s="24" t="s">
        <v>7709</v>
      </c>
      <c r="K16" s="26">
        <v>2676</v>
      </c>
      <c r="L16" s="24" t="s">
        <v>7710</v>
      </c>
      <c r="M16" s="26">
        <v>1605025120</v>
      </c>
      <c r="N16" s="26">
        <v>193949</v>
      </c>
      <c r="O16" s="24">
        <v>10</v>
      </c>
    </row>
    <row r="17" spans="1:15" ht="27" x14ac:dyDescent="0.3">
      <c r="A17" s="23">
        <v>43619</v>
      </c>
      <c r="B17" s="24">
        <v>131</v>
      </c>
      <c r="C17" s="25">
        <v>2.5000000000000001E-2</v>
      </c>
      <c r="D17" s="24">
        <v>170</v>
      </c>
      <c r="E17" s="25">
        <v>0.01</v>
      </c>
      <c r="F17" s="26">
        <v>20742</v>
      </c>
      <c r="G17" s="25">
        <v>8.0000000000000002E-3</v>
      </c>
      <c r="H17" s="25">
        <v>3.3000000000000002E-2</v>
      </c>
      <c r="I17" s="26">
        <v>5015700</v>
      </c>
      <c r="J17" s="24" t="s">
        <v>7711</v>
      </c>
      <c r="K17" s="24">
        <v>693</v>
      </c>
      <c r="L17" s="24" t="s">
        <v>7712</v>
      </c>
      <c r="M17" s="26">
        <v>1610040820</v>
      </c>
      <c r="N17" s="26">
        <v>194642</v>
      </c>
      <c r="O17" s="24">
        <v>10</v>
      </c>
    </row>
    <row r="18" spans="1:15" ht="27" x14ac:dyDescent="0.3">
      <c r="A18" s="23">
        <v>43620</v>
      </c>
      <c r="B18" s="24">
        <v>130</v>
      </c>
      <c r="C18" s="25">
        <v>2.4E-2</v>
      </c>
      <c r="D18" s="24">
        <v>172</v>
      </c>
      <c r="E18" s="25">
        <v>0.01</v>
      </c>
      <c r="F18" s="26">
        <v>21311</v>
      </c>
      <c r="G18" s="25">
        <v>8.0000000000000002E-3</v>
      </c>
      <c r="H18" s="25">
        <v>5.1999999999999998E-2</v>
      </c>
      <c r="I18" s="26">
        <v>8175180</v>
      </c>
      <c r="J18" s="24" t="s">
        <v>7713</v>
      </c>
      <c r="K18" s="26">
        <v>1109</v>
      </c>
      <c r="L18" s="24" t="s">
        <v>7714</v>
      </c>
      <c r="M18" s="26">
        <v>1618216000</v>
      </c>
      <c r="N18" s="26">
        <v>195751</v>
      </c>
      <c r="O18" s="24">
        <v>11</v>
      </c>
    </row>
    <row r="19" spans="1:15" ht="27" x14ac:dyDescent="0.3">
      <c r="A19" s="23">
        <v>43621</v>
      </c>
      <c r="B19" s="24">
        <v>40</v>
      </c>
      <c r="C19" s="25">
        <v>7.0000000000000001E-3</v>
      </c>
      <c r="D19" s="24">
        <v>47</v>
      </c>
      <c r="E19" s="25">
        <v>3.0000000000000001E-3</v>
      </c>
      <c r="F19" s="26">
        <v>6857</v>
      </c>
      <c r="G19" s="25">
        <v>2E-3</v>
      </c>
      <c r="H19" s="25">
        <v>4.1000000000000002E-2</v>
      </c>
      <c r="I19" s="26">
        <v>1942700</v>
      </c>
      <c r="J19" s="24" t="s">
        <v>7715</v>
      </c>
      <c r="K19" s="24">
        <v>278</v>
      </c>
      <c r="L19" s="24" t="s">
        <v>7716</v>
      </c>
      <c r="M19" s="26">
        <v>1620158700</v>
      </c>
      <c r="N19" s="26">
        <v>196029</v>
      </c>
      <c r="O19" s="24">
        <v>25</v>
      </c>
    </row>
    <row r="20" spans="1:15" ht="27" x14ac:dyDescent="0.3">
      <c r="A20" s="23">
        <v>43622</v>
      </c>
      <c r="B20" s="24">
        <v>24</v>
      </c>
      <c r="C20" s="25">
        <v>4.0000000000000001E-3</v>
      </c>
      <c r="D20" s="24">
        <v>24</v>
      </c>
      <c r="E20" s="25">
        <v>1E-3</v>
      </c>
      <c r="F20" s="26">
        <v>2743</v>
      </c>
      <c r="G20" s="25">
        <v>1E-3</v>
      </c>
      <c r="H20" s="25">
        <v>0.20699999999999999</v>
      </c>
      <c r="I20" s="26">
        <v>4908000</v>
      </c>
      <c r="J20" s="24" t="s">
        <v>7717</v>
      </c>
      <c r="K20" s="24">
        <v>569</v>
      </c>
      <c r="L20" s="24" t="s">
        <v>7718</v>
      </c>
      <c r="M20" s="26">
        <v>1625066700</v>
      </c>
      <c r="N20" s="26">
        <v>196598</v>
      </c>
      <c r="O20" s="24">
        <v>18</v>
      </c>
    </row>
    <row r="21" spans="1:15" ht="27" x14ac:dyDescent="0.3">
      <c r="A21" s="23">
        <v>43623</v>
      </c>
      <c r="B21" s="24">
        <v>26</v>
      </c>
      <c r="C21" s="25">
        <v>4.0000000000000001E-3</v>
      </c>
      <c r="D21" s="24">
        <v>29</v>
      </c>
      <c r="E21" s="25">
        <v>2E-3</v>
      </c>
      <c r="F21" s="26">
        <v>3336</v>
      </c>
      <c r="G21" s="25">
        <v>1E-3</v>
      </c>
      <c r="H21" s="25">
        <v>0.10199999999999999</v>
      </c>
      <c r="I21" s="26">
        <v>2779400</v>
      </c>
      <c r="J21" s="24" t="s">
        <v>7719</v>
      </c>
      <c r="K21" s="24">
        <v>340</v>
      </c>
      <c r="L21" s="24" t="s">
        <v>7720</v>
      </c>
      <c r="M21" s="26">
        <v>1627846100</v>
      </c>
      <c r="N21" s="26">
        <v>196938</v>
      </c>
      <c r="O21" s="24">
        <v>18</v>
      </c>
    </row>
    <row r="22" spans="1:15" ht="27" x14ac:dyDescent="0.3">
      <c r="A22" s="23">
        <v>43624</v>
      </c>
      <c r="B22" s="24">
        <v>25</v>
      </c>
      <c r="C22" s="25">
        <v>4.0000000000000001E-3</v>
      </c>
      <c r="D22" s="24">
        <v>27</v>
      </c>
      <c r="E22" s="25">
        <v>1E-3</v>
      </c>
      <c r="F22" s="26">
        <v>2850</v>
      </c>
      <c r="G22" s="25">
        <v>1E-3</v>
      </c>
      <c r="H22" s="25">
        <v>9.6000000000000002E-2</v>
      </c>
      <c r="I22" s="26">
        <v>2414000</v>
      </c>
      <c r="J22" s="24" t="s">
        <v>7721</v>
      </c>
      <c r="K22" s="24">
        <v>273</v>
      </c>
      <c r="L22" s="24" t="s">
        <v>7722</v>
      </c>
      <c r="M22" s="26">
        <v>1630260100</v>
      </c>
      <c r="N22" s="26">
        <v>197211</v>
      </c>
      <c r="O22" s="24">
        <v>20</v>
      </c>
    </row>
    <row r="23" spans="1:15" ht="27" x14ac:dyDescent="0.3">
      <c r="A23" s="23">
        <v>43625</v>
      </c>
      <c r="B23" s="24">
        <v>23</v>
      </c>
      <c r="C23" s="25">
        <v>4.0000000000000001E-3</v>
      </c>
      <c r="D23" s="24">
        <v>24</v>
      </c>
      <c r="E23" s="25">
        <v>1E-3</v>
      </c>
      <c r="F23" s="26">
        <v>2446</v>
      </c>
      <c r="G23" s="25">
        <v>1E-3</v>
      </c>
      <c r="H23" s="25">
        <v>9.6000000000000002E-2</v>
      </c>
      <c r="I23" s="26">
        <v>2066300</v>
      </c>
      <c r="J23" s="24" t="s">
        <v>7723</v>
      </c>
      <c r="K23" s="24">
        <v>235</v>
      </c>
      <c r="L23" s="24" t="s">
        <v>7724</v>
      </c>
      <c r="M23" s="26">
        <v>1632326400</v>
      </c>
      <c r="N23" s="26">
        <v>197446</v>
      </c>
      <c r="O23" s="24">
        <v>23</v>
      </c>
    </row>
    <row r="24" spans="1:15" ht="27" x14ac:dyDescent="0.3">
      <c r="A24" s="23">
        <v>43626</v>
      </c>
      <c r="B24" s="24">
        <v>23</v>
      </c>
      <c r="C24" s="25">
        <v>5.0000000000000001E-3</v>
      </c>
      <c r="D24" s="24">
        <v>28</v>
      </c>
      <c r="E24" s="25">
        <v>2E-3</v>
      </c>
      <c r="F24" s="26">
        <v>3308</v>
      </c>
      <c r="G24" s="25">
        <v>1E-3</v>
      </c>
      <c r="H24" s="25">
        <v>4.5999999999999999E-2</v>
      </c>
      <c r="I24" s="26">
        <v>1010900</v>
      </c>
      <c r="J24" s="24" t="s">
        <v>7725</v>
      </c>
      <c r="K24" s="24">
        <v>152</v>
      </c>
      <c r="L24" s="24" t="s">
        <v>7726</v>
      </c>
      <c r="M24" s="26">
        <v>1633337300</v>
      </c>
      <c r="N24" s="26">
        <v>197598</v>
      </c>
      <c r="O24" s="24">
        <v>36</v>
      </c>
    </row>
    <row r="25" spans="1:15" ht="27" x14ac:dyDescent="0.3">
      <c r="A25" s="23">
        <v>43627</v>
      </c>
      <c r="B25" s="24">
        <v>22</v>
      </c>
      <c r="C25" s="25">
        <v>4.0000000000000001E-3</v>
      </c>
      <c r="D25" s="24">
        <v>25</v>
      </c>
      <c r="E25" s="25">
        <v>1E-3</v>
      </c>
      <c r="F25" s="26">
        <v>2934</v>
      </c>
      <c r="G25" s="25">
        <v>1E-3</v>
      </c>
      <c r="H25" s="25">
        <v>0.04</v>
      </c>
      <c r="I25" s="26">
        <v>927300</v>
      </c>
      <c r="J25" s="24" t="s">
        <v>7727</v>
      </c>
      <c r="K25" s="24">
        <v>118</v>
      </c>
      <c r="L25" s="24" t="s">
        <v>7728</v>
      </c>
      <c r="M25" s="26">
        <v>1634264600</v>
      </c>
      <c r="N25" s="26">
        <v>197716</v>
      </c>
      <c r="O25" s="24">
        <v>44</v>
      </c>
    </row>
    <row r="26" spans="1:15" ht="27" x14ac:dyDescent="0.3">
      <c r="A26" s="23">
        <v>43628</v>
      </c>
      <c r="B26" s="24">
        <v>7</v>
      </c>
      <c r="C26" s="25">
        <v>1E-3</v>
      </c>
      <c r="D26" s="24">
        <v>7</v>
      </c>
      <c r="E26" s="25">
        <v>0</v>
      </c>
      <c r="F26" s="26">
        <v>1200</v>
      </c>
      <c r="G26" s="25">
        <v>0</v>
      </c>
      <c r="H26" s="25">
        <v>9.4E-2</v>
      </c>
      <c r="I26" s="26">
        <v>798500</v>
      </c>
      <c r="J26" s="24" t="s">
        <v>7729</v>
      </c>
      <c r="K26" s="24">
        <v>113</v>
      </c>
      <c r="L26" s="24" t="s">
        <v>7730</v>
      </c>
      <c r="M26" s="26">
        <v>1635063100</v>
      </c>
      <c r="N26" s="26">
        <v>197829</v>
      </c>
      <c r="O26" s="24">
        <v>48</v>
      </c>
    </row>
    <row r="27" spans="1:15" ht="27" x14ac:dyDescent="0.3">
      <c r="A27" s="23">
        <v>43629</v>
      </c>
      <c r="B27" s="24">
        <v>6</v>
      </c>
      <c r="C27" s="25">
        <v>1E-3</v>
      </c>
      <c r="D27" s="24">
        <v>6</v>
      </c>
      <c r="E27" s="25">
        <v>0</v>
      </c>
      <c r="F27" s="24">
        <v>882</v>
      </c>
      <c r="G27" s="25">
        <v>0</v>
      </c>
      <c r="H27" s="25">
        <v>0.17</v>
      </c>
      <c r="I27" s="26">
        <v>1133000</v>
      </c>
      <c r="J27" s="24" t="s">
        <v>7731</v>
      </c>
      <c r="K27" s="24">
        <v>150</v>
      </c>
      <c r="L27" s="24" t="s">
        <v>7732</v>
      </c>
      <c r="M27" s="26">
        <v>1636196100</v>
      </c>
      <c r="N27" s="26">
        <v>197979</v>
      </c>
      <c r="O27" s="24">
        <v>42</v>
      </c>
    </row>
    <row r="28" spans="1:15" ht="27" x14ac:dyDescent="0.3">
      <c r="A28" s="23">
        <v>43630</v>
      </c>
      <c r="B28" s="24">
        <v>6</v>
      </c>
      <c r="C28" s="25">
        <v>1E-3</v>
      </c>
      <c r="D28" s="24">
        <v>6</v>
      </c>
      <c r="E28" s="25">
        <v>0</v>
      </c>
      <c r="F28" s="26">
        <v>1089</v>
      </c>
      <c r="G28" s="25">
        <v>0</v>
      </c>
      <c r="H28" s="25">
        <v>0.17399999999999999</v>
      </c>
      <c r="I28" s="26">
        <v>1248000</v>
      </c>
      <c r="J28" s="24" t="s">
        <v>7733</v>
      </c>
      <c r="K28" s="24">
        <v>189</v>
      </c>
      <c r="L28" s="24" t="s">
        <v>7734</v>
      </c>
      <c r="M28" s="26">
        <v>1637444100</v>
      </c>
      <c r="N28" s="26">
        <v>198168</v>
      </c>
      <c r="O28" s="24">
        <v>37</v>
      </c>
    </row>
    <row r="29" spans="1:15" ht="27" x14ac:dyDescent="0.3">
      <c r="A29" s="23">
        <v>43631</v>
      </c>
      <c r="B29" s="24">
        <v>6</v>
      </c>
      <c r="C29" s="25">
        <v>1E-3</v>
      </c>
      <c r="D29" s="24">
        <v>6</v>
      </c>
      <c r="E29" s="25">
        <v>0</v>
      </c>
      <c r="F29" s="26">
        <v>1037</v>
      </c>
      <c r="G29" s="25">
        <v>0</v>
      </c>
      <c r="H29" s="25">
        <v>0.20200000000000001</v>
      </c>
      <c r="I29" s="26">
        <v>1386500</v>
      </c>
      <c r="J29" s="24" t="s">
        <v>7735</v>
      </c>
      <c r="K29" s="24">
        <v>209</v>
      </c>
      <c r="L29" s="24" t="s">
        <v>7736</v>
      </c>
      <c r="M29" s="26">
        <v>1638830600</v>
      </c>
      <c r="N29" s="26">
        <v>198377</v>
      </c>
      <c r="O29" s="24">
        <v>33</v>
      </c>
    </row>
    <row r="30" spans="1:15" ht="27" x14ac:dyDescent="0.3">
      <c r="A30" s="23">
        <v>43632</v>
      </c>
      <c r="B30" s="24">
        <v>6</v>
      </c>
      <c r="C30" s="25">
        <v>1E-3</v>
      </c>
      <c r="D30" s="24">
        <v>6</v>
      </c>
      <c r="E30" s="25">
        <v>0</v>
      </c>
      <c r="F30" s="26">
        <v>1141</v>
      </c>
      <c r="G30" s="25">
        <v>0</v>
      </c>
      <c r="H30" s="25">
        <v>0.14000000000000001</v>
      </c>
      <c r="I30" s="26">
        <v>1228100</v>
      </c>
      <c r="J30" s="24" t="s">
        <v>7737</v>
      </c>
      <c r="K30" s="24">
        <v>160</v>
      </c>
      <c r="L30" s="24" t="s">
        <v>7738</v>
      </c>
      <c r="M30" s="26">
        <v>1640058700</v>
      </c>
      <c r="N30" s="26">
        <v>198537</v>
      </c>
      <c r="O30" s="24">
        <v>36</v>
      </c>
    </row>
    <row r="31" spans="1:15" ht="27" x14ac:dyDescent="0.3">
      <c r="A31" s="23">
        <v>43633</v>
      </c>
      <c r="B31" s="24">
        <v>7</v>
      </c>
      <c r="C31" s="25">
        <v>1E-3</v>
      </c>
      <c r="D31" s="24">
        <v>9</v>
      </c>
      <c r="E31" s="25">
        <v>1E-3</v>
      </c>
      <c r="F31" s="26">
        <v>1775</v>
      </c>
      <c r="G31" s="25">
        <v>1E-3</v>
      </c>
      <c r="H31" s="25">
        <v>7.5999999999999998E-2</v>
      </c>
      <c r="I31" s="26">
        <v>915100</v>
      </c>
      <c r="J31" s="24" t="s">
        <v>7739</v>
      </c>
      <c r="K31" s="24">
        <v>135</v>
      </c>
      <c r="L31" s="24" t="s">
        <v>7740</v>
      </c>
      <c r="M31" s="26">
        <v>1640973800</v>
      </c>
      <c r="N31" s="26">
        <v>198672</v>
      </c>
      <c r="O31" s="24">
        <v>32</v>
      </c>
    </row>
    <row r="32" spans="1:15" ht="27" x14ac:dyDescent="0.3">
      <c r="A32" s="23">
        <v>43634</v>
      </c>
      <c r="B32" s="24">
        <v>8</v>
      </c>
      <c r="C32" s="25">
        <v>1E-3</v>
      </c>
      <c r="D32" s="24">
        <v>8</v>
      </c>
      <c r="E32" s="25">
        <v>0</v>
      </c>
      <c r="F32" s="26">
        <v>1289</v>
      </c>
      <c r="G32" s="25">
        <v>0</v>
      </c>
      <c r="H32" s="25">
        <v>0.10199999999999999</v>
      </c>
      <c r="I32" s="26">
        <v>938000</v>
      </c>
      <c r="J32" s="24" t="s">
        <v>7741</v>
      </c>
      <c r="K32" s="24">
        <v>132</v>
      </c>
      <c r="L32" s="24" t="s">
        <v>7742</v>
      </c>
      <c r="M32" s="26">
        <v>1641911800</v>
      </c>
      <c r="N32" s="26">
        <v>198804</v>
      </c>
      <c r="O32" s="24">
        <v>40</v>
      </c>
    </row>
    <row r="33" spans="1:15" ht="27" x14ac:dyDescent="0.3">
      <c r="A33" s="23">
        <v>43635</v>
      </c>
      <c r="B33" s="24">
        <v>7</v>
      </c>
      <c r="C33" s="25">
        <v>1E-3</v>
      </c>
      <c r="D33" s="24">
        <v>7</v>
      </c>
      <c r="E33" s="25">
        <v>0</v>
      </c>
      <c r="F33" s="26">
        <v>1015</v>
      </c>
      <c r="G33" s="25">
        <v>0</v>
      </c>
      <c r="H33" s="25">
        <v>0.12</v>
      </c>
      <c r="I33" s="26">
        <v>893000</v>
      </c>
      <c r="J33" s="24" t="s">
        <v>7743</v>
      </c>
      <c r="K33" s="24">
        <v>122</v>
      </c>
      <c r="L33" s="24" t="s">
        <v>7744</v>
      </c>
      <c r="M33" s="26">
        <v>1642804800</v>
      </c>
      <c r="N33" s="26">
        <v>198926</v>
      </c>
      <c r="O33" s="24">
        <v>43</v>
      </c>
    </row>
    <row r="34" spans="1:15" ht="27" x14ac:dyDescent="0.3">
      <c r="A34" s="23">
        <v>43636</v>
      </c>
      <c r="B34" s="24">
        <v>6</v>
      </c>
      <c r="C34" s="25">
        <v>1E-3</v>
      </c>
      <c r="D34" s="24">
        <v>6</v>
      </c>
      <c r="E34" s="25">
        <v>0</v>
      </c>
      <c r="F34" s="26">
        <v>1052</v>
      </c>
      <c r="G34" s="25">
        <v>0</v>
      </c>
      <c r="H34" s="25">
        <v>0.1</v>
      </c>
      <c r="I34" s="26">
        <v>743000</v>
      </c>
      <c r="J34" s="24" t="s">
        <v>7745</v>
      </c>
      <c r="K34" s="24">
        <v>105</v>
      </c>
      <c r="L34" s="24" t="s">
        <v>7746</v>
      </c>
      <c r="M34" s="26">
        <v>1643547800</v>
      </c>
      <c r="N34" s="26">
        <v>199031</v>
      </c>
      <c r="O34" s="24">
        <v>43</v>
      </c>
    </row>
    <row r="35" spans="1:15" ht="27" x14ac:dyDescent="0.3">
      <c r="A35" s="23">
        <v>43637</v>
      </c>
      <c r="B35" s="24">
        <v>5</v>
      </c>
      <c r="C35" s="25">
        <v>1E-3</v>
      </c>
      <c r="D35" s="24">
        <v>5</v>
      </c>
      <c r="E35" s="25">
        <v>0</v>
      </c>
      <c r="F35" s="26">
        <v>1094</v>
      </c>
      <c r="G35" s="25">
        <v>0</v>
      </c>
      <c r="H35" s="25">
        <v>0.10100000000000001</v>
      </c>
      <c r="I35" s="26">
        <v>778500</v>
      </c>
      <c r="J35" s="24" t="s">
        <v>7747</v>
      </c>
      <c r="K35" s="24">
        <v>110</v>
      </c>
      <c r="L35" s="24" t="s">
        <v>7748</v>
      </c>
      <c r="M35" s="26">
        <v>1644326300</v>
      </c>
      <c r="N35" s="26">
        <v>199141</v>
      </c>
      <c r="O35" s="24">
        <v>38</v>
      </c>
    </row>
    <row r="36" spans="1:15" ht="27" x14ac:dyDescent="0.3">
      <c r="A36" s="23">
        <v>43638</v>
      </c>
      <c r="B36" s="24">
        <v>6</v>
      </c>
      <c r="C36" s="25">
        <v>1E-3</v>
      </c>
      <c r="D36" s="24">
        <v>6</v>
      </c>
      <c r="E36" s="25">
        <v>0</v>
      </c>
      <c r="F36" s="24">
        <v>913</v>
      </c>
      <c r="G36" s="25">
        <v>0</v>
      </c>
      <c r="H36" s="25">
        <v>0.126</v>
      </c>
      <c r="I36" s="26">
        <v>834000</v>
      </c>
      <c r="J36" s="24" t="s">
        <v>7749</v>
      </c>
      <c r="K36" s="24">
        <v>115</v>
      </c>
      <c r="L36" s="24" t="s">
        <v>7750</v>
      </c>
      <c r="M36" s="26">
        <v>1645160300</v>
      </c>
      <c r="N36" s="26">
        <v>199256</v>
      </c>
      <c r="O36" s="24">
        <v>38</v>
      </c>
    </row>
    <row r="37" spans="1:15" ht="27" x14ac:dyDescent="0.3">
      <c r="A37" s="23">
        <v>43639</v>
      </c>
      <c r="B37" s="24">
        <v>6</v>
      </c>
      <c r="C37" s="25">
        <v>1E-3</v>
      </c>
      <c r="D37" s="24">
        <v>6</v>
      </c>
      <c r="E37" s="25">
        <v>0</v>
      </c>
      <c r="F37" s="24">
        <v>913</v>
      </c>
      <c r="G37" s="25">
        <v>0</v>
      </c>
      <c r="H37" s="25">
        <v>0.13</v>
      </c>
      <c r="I37" s="26">
        <v>863000</v>
      </c>
      <c r="J37" s="24" t="s">
        <v>7751</v>
      </c>
      <c r="K37" s="24">
        <v>119</v>
      </c>
      <c r="L37" s="24" t="s">
        <v>7752</v>
      </c>
      <c r="M37" s="26">
        <v>1646023300</v>
      </c>
      <c r="N37" s="26">
        <v>199375</v>
      </c>
      <c r="O37" s="24">
        <v>32</v>
      </c>
    </row>
    <row r="38" spans="1:15" ht="27" x14ac:dyDescent="0.3">
      <c r="A38" s="23">
        <v>43640</v>
      </c>
      <c r="B38" s="24">
        <v>5</v>
      </c>
      <c r="C38" s="25">
        <v>1E-3</v>
      </c>
      <c r="D38" s="24">
        <v>5</v>
      </c>
      <c r="E38" s="25">
        <v>0</v>
      </c>
      <c r="F38" s="26">
        <v>1130</v>
      </c>
      <c r="G38" s="25">
        <v>0</v>
      </c>
      <c r="H38" s="25">
        <v>8.7999999999999995E-2</v>
      </c>
      <c r="I38" s="26">
        <v>700000</v>
      </c>
      <c r="J38" s="24" t="s">
        <v>7753</v>
      </c>
      <c r="K38" s="24">
        <v>100</v>
      </c>
      <c r="L38" s="24" t="s">
        <v>7754</v>
      </c>
      <c r="M38" s="26">
        <v>1646723300</v>
      </c>
      <c r="N38" s="26">
        <v>199475</v>
      </c>
      <c r="O38" s="24">
        <v>35</v>
      </c>
    </row>
    <row r="39" spans="1:15" ht="27" x14ac:dyDescent="0.3">
      <c r="A39" s="23">
        <v>43641</v>
      </c>
      <c r="B39" s="24">
        <v>5</v>
      </c>
      <c r="C39" s="25">
        <v>1E-3</v>
      </c>
      <c r="D39" s="24">
        <v>5</v>
      </c>
      <c r="E39" s="25">
        <v>0</v>
      </c>
      <c r="F39" s="26">
        <v>1160</v>
      </c>
      <c r="G39" s="25">
        <v>0</v>
      </c>
      <c r="H39" s="25">
        <v>8.8999999999999996E-2</v>
      </c>
      <c r="I39" s="26">
        <v>721000</v>
      </c>
      <c r="J39" s="24" t="s">
        <v>7755</v>
      </c>
      <c r="K39" s="24">
        <v>103</v>
      </c>
      <c r="L39" s="24" t="s">
        <v>7756</v>
      </c>
      <c r="M39" s="26">
        <v>1647444300</v>
      </c>
      <c r="N39" s="26">
        <v>199578</v>
      </c>
      <c r="O39" s="24">
        <v>44</v>
      </c>
    </row>
    <row r="40" spans="1:15" x14ac:dyDescent="0.3">
      <c r="A40" s="23">
        <v>43642</v>
      </c>
      <c r="B40" s="24">
        <v>5</v>
      </c>
      <c r="C40" s="25">
        <v>1E-3</v>
      </c>
      <c r="D40" s="24">
        <v>5</v>
      </c>
      <c r="E40" s="25">
        <v>0</v>
      </c>
      <c r="F40" s="26">
        <v>1081</v>
      </c>
      <c r="G40" s="25">
        <v>0</v>
      </c>
      <c r="H40" s="25">
        <v>9.5000000000000001E-2</v>
      </c>
      <c r="I40" s="26">
        <v>721000</v>
      </c>
      <c r="J40" s="24" t="s">
        <v>292</v>
      </c>
      <c r="K40" s="24">
        <v>103</v>
      </c>
      <c r="L40" s="24" t="s">
        <v>292</v>
      </c>
      <c r="M40" s="26">
        <v>1648165300</v>
      </c>
      <c r="N40" s="26">
        <v>199681</v>
      </c>
      <c r="O40" s="24">
        <v>41</v>
      </c>
    </row>
    <row r="41" spans="1:15" ht="27" x14ac:dyDescent="0.3">
      <c r="A41" s="23">
        <v>43643</v>
      </c>
      <c r="B41" s="24">
        <v>10</v>
      </c>
      <c r="C41" s="25">
        <v>2E-3</v>
      </c>
      <c r="D41" s="24">
        <v>13</v>
      </c>
      <c r="E41" s="25">
        <v>1E-3</v>
      </c>
      <c r="F41" s="26">
        <v>3427</v>
      </c>
      <c r="G41" s="25">
        <v>1E-3</v>
      </c>
      <c r="H41" s="25">
        <v>0.70299999999999996</v>
      </c>
      <c r="I41" s="26">
        <v>19990000</v>
      </c>
      <c r="J41" s="24" t="s">
        <v>7757</v>
      </c>
      <c r="K41" s="26">
        <v>2408</v>
      </c>
      <c r="L41" s="24" t="s">
        <v>7758</v>
      </c>
      <c r="M41" s="26">
        <v>1668155300</v>
      </c>
      <c r="N41" s="26">
        <v>202089</v>
      </c>
      <c r="O41" s="24">
        <v>11</v>
      </c>
    </row>
    <row r="42" spans="1:15" ht="27" x14ac:dyDescent="0.3">
      <c r="A42" s="23">
        <v>43644</v>
      </c>
      <c r="B42" s="24">
        <v>6</v>
      </c>
      <c r="C42" s="25">
        <v>1E-3</v>
      </c>
      <c r="D42" s="24">
        <v>6</v>
      </c>
      <c r="E42" s="25">
        <v>0</v>
      </c>
      <c r="F42" s="26">
        <v>1040</v>
      </c>
      <c r="G42" s="25">
        <v>0</v>
      </c>
      <c r="H42" s="25">
        <v>0.10100000000000001</v>
      </c>
      <c r="I42" s="26">
        <v>740000</v>
      </c>
      <c r="J42" s="24" t="s">
        <v>7759</v>
      </c>
      <c r="K42" s="24">
        <v>105</v>
      </c>
      <c r="L42" s="24" t="s">
        <v>7760</v>
      </c>
      <c r="M42" s="26">
        <v>1668895300</v>
      </c>
      <c r="N42" s="26">
        <v>202194</v>
      </c>
      <c r="O42" s="24">
        <v>52</v>
      </c>
    </row>
    <row r="43" spans="1:15" ht="27" x14ac:dyDescent="0.3">
      <c r="A43" s="23">
        <v>43645</v>
      </c>
      <c r="B43" s="24">
        <v>5</v>
      </c>
      <c r="C43" s="25">
        <v>1E-3</v>
      </c>
      <c r="D43" s="24">
        <v>5</v>
      </c>
      <c r="E43" s="25">
        <v>0</v>
      </c>
      <c r="F43" s="24">
        <v>941</v>
      </c>
      <c r="G43" s="25">
        <v>0</v>
      </c>
      <c r="H43" s="25">
        <v>0.115</v>
      </c>
      <c r="I43" s="26">
        <v>758300</v>
      </c>
      <c r="J43" s="24" t="s">
        <v>7761</v>
      </c>
      <c r="K43" s="24">
        <v>108</v>
      </c>
      <c r="L43" s="24" t="s">
        <v>7762</v>
      </c>
      <c r="M43" s="26">
        <v>1669653600</v>
      </c>
      <c r="N43" s="26">
        <v>202302</v>
      </c>
      <c r="O43" s="24">
        <v>49</v>
      </c>
    </row>
    <row r="44" spans="1:15" ht="27" x14ac:dyDescent="0.3">
      <c r="A44" s="23">
        <v>43646</v>
      </c>
      <c r="B44" s="24">
        <v>5</v>
      </c>
      <c r="C44" s="25">
        <v>1E-3</v>
      </c>
      <c r="D44" s="24">
        <v>5</v>
      </c>
      <c r="E44" s="25">
        <v>0</v>
      </c>
      <c r="F44" s="24">
        <v>941</v>
      </c>
      <c r="G44" s="25">
        <v>0</v>
      </c>
      <c r="H44" s="25">
        <v>0.115</v>
      </c>
      <c r="I44" s="26">
        <v>774000</v>
      </c>
      <c r="J44" s="24" t="s">
        <v>7763</v>
      </c>
      <c r="K44" s="24">
        <v>108</v>
      </c>
      <c r="L44" s="24" t="s">
        <v>292</v>
      </c>
      <c r="M44" s="26">
        <v>1670427600</v>
      </c>
      <c r="N44" s="26">
        <v>202410</v>
      </c>
      <c r="O44" s="24">
        <v>41</v>
      </c>
    </row>
    <row r="45" spans="1:15" ht="27" x14ac:dyDescent="0.3">
      <c r="A45" s="23">
        <v>43647</v>
      </c>
      <c r="B45" s="24">
        <v>5</v>
      </c>
      <c r="C45" s="25">
        <v>1E-3</v>
      </c>
      <c r="D45" s="24">
        <v>5</v>
      </c>
      <c r="E45" s="25">
        <v>0</v>
      </c>
      <c r="F45" s="24">
        <v>901</v>
      </c>
      <c r="G45" s="25">
        <v>0</v>
      </c>
      <c r="H45" s="25">
        <v>0.112</v>
      </c>
      <c r="I45" s="26">
        <v>707000</v>
      </c>
      <c r="J45" s="24" t="s">
        <v>7764</v>
      </c>
      <c r="K45" s="24">
        <v>101</v>
      </c>
      <c r="L45" s="24" t="s">
        <v>7765</v>
      </c>
      <c r="M45" s="26">
        <v>1671134600</v>
      </c>
      <c r="N45" s="26">
        <v>202511</v>
      </c>
      <c r="O45" s="24">
        <v>46</v>
      </c>
    </row>
    <row r="46" spans="1:15" ht="27" x14ac:dyDescent="0.3">
      <c r="A46" s="23">
        <v>43648</v>
      </c>
      <c r="B46" s="24">
        <v>1</v>
      </c>
      <c r="C46" s="25">
        <v>0</v>
      </c>
      <c r="D46" s="24">
        <v>1</v>
      </c>
      <c r="E46" s="25">
        <v>0</v>
      </c>
      <c r="F46" s="24">
        <v>58</v>
      </c>
      <c r="G46" s="25">
        <v>0</v>
      </c>
      <c r="H46" s="25">
        <v>1.7000000000000001E-2</v>
      </c>
      <c r="I46" s="26">
        <v>10000</v>
      </c>
      <c r="J46" s="24" t="s">
        <v>7766</v>
      </c>
      <c r="K46" s="24">
        <v>1</v>
      </c>
      <c r="L46" s="24" t="s">
        <v>4110</v>
      </c>
      <c r="M46" s="26">
        <v>1671144600</v>
      </c>
      <c r="N46" s="26">
        <v>202512</v>
      </c>
      <c r="O46" s="24">
        <v>87</v>
      </c>
    </row>
    <row r="47" spans="1:15" ht="27" x14ac:dyDescent="0.3">
      <c r="A47" s="23">
        <v>43649</v>
      </c>
      <c r="B47" s="24">
        <v>1</v>
      </c>
      <c r="C47" s="25">
        <v>0</v>
      </c>
      <c r="D47" s="24">
        <v>1</v>
      </c>
      <c r="E47" s="25">
        <v>0</v>
      </c>
      <c r="F47" s="24">
        <v>104</v>
      </c>
      <c r="G47" s="25">
        <v>0</v>
      </c>
      <c r="H47" s="25">
        <v>1</v>
      </c>
      <c r="I47" s="26">
        <v>520000</v>
      </c>
      <c r="J47" s="24" t="s">
        <v>7767</v>
      </c>
      <c r="K47" s="24">
        <v>104</v>
      </c>
      <c r="L47" s="24" t="s">
        <v>7768</v>
      </c>
      <c r="M47" s="26">
        <v>1671664600</v>
      </c>
      <c r="N47" s="26">
        <v>202616</v>
      </c>
      <c r="O47" s="24">
        <v>40</v>
      </c>
    </row>
    <row r="48" spans="1:15" ht="27" x14ac:dyDescent="0.3">
      <c r="A48" s="23">
        <v>43655</v>
      </c>
      <c r="B48" s="24">
        <v>1</v>
      </c>
      <c r="C48" s="25">
        <v>0</v>
      </c>
      <c r="D48" s="24">
        <v>1</v>
      </c>
      <c r="E48" s="25">
        <v>0</v>
      </c>
      <c r="F48" s="24">
        <v>59</v>
      </c>
      <c r="G48" s="25">
        <v>0</v>
      </c>
      <c r="H48" s="25">
        <v>1.7000000000000001E-2</v>
      </c>
      <c r="I48" s="26">
        <v>10000</v>
      </c>
      <c r="J48" s="24" t="s">
        <v>1407</v>
      </c>
      <c r="K48" s="24">
        <v>1</v>
      </c>
      <c r="L48" s="24" t="s">
        <v>312</v>
      </c>
      <c r="M48" s="26">
        <v>1671674600</v>
      </c>
      <c r="N48" s="26">
        <v>202617</v>
      </c>
      <c r="O48" s="24">
        <v>83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2929-0BE8-4EDE-B328-42AEBB7F9362}">
  <dimension ref="A1:O34"/>
  <sheetViews>
    <sheetView workbookViewId="0">
      <selection activeCell="A5" sqref="A5:O7"/>
    </sheetView>
  </sheetViews>
  <sheetFormatPr defaultRowHeight="16.5" x14ac:dyDescent="0.3"/>
  <sheetData>
    <row r="1" spans="1:15" x14ac:dyDescent="0.3">
      <c r="A1" t="s">
        <v>7769</v>
      </c>
    </row>
    <row r="2" spans="1:15" x14ac:dyDescent="0.3">
      <c r="A2" t="s">
        <v>7770</v>
      </c>
    </row>
    <row r="3" spans="1:15" x14ac:dyDescent="0.3">
      <c r="A3" t="s">
        <v>1243</v>
      </c>
    </row>
    <row r="4" spans="1:15" ht="18" customHeight="1" x14ac:dyDescent="0.3">
      <c r="A4" t="s">
        <v>111</v>
      </c>
      <c r="B4" t="s">
        <v>112</v>
      </c>
      <c r="C4" t="s">
        <v>113</v>
      </c>
      <c r="D4" t="s">
        <v>114</v>
      </c>
      <c r="E4" t="s">
        <v>115</v>
      </c>
      <c r="F4" t="s">
        <v>116</v>
      </c>
      <c r="G4" t="s">
        <v>117</v>
      </c>
      <c r="H4" t="s">
        <v>118</v>
      </c>
      <c r="I4" t="s">
        <v>119</v>
      </c>
      <c r="J4" t="s">
        <v>120</v>
      </c>
      <c r="K4" t="s">
        <v>121</v>
      </c>
      <c r="L4" t="s">
        <v>122</v>
      </c>
      <c r="M4" t="s">
        <v>123</v>
      </c>
      <c r="N4" t="s">
        <v>124</v>
      </c>
      <c r="O4" t="s">
        <v>125</v>
      </c>
    </row>
    <row r="5" spans="1:15" x14ac:dyDescent="0.3">
      <c r="A5" s="13">
        <v>43614</v>
      </c>
      <c r="B5">
        <v>923</v>
      </c>
      <c r="C5" s="14">
        <v>0.159</v>
      </c>
      <c r="D5" s="3">
        <v>3828</v>
      </c>
      <c r="E5" s="14">
        <v>0.21299999999999999</v>
      </c>
      <c r="F5" s="3">
        <v>653314</v>
      </c>
      <c r="G5" s="14">
        <v>0.23400000000000001</v>
      </c>
      <c r="H5" s="14">
        <v>0.13600000000000001</v>
      </c>
      <c r="I5" s="3">
        <v>610244780</v>
      </c>
      <c r="J5" t="s">
        <v>7771</v>
      </c>
      <c r="K5" s="3">
        <v>88996</v>
      </c>
      <c r="L5" t="s">
        <v>7772</v>
      </c>
      <c r="M5" s="3">
        <v>648300780</v>
      </c>
      <c r="N5" s="3">
        <v>92635</v>
      </c>
      <c r="O5">
        <v>3</v>
      </c>
    </row>
    <row r="6" spans="1:15" x14ac:dyDescent="0.3">
      <c r="A6" s="13">
        <v>43615</v>
      </c>
      <c r="B6">
        <v>656</v>
      </c>
      <c r="C6" s="14">
        <v>0.11600000000000001</v>
      </c>
      <c r="D6" s="3">
        <v>2249</v>
      </c>
      <c r="E6" s="14">
        <v>0.126</v>
      </c>
      <c r="F6" s="3">
        <v>353355</v>
      </c>
      <c r="G6" s="14">
        <v>0.128</v>
      </c>
      <c r="H6" s="14">
        <v>7.8E-2</v>
      </c>
      <c r="I6" s="3">
        <v>247085350</v>
      </c>
      <c r="J6" t="s">
        <v>7773</v>
      </c>
      <c r="K6" s="3">
        <v>27482</v>
      </c>
      <c r="L6" t="s">
        <v>7774</v>
      </c>
      <c r="M6" s="3">
        <v>895386130</v>
      </c>
      <c r="N6" s="3">
        <v>120117</v>
      </c>
      <c r="O6">
        <v>4</v>
      </c>
    </row>
    <row r="7" spans="1:15" x14ac:dyDescent="0.3">
      <c r="A7" s="13">
        <v>43616</v>
      </c>
      <c r="B7">
        <v>620</v>
      </c>
      <c r="C7" s="14">
        <v>0.111</v>
      </c>
      <c r="D7" s="3">
        <v>2057</v>
      </c>
      <c r="E7" s="14">
        <v>0.113</v>
      </c>
      <c r="F7" s="3">
        <v>317848</v>
      </c>
      <c r="G7" s="14">
        <v>0.113</v>
      </c>
      <c r="H7" s="14">
        <v>0.11899999999999999</v>
      </c>
      <c r="I7" s="3">
        <v>360434285</v>
      </c>
      <c r="J7" t="s">
        <v>7775</v>
      </c>
      <c r="K7" s="3">
        <v>37719</v>
      </c>
      <c r="L7" t="s">
        <v>7776</v>
      </c>
      <c r="M7" s="3">
        <v>1255820415</v>
      </c>
      <c r="N7" s="3">
        <v>157836</v>
      </c>
      <c r="O7">
        <v>4</v>
      </c>
    </row>
    <row r="8" spans="1:15" x14ac:dyDescent="0.3">
      <c r="A8" s="13">
        <v>43617</v>
      </c>
      <c r="B8">
        <v>610</v>
      </c>
      <c r="C8" s="14">
        <v>0.105</v>
      </c>
      <c r="D8" s="3">
        <v>1615</v>
      </c>
      <c r="E8" s="14">
        <v>8.5000000000000006E-2</v>
      </c>
      <c r="F8" s="3">
        <v>235099</v>
      </c>
      <c r="G8" s="14">
        <v>8.1000000000000003E-2</v>
      </c>
      <c r="H8" s="14">
        <v>0.33300000000000002</v>
      </c>
      <c r="I8" s="3">
        <v>738286373</v>
      </c>
      <c r="J8" t="s">
        <v>7777</v>
      </c>
      <c r="K8" s="3">
        <v>78285</v>
      </c>
      <c r="L8" t="s">
        <v>7778</v>
      </c>
      <c r="M8" s="3">
        <v>1994106788</v>
      </c>
      <c r="N8" s="3">
        <v>236121</v>
      </c>
      <c r="O8">
        <v>3</v>
      </c>
    </row>
    <row r="9" spans="1:15" x14ac:dyDescent="0.3">
      <c r="A9" s="13">
        <v>43618</v>
      </c>
      <c r="B9">
        <v>605</v>
      </c>
      <c r="C9" s="14">
        <v>0.104</v>
      </c>
      <c r="D9" s="3">
        <v>1474</v>
      </c>
      <c r="E9" s="14">
        <v>0.08</v>
      </c>
      <c r="F9" s="3">
        <v>213243</v>
      </c>
      <c r="G9" s="14">
        <v>7.4999999999999997E-2</v>
      </c>
      <c r="H9" s="14">
        <v>0.30499999999999999</v>
      </c>
      <c r="I9" s="3">
        <v>601646750</v>
      </c>
      <c r="J9" t="s">
        <v>7779</v>
      </c>
      <c r="K9" s="3">
        <v>65031</v>
      </c>
      <c r="L9" t="s">
        <v>7780</v>
      </c>
      <c r="M9" s="3">
        <v>2595753538</v>
      </c>
      <c r="N9" s="3">
        <v>301152</v>
      </c>
      <c r="O9">
        <v>3</v>
      </c>
    </row>
    <row r="10" spans="1:15" x14ac:dyDescent="0.3">
      <c r="A10" s="13">
        <v>43619</v>
      </c>
      <c r="B10">
        <v>554</v>
      </c>
      <c r="C10" s="14">
        <v>0.106</v>
      </c>
      <c r="D10" s="3">
        <v>1483</v>
      </c>
      <c r="E10" s="14">
        <v>8.5000000000000006E-2</v>
      </c>
      <c r="F10" s="3">
        <v>213741</v>
      </c>
      <c r="G10" s="14">
        <v>7.9000000000000001E-2</v>
      </c>
      <c r="H10" s="14">
        <v>6.5000000000000002E-2</v>
      </c>
      <c r="I10" s="3">
        <v>126400410</v>
      </c>
      <c r="J10" t="s">
        <v>7781</v>
      </c>
      <c r="K10" s="3">
        <v>13934</v>
      </c>
      <c r="L10" t="s">
        <v>7782</v>
      </c>
      <c r="M10" s="3">
        <v>2722153948</v>
      </c>
      <c r="N10" s="3">
        <v>315086</v>
      </c>
      <c r="O10">
        <v>4</v>
      </c>
    </row>
    <row r="11" spans="1:15" x14ac:dyDescent="0.3">
      <c r="A11" s="13">
        <v>43620</v>
      </c>
      <c r="B11">
        <v>542</v>
      </c>
      <c r="C11" s="14">
        <v>0.10100000000000001</v>
      </c>
      <c r="D11" s="3">
        <v>1414</v>
      </c>
      <c r="E11" s="14">
        <v>8.1000000000000003E-2</v>
      </c>
      <c r="F11" s="3">
        <v>205083</v>
      </c>
      <c r="G11" s="14">
        <v>7.5999999999999998E-2</v>
      </c>
      <c r="H11" s="14">
        <v>6.3E-2</v>
      </c>
      <c r="I11" s="3">
        <v>117863240</v>
      </c>
      <c r="J11" t="s">
        <v>7783</v>
      </c>
      <c r="K11" s="3">
        <v>12937</v>
      </c>
      <c r="L11" t="s">
        <v>7784</v>
      </c>
      <c r="M11" s="3">
        <v>2840017188</v>
      </c>
      <c r="N11" s="3">
        <v>328023</v>
      </c>
      <c r="O11">
        <v>4</v>
      </c>
    </row>
    <row r="12" spans="1:15" x14ac:dyDescent="0.3">
      <c r="A12" s="13">
        <v>43621</v>
      </c>
      <c r="B12">
        <v>276</v>
      </c>
      <c r="C12" s="14">
        <v>4.8000000000000001E-2</v>
      </c>
      <c r="D12">
        <v>424</v>
      </c>
      <c r="E12" s="14">
        <v>2.3E-2</v>
      </c>
      <c r="F12" s="3">
        <v>60832</v>
      </c>
      <c r="G12" s="14">
        <v>2.1000000000000001E-2</v>
      </c>
      <c r="H12" s="14">
        <v>7.6999999999999999E-2</v>
      </c>
      <c r="I12" s="3">
        <v>38232870</v>
      </c>
      <c r="J12" t="s">
        <v>7785</v>
      </c>
      <c r="K12" s="3">
        <v>4711</v>
      </c>
      <c r="L12" t="s">
        <v>7786</v>
      </c>
      <c r="M12" s="3">
        <v>2878250058</v>
      </c>
      <c r="N12" s="3">
        <v>332734</v>
      </c>
      <c r="O12">
        <v>6</v>
      </c>
    </row>
    <row r="13" spans="1:15" x14ac:dyDescent="0.3">
      <c r="A13" s="13">
        <v>43622</v>
      </c>
      <c r="B13">
        <v>131</v>
      </c>
      <c r="C13" s="14">
        <v>2.1999999999999999E-2</v>
      </c>
      <c r="D13">
        <v>159</v>
      </c>
      <c r="E13" s="14">
        <v>8.0000000000000002E-3</v>
      </c>
      <c r="F13" s="3">
        <v>15440</v>
      </c>
      <c r="G13" s="14">
        <v>5.0000000000000001E-3</v>
      </c>
      <c r="H13" s="14">
        <v>0.41599999999999998</v>
      </c>
      <c r="I13" s="3">
        <v>49272980</v>
      </c>
      <c r="J13" t="s">
        <v>7787</v>
      </c>
      <c r="K13" s="3">
        <v>6428</v>
      </c>
      <c r="L13" t="s">
        <v>7788</v>
      </c>
      <c r="M13" s="3">
        <v>2927523038</v>
      </c>
      <c r="N13" s="3">
        <v>339162</v>
      </c>
      <c r="O13">
        <v>7</v>
      </c>
    </row>
    <row r="14" spans="1:15" x14ac:dyDescent="0.3">
      <c r="A14" s="13">
        <v>43623</v>
      </c>
      <c r="B14">
        <v>142</v>
      </c>
      <c r="C14" s="14">
        <v>2.4E-2</v>
      </c>
      <c r="D14">
        <v>176</v>
      </c>
      <c r="E14" s="14">
        <v>8.9999999999999993E-3</v>
      </c>
      <c r="F14" s="3">
        <v>17386</v>
      </c>
      <c r="G14" s="14">
        <v>6.0000000000000001E-3</v>
      </c>
      <c r="H14" s="14">
        <v>0.26200000000000001</v>
      </c>
      <c r="I14" s="3">
        <v>34613820</v>
      </c>
      <c r="J14" t="s">
        <v>7789</v>
      </c>
      <c r="K14" s="3">
        <v>4558</v>
      </c>
      <c r="L14" t="s">
        <v>7790</v>
      </c>
      <c r="M14" s="3">
        <v>2962136858</v>
      </c>
      <c r="N14" s="3">
        <v>343720</v>
      </c>
      <c r="O14">
        <v>8</v>
      </c>
    </row>
    <row r="15" spans="1:15" x14ac:dyDescent="0.3">
      <c r="A15" s="13">
        <v>43624</v>
      </c>
      <c r="B15">
        <v>128</v>
      </c>
      <c r="C15" s="14">
        <v>2.1000000000000001E-2</v>
      </c>
      <c r="D15">
        <v>168</v>
      </c>
      <c r="E15" s="14">
        <v>8.9999999999999993E-3</v>
      </c>
      <c r="F15" s="3">
        <v>15996</v>
      </c>
      <c r="G15" s="14">
        <v>5.0000000000000001E-3</v>
      </c>
      <c r="H15" s="14">
        <v>0.32400000000000001</v>
      </c>
      <c r="I15" s="3">
        <v>41240160</v>
      </c>
      <c r="J15" t="s">
        <v>7791</v>
      </c>
      <c r="K15" s="3">
        <v>5179</v>
      </c>
      <c r="L15" t="s">
        <v>7792</v>
      </c>
      <c r="M15" s="3">
        <v>3003377018</v>
      </c>
      <c r="N15" s="3">
        <v>348899</v>
      </c>
      <c r="O15">
        <v>8</v>
      </c>
    </row>
    <row r="16" spans="1:15" x14ac:dyDescent="0.3">
      <c r="A16" s="13">
        <v>43625</v>
      </c>
      <c r="B16">
        <v>128</v>
      </c>
      <c r="C16" s="14">
        <v>2.1999999999999999E-2</v>
      </c>
      <c r="D16">
        <v>160</v>
      </c>
      <c r="E16" s="14">
        <v>8.0000000000000002E-3</v>
      </c>
      <c r="F16" s="3">
        <v>15391</v>
      </c>
      <c r="G16" s="14">
        <v>5.0000000000000001E-3</v>
      </c>
      <c r="H16" s="14">
        <v>0.25700000000000001</v>
      </c>
      <c r="I16" s="3">
        <v>31348290</v>
      </c>
      <c r="J16" t="s">
        <v>7793</v>
      </c>
      <c r="K16" s="3">
        <v>3963</v>
      </c>
      <c r="L16" t="s">
        <v>7794</v>
      </c>
      <c r="M16" s="3">
        <v>3034725308</v>
      </c>
      <c r="N16" s="3">
        <v>352862</v>
      </c>
      <c r="O16">
        <v>9</v>
      </c>
    </row>
    <row r="17" spans="1:15" x14ac:dyDescent="0.3">
      <c r="A17" s="13">
        <v>43626</v>
      </c>
      <c r="B17">
        <v>120</v>
      </c>
      <c r="C17" s="14">
        <v>2.4E-2</v>
      </c>
      <c r="D17">
        <v>159</v>
      </c>
      <c r="E17" s="14">
        <v>8.9999999999999993E-3</v>
      </c>
      <c r="F17" s="3">
        <v>16286</v>
      </c>
      <c r="G17" s="14">
        <v>6.0000000000000001E-3</v>
      </c>
      <c r="H17" s="14">
        <v>6.3E-2</v>
      </c>
      <c r="I17" s="3">
        <v>7863760</v>
      </c>
      <c r="J17" t="s">
        <v>7795</v>
      </c>
      <c r="K17" s="3">
        <v>1028</v>
      </c>
      <c r="L17" t="s">
        <v>7796</v>
      </c>
      <c r="M17" s="3">
        <v>3042589068</v>
      </c>
      <c r="N17" s="3">
        <v>353890</v>
      </c>
      <c r="O17">
        <v>9</v>
      </c>
    </row>
    <row r="18" spans="1:15" x14ac:dyDescent="0.3">
      <c r="A18" s="13">
        <v>43627</v>
      </c>
      <c r="B18">
        <v>120</v>
      </c>
      <c r="C18" s="14">
        <v>2.3E-2</v>
      </c>
      <c r="D18">
        <v>158</v>
      </c>
      <c r="E18" s="14">
        <v>8.9999999999999993E-3</v>
      </c>
      <c r="F18" s="3">
        <v>17370</v>
      </c>
      <c r="G18" s="14">
        <v>6.0000000000000001E-3</v>
      </c>
      <c r="H18" s="14">
        <v>5.3999999999999999E-2</v>
      </c>
      <c r="I18" s="3">
        <v>7176850</v>
      </c>
      <c r="J18" t="s">
        <v>7797</v>
      </c>
      <c r="K18">
        <v>944</v>
      </c>
      <c r="L18" t="s">
        <v>7798</v>
      </c>
      <c r="M18" s="3">
        <v>3049765918</v>
      </c>
      <c r="N18" s="3">
        <v>354834</v>
      </c>
      <c r="O18">
        <v>13</v>
      </c>
    </row>
    <row r="19" spans="1:15" x14ac:dyDescent="0.3">
      <c r="A19" s="13">
        <v>43628</v>
      </c>
      <c r="B19">
        <v>37</v>
      </c>
      <c r="C19" s="14">
        <v>7.0000000000000001E-3</v>
      </c>
      <c r="D19">
        <v>51</v>
      </c>
      <c r="E19" s="14">
        <v>3.0000000000000001E-3</v>
      </c>
      <c r="F19" s="3">
        <v>5990</v>
      </c>
      <c r="G19" s="14">
        <v>2E-3</v>
      </c>
      <c r="H19" s="14">
        <v>4.8000000000000001E-2</v>
      </c>
      <c r="I19" s="3">
        <v>2181600</v>
      </c>
      <c r="J19" t="s">
        <v>7799</v>
      </c>
      <c r="K19">
        <v>285</v>
      </c>
      <c r="L19" t="s">
        <v>7800</v>
      </c>
      <c r="M19" s="3">
        <v>3051947518</v>
      </c>
      <c r="N19" s="3">
        <v>355119</v>
      </c>
      <c r="O19">
        <v>24</v>
      </c>
    </row>
    <row r="20" spans="1:15" x14ac:dyDescent="0.3">
      <c r="A20" s="13">
        <v>43629</v>
      </c>
      <c r="B20">
        <v>32</v>
      </c>
      <c r="C20" s="14">
        <v>6.0000000000000001E-3</v>
      </c>
      <c r="D20">
        <v>40</v>
      </c>
      <c r="E20" s="14">
        <v>2E-3</v>
      </c>
      <c r="F20" s="3">
        <v>4612</v>
      </c>
      <c r="G20" s="14">
        <v>2E-3</v>
      </c>
      <c r="H20" s="14">
        <v>5.6000000000000001E-2</v>
      </c>
      <c r="I20" s="3">
        <v>2131480</v>
      </c>
      <c r="J20" t="s">
        <v>7801</v>
      </c>
      <c r="K20">
        <v>260</v>
      </c>
      <c r="L20" t="s">
        <v>7802</v>
      </c>
      <c r="M20" s="3">
        <v>3054078998</v>
      </c>
      <c r="N20" s="3">
        <v>355379</v>
      </c>
      <c r="O20">
        <v>34</v>
      </c>
    </row>
    <row r="21" spans="1:15" x14ac:dyDescent="0.3">
      <c r="A21" s="13">
        <v>43630</v>
      </c>
      <c r="B21">
        <v>32</v>
      </c>
      <c r="C21" s="14">
        <v>6.0000000000000001E-3</v>
      </c>
      <c r="D21">
        <v>43</v>
      </c>
      <c r="E21" s="14">
        <v>2E-3</v>
      </c>
      <c r="F21" s="3">
        <v>4908</v>
      </c>
      <c r="G21" s="14">
        <v>2E-3</v>
      </c>
      <c r="H21" s="14">
        <v>8.1000000000000003E-2</v>
      </c>
      <c r="I21" s="3">
        <v>3534300</v>
      </c>
      <c r="J21" t="s">
        <v>7803</v>
      </c>
      <c r="K21">
        <v>398</v>
      </c>
      <c r="L21" t="s">
        <v>7804</v>
      </c>
      <c r="M21" s="3">
        <v>3057613298</v>
      </c>
      <c r="N21" s="3">
        <v>355777</v>
      </c>
      <c r="O21">
        <v>21</v>
      </c>
    </row>
    <row r="22" spans="1:15" x14ac:dyDescent="0.3">
      <c r="A22" s="13">
        <v>43631</v>
      </c>
      <c r="B22">
        <v>33</v>
      </c>
      <c r="C22" s="14">
        <v>5.0000000000000001E-3</v>
      </c>
      <c r="D22">
        <v>47</v>
      </c>
      <c r="E22" s="14">
        <v>2E-3</v>
      </c>
      <c r="F22" s="3">
        <v>4963</v>
      </c>
      <c r="G22" s="14">
        <v>2E-3</v>
      </c>
      <c r="H22" s="14">
        <v>0.159</v>
      </c>
      <c r="I22" s="3">
        <v>6545060</v>
      </c>
      <c r="J22" t="s">
        <v>7805</v>
      </c>
      <c r="K22">
        <v>788</v>
      </c>
      <c r="L22" t="s">
        <v>7806</v>
      </c>
      <c r="M22" s="3">
        <v>3064158358</v>
      </c>
      <c r="N22" s="3">
        <v>356565</v>
      </c>
      <c r="O22">
        <v>17</v>
      </c>
    </row>
    <row r="23" spans="1:15" x14ac:dyDescent="0.3">
      <c r="A23" s="13">
        <v>43632</v>
      </c>
      <c r="B23">
        <v>32</v>
      </c>
      <c r="C23" s="14">
        <v>5.0000000000000001E-3</v>
      </c>
      <c r="D23">
        <v>39</v>
      </c>
      <c r="E23" s="14">
        <v>2E-3</v>
      </c>
      <c r="F23" s="3">
        <v>4568</v>
      </c>
      <c r="G23" s="14">
        <v>2E-3</v>
      </c>
      <c r="H23" s="14">
        <v>0.129</v>
      </c>
      <c r="I23" s="3">
        <v>4933680</v>
      </c>
      <c r="J23" t="s">
        <v>7807</v>
      </c>
      <c r="K23">
        <v>590</v>
      </c>
      <c r="L23" t="s">
        <v>7808</v>
      </c>
      <c r="M23" s="3">
        <v>3069092038</v>
      </c>
      <c r="N23" s="3">
        <v>357155</v>
      </c>
      <c r="O23">
        <v>16</v>
      </c>
    </row>
    <row r="24" spans="1:15" x14ac:dyDescent="0.3">
      <c r="A24" s="13">
        <v>43633</v>
      </c>
      <c r="B24">
        <v>29</v>
      </c>
      <c r="C24" s="14">
        <v>6.0000000000000001E-3</v>
      </c>
      <c r="D24">
        <v>40</v>
      </c>
      <c r="E24" s="14">
        <v>2E-3</v>
      </c>
      <c r="F24" s="3">
        <v>4386</v>
      </c>
      <c r="G24" s="14">
        <v>2E-3</v>
      </c>
      <c r="H24" s="14">
        <v>3.6999999999999998E-2</v>
      </c>
      <c r="I24" s="3">
        <v>1254240</v>
      </c>
      <c r="J24" t="s">
        <v>7809</v>
      </c>
      <c r="K24">
        <v>164</v>
      </c>
      <c r="L24" t="s">
        <v>7810</v>
      </c>
      <c r="M24" s="3">
        <v>3070346278</v>
      </c>
      <c r="N24" s="3">
        <v>357319</v>
      </c>
      <c r="O24">
        <v>29</v>
      </c>
    </row>
    <row r="25" spans="1:15" x14ac:dyDescent="0.3">
      <c r="A25" s="13">
        <v>43634</v>
      </c>
      <c r="B25">
        <v>30</v>
      </c>
      <c r="C25" s="14">
        <v>6.0000000000000001E-3</v>
      </c>
      <c r="D25">
        <v>39</v>
      </c>
      <c r="E25" s="14">
        <v>2E-3</v>
      </c>
      <c r="F25" s="3">
        <v>4024</v>
      </c>
      <c r="G25" s="14">
        <v>1E-3</v>
      </c>
      <c r="H25" s="14">
        <v>5.3999999999999999E-2</v>
      </c>
      <c r="I25" s="3">
        <v>1646240</v>
      </c>
      <c r="J25" t="s">
        <v>7811</v>
      </c>
      <c r="K25">
        <v>218</v>
      </c>
      <c r="L25" t="s">
        <v>7812</v>
      </c>
      <c r="M25" s="3">
        <v>3071992518</v>
      </c>
      <c r="N25" s="3">
        <v>357537</v>
      </c>
      <c r="O25">
        <v>26</v>
      </c>
    </row>
    <row r="26" spans="1:15" x14ac:dyDescent="0.3">
      <c r="A26" s="13">
        <v>43635</v>
      </c>
      <c r="B26">
        <v>10</v>
      </c>
      <c r="C26" s="14">
        <v>2E-3</v>
      </c>
      <c r="D26">
        <v>15</v>
      </c>
      <c r="E26" s="14">
        <v>1E-3</v>
      </c>
      <c r="F26" s="3">
        <v>1763</v>
      </c>
      <c r="G26" s="14">
        <v>1E-3</v>
      </c>
      <c r="H26" s="14">
        <v>7.2999999999999995E-2</v>
      </c>
      <c r="I26" s="3">
        <v>950800</v>
      </c>
      <c r="J26" t="s">
        <v>7813</v>
      </c>
      <c r="K26">
        <v>129</v>
      </c>
      <c r="L26" t="s">
        <v>7814</v>
      </c>
      <c r="M26" s="3">
        <v>3072943318</v>
      </c>
      <c r="N26" s="3">
        <v>357666</v>
      </c>
      <c r="O26">
        <v>40</v>
      </c>
    </row>
    <row r="27" spans="1:15" x14ac:dyDescent="0.3">
      <c r="A27" s="13">
        <v>43636</v>
      </c>
      <c r="B27">
        <v>1</v>
      </c>
      <c r="C27" s="14">
        <v>0</v>
      </c>
      <c r="D27">
        <v>1</v>
      </c>
      <c r="E27" s="14">
        <v>0</v>
      </c>
      <c r="F27">
        <v>160</v>
      </c>
      <c r="G27" s="14">
        <v>0</v>
      </c>
      <c r="H27" s="14">
        <v>4.3999999999999997E-2</v>
      </c>
      <c r="I27" s="3">
        <v>63000</v>
      </c>
      <c r="J27" t="s">
        <v>7815</v>
      </c>
      <c r="K27">
        <v>7</v>
      </c>
      <c r="L27" t="s">
        <v>7816</v>
      </c>
      <c r="M27" s="3">
        <v>3073006318</v>
      </c>
      <c r="N27" s="3">
        <v>357673</v>
      </c>
      <c r="O27">
        <v>79</v>
      </c>
    </row>
    <row r="28" spans="1:15" x14ac:dyDescent="0.3">
      <c r="A28" s="13">
        <v>43637</v>
      </c>
      <c r="B28">
        <v>1</v>
      </c>
      <c r="C28" s="14">
        <v>0</v>
      </c>
      <c r="D28">
        <v>1</v>
      </c>
      <c r="E28" s="14">
        <v>0</v>
      </c>
      <c r="F28">
        <v>160</v>
      </c>
      <c r="G28" s="14">
        <v>0</v>
      </c>
      <c r="H28" s="14">
        <v>6.3E-2</v>
      </c>
      <c r="I28" s="3">
        <v>69000</v>
      </c>
      <c r="J28" t="s">
        <v>7817</v>
      </c>
      <c r="K28">
        <v>10</v>
      </c>
      <c r="L28" t="s">
        <v>5410</v>
      </c>
      <c r="M28" s="3">
        <v>3073075318</v>
      </c>
      <c r="N28" s="3">
        <v>357683</v>
      </c>
      <c r="O28">
        <v>81</v>
      </c>
    </row>
    <row r="29" spans="1:15" x14ac:dyDescent="0.3">
      <c r="A29" s="13">
        <v>43638</v>
      </c>
      <c r="B29">
        <v>1</v>
      </c>
      <c r="C29" s="14">
        <v>0</v>
      </c>
      <c r="D29">
        <v>1</v>
      </c>
      <c r="E29" s="14">
        <v>0</v>
      </c>
      <c r="F29">
        <v>160</v>
      </c>
      <c r="G29" s="14">
        <v>0</v>
      </c>
      <c r="H29" s="14">
        <v>0.28799999999999998</v>
      </c>
      <c r="I29" s="3">
        <v>310000</v>
      </c>
      <c r="J29" t="s">
        <v>7818</v>
      </c>
      <c r="K29">
        <v>46</v>
      </c>
      <c r="L29" t="s">
        <v>7819</v>
      </c>
      <c r="M29" s="3">
        <v>3073385318</v>
      </c>
      <c r="N29" s="3">
        <v>357729</v>
      </c>
      <c r="O29">
        <v>66</v>
      </c>
    </row>
    <row r="30" spans="1:15" x14ac:dyDescent="0.3">
      <c r="A30" s="13">
        <v>43639</v>
      </c>
      <c r="B30">
        <v>4</v>
      </c>
      <c r="C30" s="14">
        <v>1E-3</v>
      </c>
      <c r="D30">
        <v>4</v>
      </c>
      <c r="E30" s="14">
        <v>0</v>
      </c>
      <c r="F30">
        <v>485</v>
      </c>
      <c r="G30" s="14">
        <v>0</v>
      </c>
      <c r="H30" s="14">
        <v>0.29899999999999999</v>
      </c>
      <c r="I30" s="3">
        <v>1233000</v>
      </c>
      <c r="J30" t="s">
        <v>7820</v>
      </c>
      <c r="K30">
        <v>145</v>
      </c>
      <c r="L30" t="s">
        <v>7821</v>
      </c>
      <c r="M30" s="3">
        <v>3074618318</v>
      </c>
      <c r="N30" s="3">
        <v>357874</v>
      </c>
      <c r="O30">
        <v>29</v>
      </c>
    </row>
    <row r="31" spans="1:15" x14ac:dyDescent="0.3">
      <c r="A31" s="13">
        <v>43640</v>
      </c>
      <c r="B31">
        <v>1</v>
      </c>
      <c r="C31" s="14">
        <v>0</v>
      </c>
      <c r="D31">
        <v>1</v>
      </c>
      <c r="E31" s="14">
        <v>0</v>
      </c>
      <c r="F31">
        <v>160</v>
      </c>
      <c r="G31" s="14">
        <v>0</v>
      </c>
      <c r="H31" s="14">
        <v>5.6000000000000001E-2</v>
      </c>
      <c r="I31" s="3">
        <v>54000</v>
      </c>
      <c r="J31" t="s">
        <v>7822</v>
      </c>
      <c r="K31">
        <v>9</v>
      </c>
      <c r="L31" t="s">
        <v>7823</v>
      </c>
      <c r="M31" s="3">
        <v>3074672318</v>
      </c>
      <c r="N31" s="3">
        <v>357883</v>
      </c>
      <c r="O31">
        <v>71</v>
      </c>
    </row>
    <row r="32" spans="1:15" x14ac:dyDescent="0.3">
      <c r="A32" s="13">
        <v>43641</v>
      </c>
      <c r="B32">
        <v>1</v>
      </c>
      <c r="C32" s="14">
        <v>0</v>
      </c>
      <c r="D32">
        <v>1</v>
      </c>
      <c r="E32" s="14">
        <v>0</v>
      </c>
      <c r="F32">
        <v>160</v>
      </c>
      <c r="G32" s="14">
        <v>0</v>
      </c>
      <c r="H32" s="14">
        <v>5.6000000000000001E-2</v>
      </c>
      <c r="I32" s="3">
        <v>54000</v>
      </c>
      <c r="J32" t="s">
        <v>292</v>
      </c>
      <c r="K32">
        <v>9</v>
      </c>
      <c r="L32" t="s">
        <v>292</v>
      </c>
      <c r="M32" s="3">
        <v>3074726318</v>
      </c>
      <c r="N32" s="3">
        <v>357892</v>
      </c>
      <c r="O32">
        <v>88</v>
      </c>
    </row>
    <row r="33" spans="1:15" x14ac:dyDescent="0.3">
      <c r="A33" s="13">
        <v>43642</v>
      </c>
      <c r="B33">
        <v>1</v>
      </c>
      <c r="C33" s="14">
        <v>0</v>
      </c>
      <c r="D33">
        <v>1</v>
      </c>
      <c r="E33" s="14">
        <v>0</v>
      </c>
      <c r="F33">
        <v>226</v>
      </c>
      <c r="G33" s="14">
        <v>0</v>
      </c>
      <c r="H33" s="14">
        <v>4.3999999999999997E-2</v>
      </c>
      <c r="I33" s="3">
        <v>59000</v>
      </c>
      <c r="J33" t="s">
        <v>7824</v>
      </c>
      <c r="K33">
        <v>10</v>
      </c>
      <c r="L33" t="s">
        <v>1415</v>
      </c>
      <c r="M33" s="3">
        <v>3074785318</v>
      </c>
      <c r="N33" s="3">
        <v>357902</v>
      </c>
      <c r="O33">
        <v>84</v>
      </c>
    </row>
    <row r="34" spans="1:15" x14ac:dyDescent="0.3">
      <c r="A34" s="13">
        <v>43650</v>
      </c>
      <c r="B34">
        <v>4</v>
      </c>
      <c r="C34" s="14">
        <v>1E-3</v>
      </c>
      <c r="D34">
        <v>4</v>
      </c>
      <c r="E34" s="14">
        <v>0</v>
      </c>
      <c r="F34" s="3">
        <v>1192</v>
      </c>
      <c r="G34" s="14">
        <v>0</v>
      </c>
      <c r="H34" s="14">
        <v>0.95599999999999996</v>
      </c>
      <c r="I34" s="3">
        <v>10251000</v>
      </c>
      <c r="J34" t="s">
        <v>7825</v>
      </c>
      <c r="K34" s="3">
        <v>1139</v>
      </c>
      <c r="L34" t="s">
        <v>7826</v>
      </c>
      <c r="M34" s="3">
        <v>3085036318</v>
      </c>
      <c r="N34" s="3">
        <v>359041</v>
      </c>
      <c r="O34">
        <v>15</v>
      </c>
    </row>
  </sheetData>
  <phoneticPr fontId="2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30117-ADB2-452C-B01B-37EA4F68D0B7}">
  <dimension ref="A1:O35"/>
  <sheetViews>
    <sheetView workbookViewId="0">
      <selection activeCell="A5" sqref="A5:O5"/>
    </sheetView>
  </sheetViews>
  <sheetFormatPr defaultRowHeight="16.5" x14ac:dyDescent="0.3"/>
  <sheetData>
    <row r="1" spans="1:15" ht="19.5" x14ac:dyDescent="0.3">
      <c r="A1" s="197" t="s">
        <v>7827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34" t="s">
        <v>111</v>
      </c>
      <c r="B4" s="29" t="s">
        <v>112</v>
      </c>
      <c r="C4" s="29" t="s">
        <v>113</v>
      </c>
      <c r="D4" s="29" t="s">
        <v>114</v>
      </c>
      <c r="E4" s="29" t="s">
        <v>115</v>
      </c>
      <c r="F4" s="29" t="s">
        <v>116</v>
      </c>
      <c r="G4" s="29" t="s">
        <v>117</v>
      </c>
      <c r="H4" s="29" t="s">
        <v>118</v>
      </c>
      <c r="I4" s="29" t="s">
        <v>119</v>
      </c>
      <c r="J4" s="29" t="s">
        <v>120</v>
      </c>
      <c r="K4" s="29" t="s">
        <v>121</v>
      </c>
      <c r="L4" s="29" t="s">
        <v>122</v>
      </c>
      <c r="M4" s="29" t="s">
        <v>123</v>
      </c>
      <c r="N4" s="29" t="s">
        <v>124</v>
      </c>
      <c r="O4" s="35" t="s">
        <v>125</v>
      </c>
    </row>
    <row r="5" spans="1:15" ht="27" x14ac:dyDescent="0.3">
      <c r="A5" s="30">
        <v>43608</v>
      </c>
      <c r="B5" s="31">
        <v>475</v>
      </c>
      <c r="C5" s="32">
        <v>8.2000000000000003E-2</v>
      </c>
      <c r="D5" s="33">
        <v>1712</v>
      </c>
      <c r="E5" s="32">
        <v>9.4E-2</v>
      </c>
      <c r="F5" s="33">
        <v>230068</v>
      </c>
      <c r="G5" s="32">
        <v>8.1000000000000003E-2</v>
      </c>
      <c r="H5" s="32">
        <v>7.6999999999999999E-2</v>
      </c>
      <c r="I5" s="33">
        <v>146359870</v>
      </c>
      <c r="J5" s="31" t="s">
        <v>7828</v>
      </c>
      <c r="K5" s="33">
        <v>17628</v>
      </c>
      <c r="L5" s="31" t="s">
        <v>7829</v>
      </c>
      <c r="M5" s="33">
        <v>150369870</v>
      </c>
      <c r="N5" s="33">
        <v>18029</v>
      </c>
      <c r="O5" s="31">
        <v>5</v>
      </c>
    </row>
    <row r="6" spans="1:15" ht="27" x14ac:dyDescent="0.3">
      <c r="A6" s="30">
        <v>43609</v>
      </c>
      <c r="B6" s="31">
        <v>509</v>
      </c>
      <c r="C6" s="32">
        <v>8.4000000000000005E-2</v>
      </c>
      <c r="D6" s="33">
        <v>1610</v>
      </c>
      <c r="E6" s="32">
        <v>8.5999999999999993E-2</v>
      </c>
      <c r="F6" s="33">
        <v>213310</v>
      </c>
      <c r="G6" s="32">
        <v>7.3999999999999996E-2</v>
      </c>
      <c r="H6" s="32">
        <v>7.2999999999999995E-2</v>
      </c>
      <c r="I6" s="33">
        <v>139739547</v>
      </c>
      <c r="J6" s="31" t="s">
        <v>7830</v>
      </c>
      <c r="K6" s="33">
        <v>15555</v>
      </c>
      <c r="L6" s="31" t="s">
        <v>7831</v>
      </c>
      <c r="M6" s="33">
        <v>290109417</v>
      </c>
      <c r="N6" s="33">
        <v>33584</v>
      </c>
      <c r="O6" s="31">
        <v>6</v>
      </c>
    </row>
    <row r="7" spans="1:15" ht="27" x14ac:dyDescent="0.3">
      <c r="A7" s="30">
        <v>43610</v>
      </c>
      <c r="B7" s="31">
        <v>500</v>
      </c>
      <c r="C7" s="32">
        <v>7.5999999999999998E-2</v>
      </c>
      <c r="D7" s="33">
        <v>1303</v>
      </c>
      <c r="E7" s="32">
        <v>6.6000000000000003E-2</v>
      </c>
      <c r="F7" s="33">
        <v>167242</v>
      </c>
      <c r="G7" s="32">
        <v>5.5E-2</v>
      </c>
      <c r="H7" s="32">
        <v>0.123</v>
      </c>
      <c r="I7" s="33">
        <v>185333083</v>
      </c>
      <c r="J7" s="31" t="s">
        <v>7832</v>
      </c>
      <c r="K7" s="33">
        <v>20510</v>
      </c>
      <c r="L7" s="31" t="s">
        <v>7833</v>
      </c>
      <c r="M7" s="33">
        <v>475442500</v>
      </c>
      <c r="N7" s="33">
        <v>54094</v>
      </c>
      <c r="O7" s="31">
        <v>6</v>
      </c>
    </row>
    <row r="8" spans="1:15" ht="27" x14ac:dyDescent="0.3">
      <c r="A8" s="30">
        <v>43611</v>
      </c>
      <c r="B8" s="31">
        <v>488</v>
      </c>
      <c r="C8" s="32">
        <v>7.3999999999999996E-2</v>
      </c>
      <c r="D8" s="33">
        <v>1184</v>
      </c>
      <c r="E8" s="32">
        <v>6.2E-2</v>
      </c>
      <c r="F8" s="33">
        <v>153155</v>
      </c>
      <c r="G8" s="32">
        <v>5.1999999999999998E-2</v>
      </c>
      <c r="H8" s="32">
        <v>0.114</v>
      </c>
      <c r="I8" s="33">
        <v>158757340</v>
      </c>
      <c r="J8" s="31" t="s">
        <v>7834</v>
      </c>
      <c r="K8" s="33">
        <v>17519</v>
      </c>
      <c r="L8" s="31" t="s">
        <v>7835</v>
      </c>
      <c r="M8" s="33">
        <v>634199840</v>
      </c>
      <c r="N8" s="33">
        <v>71613</v>
      </c>
      <c r="O8" s="31">
        <v>6</v>
      </c>
    </row>
    <row r="9" spans="1:15" ht="40.5" x14ac:dyDescent="0.3">
      <c r="A9" s="30">
        <v>43612</v>
      </c>
      <c r="B9" s="31">
        <v>459</v>
      </c>
      <c r="C9" s="32">
        <v>8.1000000000000003E-2</v>
      </c>
      <c r="D9" s="33">
        <v>1134</v>
      </c>
      <c r="E9" s="32">
        <v>6.4000000000000001E-2</v>
      </c>
      <c r="F9" s="33">
        <v>150947</v>
      </c>
      <c r="G9" s="32">
        <v>5.3999999999999999E-2</v>
      </c>
      <c r="H9" s="32">
        <v>4.3999999999999997E-2</v>
      </c>
      <c r="I9" s="33">
        <v>55150370</v>
      </c>
      <c r="J9" s="31" t="s">
        <v>7836</v>
      </c>
      <c r="K9" s="33">
        <v>6619</v>
      </c>
      <c r="L9" s="31" t="s">
        <v>7837</v>
      </c>
      <c r="M9" s="33">
        <v>689350210</v>
      </c>
      <c r="N9" s="33">
        <v>78232</v>
      </c>
      <c r="O9" s="31">
        <v>6</v>
      </c>
    </row>
    <row r="10" spans="1:15" ht="27" x14ac:dyDescent="0.3">
      <c r="A10" s="30">
        <v>43613</v>
      </c>
      <c r="B10" s="31">
        <v>463</v>
      </c>
      <c r="C10" s="32">
        <v>7.8E-2</v>
      </c>
      <c r="D10" s="33">
        <v>1074</v>
      </c>
      <c r="E10" s="32">
        <v>6.0999999999999999E-2</v>
      </c>
      <c r="F10" s="33">
        <v>142195</v>
      </c>
      <c r="G10" s="32">
        <v>5.1999999999999998E-2</v>
      </c>
      <c r="H10" s="32">
        <v>0.04</v>
      </c>
      <c r="I10" s="33">
        <v>46801100</v>
      </c>
      <c r="J10" s="31" t="s">
        <v>7838</v>
      </c>
      <c r="K10" s="33">
        <v>5621</v>
      </c>
      <c r="L10" s="31" t="s">
        <v>7839</v>
      </c>
      <c r="M10" s="33">
        <v>736151310</v>
      </c>
      <c r="N10" s="33">
        <v>83853</v>
      </c>
      <c r="O10" s="31">
        <v>6</v>
      </c>
    </row>
    <row r="11" spans="1:15" ht="27" x14ac:dyDescent="0.3">
      <c r="A11" s="30">
        <v>43614</v>
      </c>
      <c r="B11" s="31">
        <v>239</v>
      </c>
      <c r="C11" s="32">
        <v>4.1000000000000002E-2</v>
      </c>
      <c r="D11" s="31">
        <v>367</v>
      </c>
      <c r="E11" s="32">
        <v>0.02</v>
      </c>
      <c r="F11" s="33">
        <v>47635</v>
      </c>
      <c r="G11" s="32">
        <v>1.7000000000000001E-2</v>
      </c>
      <c r="H11" s="32">
        <v>6.6000000000000003E-2</v>
      </c>
      <c r="I11" s="33">
        <v>22594750</v>
      </c>
      <c r="J11" s="31" t="s">
        <v>7840</v>
      </c>
      <c r="K11" s="33">
        <v>3132</v>
      </c>
      <c r="L11" s="31" t="s">
        <v>7841</v>
      </c>
      <c r="M11" s="33">
        <v>758746060</v>
      </c>
      <c r="N11" s="33">
        <v>86985</v>
      </c>
      <c r="O11" s="31">
        <v>9</v>
      </c>
    </row>
    <row r="12" spans="1:15" ht="27" x14ac:dyDescent="0.3">
      <c r="A12" s="30">
        <v>43615</v>
      </c>
      <c r="B12" s="31">
        <v>40</v>
      </c>
      <c r="C12" s="32">
        <v>7.0000000000000001E-3</v>
      </c>
      <c r="D12" s="31">
        <v>43</v>
      </c>
      <c r="E12" s="32">
        <v>2E-3</v>
      </c>
      <c r="F12" s="33">
        <v>5337</v>
      </c>
      <c r="G12" s="32">
        <v>2E-3</v>
      </c>
      <c r="H12" s="32">
        <v>0.17100000000000001</v>
      </c>
      <c r="I12" s="33">
        <v>7124280</v>
      </c>
      <c r="J12" s="31" t="s">
        <v>7842</v>
      </c>
      <c r="K12" s="31">
        <v>915</v>
      </c>
      <c r="L12" s="31" t="s">
        <v>7843</v>
      </c>
      <c r="M12" s="33">
        <v>765870340</v>
      </c>
      <c r="N12" s="33">
        <v>87900</v>
      </c>
      <c r="O12" s="31">
        <v>15</v>
      </c>
    </row>
    <row r="13" spans="1:15" ht="27" x14ac:dyDescent="0.3">
      <c r="A13" s="30">
        <v>43616</v>
      </c>
      <c r="B13" s="31">
        <v>34</v>
      </c>
      <c r="C13" s="32">
        <v>6.0000000000000001E-3</v>
      </c>
      <c r="D13" s="31">
        <v>36</v>
      </c>
      <c r="E13" s="32">
        <v>2E-3</v>
      </c>
      <c r="F13" s="33">
        <v>4679</v>
      </c>
      <c r="G13" s="32">
        <v>2E-3</v>
      </c>
      <c r="H13" s="32">
        <v>3.9E-2</v>
      </c>
      <c r="I13" s="33">
        <v>1649500</v>
      </c>
      <c r="J13" s="31" t="s">
        <v>7844</v>
      </c>
      <c r="K13" s="31">
        <v>181</v>
      </c>
      <c r="L13" s="31" t="s">
        <v>7845</v>
      </c>
      <c r="M13" s="33">
        <v>767519840</v>
      </c>
      <c r="N13" s="33">
        <v>88081</v>
      </c>
      <c r="O13" s="31">
        <v>27</v>
      </c>
    </row>
    <row r="14" spans="1:15" ht="27" x14ac:dyDescent="0.3">
      <c r="A14" s="30">
        <v>43617</v>
      </c>
      <c r="B14" s="31">
        <v>28</v>
      </c>
      <c r="C14" s="32">
        <v>5.0000000000000001E-3</v>
      </c>
      <c r="D14" s="31">
        <v>28</v>
      </c>
      <c r="E14" s="32">
        <v>1E-3</v>
      </c>
      <c r="F14" s="33">
        <v>2782</v>
      </c>
      <c r="G14" s="32">
        <v>1E-3</v>
      </c>
      <c r="H14" s="32">
        <v>8.5999999999999993E-2</v>
      </c>
      <c r="I14" s="33">
        <v>2071080</v>
      </c>
      <c r="J14" s="31" t="s">
        <v>7846</v>
      </c>
      <c r="K14" s="31">
        <v>239</v>
      </c>
      <c r="L14" s="31" t="s">
        <v>7847</v>
      </c>
      <c r="M14" s="33">
        <v>769590920</v>
      </c>
      <c r="N14" s="33">
        <v>88320</v>
      </c>
      <c r="O14" s="31">
        <v>29</v>
      </c>
    </row>
    <row r="15" spans="1:15" ht="27" x14ac:dyDescent="0.3">
      <c r="A15" s="30">
        <v>43618</v>
      </c>
      <c r="B15" s="31">
        <v>25</v>
      </c>
      <c r="C15" s="32">
        <v>4.0000000000000001E-3</v>
      </c>
      <c r="D15" s="31">
        <v>25</v>
      </c>
      <c r="E15" s="32">
        <v>1E-3</v>
      </c>
      <c r="F15" s="33">
        <v>2730</v>
      </c>
      <c r="G15" s="32">
        <v>1E-3</v>
      </c>
      <c r="H15" s="32">
        <v>7.0999999999999994E-2</v>
      </c>
      <c r="I15" s="33">
        <v>1643130</v>
      </c>
      <c r="J15" s="31" t="s">
        <v>7848</v>
      </c>
      <c r="K15" s="31">
        <v>194</v>
      </c>
      <c r="L15" s="31" t="s">
        <v>7849</v>
      </c>
      <c r="M15" s="33">
        <v>771234050</v>
      </c>
      <c r="N15" s="33">
        <v>88514</v>
      </c>
      <c r="O15" s="31">
        <v>26</v>
      </c>
    </row>
    <row r="16" spans="1:15" ht="27" x14ac:dyDescent="0.3">
      <c r="A16" s="30">
        <v>43619</v>
      </c>
      <c r="B16" s="31">
        <v>22</v>
      </c>
      <c r="C16" s="32">
        <v>4.0000000000000001E-3</v>
      </c>
      <c r="D16" s="31">
        <v>22</v>
      </c>
      <c r="E16" s="32">
        <v>1E-3</v>
      </c>
      <c r="F16" s="33">
        <v>2353</v>
      </c>
      <c r="G16" s="32">
        <v>1E-3</v>
      </c>
      <c r="H16" s="32">
        <v>3.5999999999999997E-2</v>
      </c>
      <c r="I16" s="33">
        <v>632460</v>
      </c>
      <c r="J16" s="31" t="s">
        <v>7850</v>
      </c>
      <c r="K16" s="31">
        <v>84</v>
      </c>
      <c r="L16" s="31" t="s">
        <v>7851</v>
      </c>
      <c r="M16" s="33">
        <v>771866510</v>
      </c>
      <c r="N16" s="33">
        <v>88598</v>
      </c>
      <c r="O16" s="31">
        <v>40</v>
      </c>
    </row>
    <row r="17" spans="1:15" ht="27" x14ac:dyDescent="0.3">
      <c r="A17" s="30">
        <v>43620</v>
      </c>
      <c r="B17" s="31">
        <v>22</v>
      </c>
      <c r="C17" s="32">
        <v>4.0000000000000001E-3</v>
      </c>
      <c r="D17" s="31">
        <v>22</v>
      </c>
      <c r="E17" s="32">
        <v>1E-3</v>
      </c>
      <c r="F17" s="33">
        <v>2309</v>
      </c>
      <c r="G17" s="32">
        <v>1E-3</v>
      </c>
      <c r="H17" s="32">
        <v>5.1999999999999998E-2</v>
      </c>
      <c r="I17" s="33">
        <v>1016460</v>
      </c>
      <c r="J17" s="31" t="s">
        <v>7852</v>
      </c>
      <c r="K17" s="31">
        <v>120</v>
      </c>
      <c r="L17" s="31" t="s">
        <v>7853</v>
      </c>
      <c r="M17" s="33">
        <v>772882970</v>
      </c>
      <c r="N17" s="33">
        <v>88718</v>
      </c>
      <c r="O17" s="31">
        <v>35</v>
      </c>
    </row>
    <row r="18" spans="1:15" ht="27" x14ac:dyDescent="0.3">
      <c r="A18" s="30">
        <v>43621</v>
      </c>
      <c r="B18" s="31">
        <v>2</v>
      </c>
      <c r="C18" s="32">
        <v>0</v>
      </c>
      <c r="D18" s="31">
        <v>2</v>
      </c>
      <c r="E18" s="32">
        <v>0</v>
      </c>
      <c r="F18" s="31">
        <v>152</v>
      </c>
      <c r="G18" s="32">
        <v>0</v>
      </c>
      <c r="H18" s="32">
        <v>7.9000000000000001E-2</v>
      </c>
      <c r="I18" s="33">
        <v>71000</v>
      </c>
      <c r="J18" s="31" t="s">
        <v>7854</v>
      </c>
      <c r="K18" s="31">
        <v>12</v>
      </c>
      <c r="L18" s="31" t="s">
        <v>7855</v>
      </c>
      <c r="M18" s="33">
        <v>772953970</v>
      </c>
      <c r="N18" s="33">
        <v>88730</v>
      </c>
      <c r="O18" s="31">
        <v>74</v>
      </c>
    </row>
    <row r="19" spans="1:15" ht="27" x14ac:dyDescent="0.3">
      <c r="A19" s="30">
        <v>43622</v>
      </c>
      <c r="B19" s="31">
        <v>1</v>
      </c>
      <c r="C19" s="32">
        <v>0</v>
      </c>
      <c r="D19" s="31">
        <v>1</v>
      </c>
      <c r="E19" s="32">
        <v>0</v>
      </c>
      <c r="F19" s="31">
        <v>105</v>
      </c>
      <c r="G19" s="32">
        <v>0</v>
      </c>
      <c r="H19" s="32">
        <v>0.152</v>
      </c>
      <c r="I19" s="33">
        <v>140000</v>
      </c>
      <c r="J19" s="31" t="s">
        <v>7856</v>
      </c>
      <c r="K19" s="31">
        <v>16</v>
      </c>
      <c r="L19" s="31" t="s">
        <v>1379</v>
      </c>
      <c r="M19" s="33">
        <v>773093970</v>
      </c>
      <c r="N19" s="33">
        <v>88746</v>
      </c>
      <c r="O19" s="31">
        <v>73</v>
      </c>
    </row>
    <row r="20" spans="1:15" ht="27" x14ac:dyDescent="0.3">
      <c r="A20" s="30">
        <v>43623</v>
      </c>
      <c r="B20" s="31">
        <v>1</v>
      </c>
      <c r="C20" s="32">
        <v>0</v>
      </c>
      <c r="D20" s="31">
        <v>1</v>
      </c>
      <c r="E20" s="32">
        <v>0</v>
      </c>
      <c r="F20" s="31">
        <v>105</v>
      </c>
      <c r="G20" s="32">
        <v>0</v>
      </c>
      <c r="H20" s="32">
        <v>2.9000000000000001E-2</v>
      </c>
      <c r="I20" s="33">
        <v>27000</v>
      </c>
      <c r="J20" s="31" t="s">
        <v>7857</v>
      </c>
      <c r="K20" s="31">
        <v>3</v>
      </c>
      <c r="L20" s="31" t="s">
        <v>7858</v>
      </c>
      <c r="M20" s="33">
        <v>773120970</v>
      </c>
      <c r="N20" s="33">
        <v>88749</v>
      </c>
      <c r="O20" s="31">
        <v>90</v>
      </c>
    </row>
    <row r="21" spans="1:15" ht="27" x14ac:dyDescent="0.3">
      <c r="A21" s="30">
        <v>43624</v>
      </c>
      <c r="B21" s="31">
        <v>1</v>
      </c>
      <c r="C21" s="32">
        <v>0</v>
      </c>
      <c r="D21" s="31">
        <v>1</v>
      </c>
      <c r="E21" s="32">
        <v>0</v>
      </c>
      <c r="F21" s="31">
        <v>105</v>
      </c>
      <c r="G21" s="32">
        <v>0</v>
      </c>
      <c r="H21" s="32">
        <v>0.105</v>
      </c>
      <c r="I21" s="33">
        <v>97000</v>
      </c>
      <c r="J21" s="31" t="s">
        <v>7859</v>
      </c>
      <c r="K21" s="31">
        <v>11</v>
      </c>
      <c r="L21" s="31" t="s">
        <v>7860</v>
      </c>
      <c r="M21" s="33">
        <v>773217970</v>
      </c>
      <c r="N21" s="33">
        <v>88760</v>
      </c>
      <c r="O21" s="31">
        <v>79</v>
      </c>
    </row>
    <row r="22" spans="1:15" ht="27" x14ac:dyDescent="0.3">
      <c r="A22" s="30">
        <v>43625</v>
      </c>
      <c r="B22" s="31">
        <v>1</v>
      </c>
      <c r="C22" s="32">
        <v>0</v>
      </c>
      <c r="D22" s="31">
        <v>1</v>
      </c>
      <c r="E22" s="32">
        <v>0</v>
      </c>
      <c r="F22" s="31">
        <v>105</v>
      </c>
      <c r="G22" s="32">
        <v>0</v>
      </c>
      <c r="H22" s="32">
        <v>0.01</v>
      </c>
      <c r="I22" s="33">
        <v>9000</v>
      </c>
      <c r="J22" s="31" t="s">
        <v>7861</v>
      </c>
      <c r="K22" s="31">
        <v>1</v>
      </c>
      <c r="L22" s="31" t="s">
        <v>7862</v>
      </c>
      <c r="M22" s="33">
        <v>773226970</v>
      </c>
      <c r="N22" s="33">
        <v>88761</v>
      </c>
      <c r="O22" s="31">
        <v>89</v>
      </c>
    </row>
    <row r="23" spans="1:15" ht="27" x14ac:dyDescent="0.3">
      <c r="A23" s="30">
        <v>43626</v>
      </c>
      <c r="B23" s="31">
        <v>1</v>
      </c>
      <c r="C23" s="32">
        <v>0</v>
      </c>
      <c r="D23" s="31">
        <v>1</v>
      </c>
      <c r="E23" s="32">
        <v>0</v>
      </c>
      <c r="F23" s="31">
        <v>151</v>
      </c>
      <c r="G23" s="32">
        <v>0</v>
      </c>
      <c r="H23" s="32">
        <v>7.0000000000000001E-3</v>
      </c>
      <c r="I23" s="33">
        <v>10000</v>
      </c>
      <c r="J23" s="31" t="s">
        <v>7863</v>
      </c>
      <c r="K23" s="31">
        <v>1</v>
      </c>
      <c r="L23" s="31" t="s">
        <v>292</v>
      </c>
      <c r="M23" s="33">
        <v>773236970</v>
      </c>
      <c r="N23" s="33">
        <v>88762</v>
      </c>
      <c r="O23" s="31">
        <v>84</v>
      </c>
    </row>
    <row r="24" spans="1:15" ht="27" x14ac:dyDescent="0.3">
      <c r="A24" s="30">
        <v>43627</v>
      </c>
      <c r="B24" s="31">
        <v>1</v>
      </c>
      <c r="C24" s="32">
        <v>0</v>
      </c>
      <c r="D24" s="31">
        <v>1</v>
      </c>
      <c r="E24" s="32">
        <v>0</v>
      </c>
      <c r="F24" s="31">
        <v>105</v>
      </c>
      <c r="G24" s="32">
        <v>0</v>
      </c>
      <c r="H24" s="32">
        <v>9.5000000000000001E-2</v>
      </c>
      <c r="I24" s="33">
        <v>80000</v>
      </c>
      <c r="J24" s="31" t="s">
        <v>7864</v>
      </c>
      <c r="K24" s="31">
        <v>10</v>
      </c>
      <c r="L24" s="31" t="s">
        <v>2521</v>
      </c>
      <c r="M24" s="33">
        <v>773316970</v>
      </c>
      <c r="N24" s="33">
        <v>88772</v>
      </c>
      <c r="O24" s="31">
        <v>82</v>
      </c>
    </row>
    <row r="25" spans="1:15" ht="27" x14ac:dyDescent="0.3">
      <c r="A25" s="30">
        <v>43630</v>
      </c>
      <c r="B25" s="31">
        <v>1</v>
      </c>
      <c r="C25" s="32">
        <v>0</v>
      </c>
      <c r="D25" s="31">
        <v>1</v>
      </c>
      <c r="E25" s="32">
        <v>0</v>
      </c>
      <c r="F25" s="31">
        <v>226</v>
      </c>
      <c r="G25" s="32">
        <v>0</v>
      </c>
      <c r="H25" s="32">
        <v>0.26500000000000001</v>
      </c>
      <c r="I25" s="33">
        <v>300000</v>
      </c>
      <c r="J25" s="31" t="s">
        <v>7865</v>
      </c>
      <c r="K25" s="31">
        <v>60</v>
      </c>
      <c r="L25" s="31" t="s">
        <v>481</v>
      </c>
      <c r="M25" s="33">
        <v>773616970</v>
      </c>
      <c r="N25" s="33">
        <v>88832</v>
      </c>
      <c r="O25" s="31">
        <v>57</v>
      </c>
    </row>
    <row r="26" spans="1:15" x14ac:dyDescent="0.3">
      <c r="A26" s="30">
        <v>43631</v>
      </c>
      <c r="B26" s="31">
        <v>1</v>
      </c>
      <c r="C26" s="32">
        <v>0</v>
      </c>
      <c r="D26" s="31">
        <v>1</v>
      </c>
      <c r="E26" s="32">
        <v>0</v>
      </c>
      <c r="F26" s="31">
        <v>160</v>
      </c>
      <c r="G26" s="32">
        <v>0</v>
      </c>
      <c r="H26" s="32">
        <v>0.375</v>
      </c>
      <c r="I26" s="33">
        <v>300000</v>
      </c>
      <c r="J26" s="31" t="s">
        <v>292</v>
      </c>
      <c r="K26" s="31">
        <v>60</v>
      </c>
      <c r="L26" s="31" t="s">
        <v>292</v>
      </c>
      <c r="M26" s="33">
        <v>773916970</v>
      </c>
      <c r="N26" s="33">
        <v>88892</v>
      </c>
      <c r="O26" s="31">
        <v>49</v>
      </c>
    </row>
    <row r="27" spans="1:15" x14ac:dyDescent="0.3">
      <c r="A27" s="30">
        <v>43632</v>
      </c>
      <c r="B27" s="31">
        <v>1</v>
      </c>
      <c r="C27" s="32">
        <v>0</v>
      </c>
      <c r="D27" s="31">
        <v>1</v>
      </c>
      <c r="E27" s="32">
        <v>0</v>
      </c>
      <c r="F27" s="31">
        <v>160</v>
      </c>
      <c r="G27" s="32">
        <v>0</v>
      </c>
      <c r="H27" s="32">
        <v>0.375</v>
      </c>
      <c r="I27" s="33">
        <v>300000</v>
      </c>
      <c r="J27" s="31" t="s">
        <v>292</v>
      </c>
      <c r="K27" s="31">
        <v>60</v>
      </c>
      <c r="L27" s="31" t="s">
        <v>292</v>
      </c>
      <c r="M27" s="33">
        <v>774216970</v>
      </c>
      <c r="N27" s="33">
        <v>88952</v>
      </c>
      <c r="O27" s="31">
        <v>51</v>
      </c>
    </row>
    <row r="28" spans="1:15" x14ac:dyDescent="0.3">
      <c r="A28" s="30">
        <v>43633</v>
      </c>
      <c r="B28" s="31">
        <v>1</v>
      </c>
      <c r="C28" s="32">
        <v>0</v>
      </c>
      <c r="D28" s="31">
        <v>1</v>
      </c>
      <c r="E28" s="32">
        <v>0</v>
      </c>
      <c r="F28" s="31">
        <v>160</v>
      </c>
      <c r="G28" s="32">
        <v>0</v>
      </c>
      <c r="H28" s="32">
        <v>0.375</v>
      </c>
      <c r="I28" s="33">
        <v>300000</v>
      </c>
      <c r="J28" s="31" t="s">
        <v>292</v>
      </c>
      <c r="K28" s="31">
        <v>60</v>
      </c>
      <c r="L28" s="31" t="s">
        <v>292</v>
      </c>
      <c r="M28" s="33">
        <v>774516970</v>
      </c>
      <c r="N28" s="33">
        <v>89012</v>
      </c>
      <c r="O28" s="31">
        <v>46</v>
      </c>
    </row>
    <row r="29" spans="1:15" x14ac:dyDescent="0.3">
      <c r="A29" s="30">
        <v>43634</v>
      </c>
      <c r="B29" s="31">
        <v>1</v>
      </c>
      <c r="C29" s="32">
        <v>0</v>
      </c>
      <c r="D29" s="31">
        <v>1</v>
      </c>
      <c r="E29" s="32">
        <v>0</v>
      </c>
      <c r="F29" s="31">
        <v>160</v>
      </c>
      <c r="G29" s="32">
        <v>0</v>
      </c>
      <c r="H29" s="32">
        <v>0.375</v>
      </c>
      <c r="I29" s="33">
        <v>300000</v>
      </c>
      <c r="J29" s="31" t="s">
        <v>292</v>
      </c>
      <c r="K29" s="31">
        <v>60</v>
      </c>
      <c r="L29" s="31" t="s">
        <v>292</v>
      </c>
      <c r="M29" s="33">
        <v>774816970</v>
      </c>
      <c r="N29" s="33">
        <v>89072</v>
      </c>
      <c r="O29" s="31">
        <v>49</v>
      </c>
    </row>
    <row r="30" spans="1:15" x14ac:dyDescent="0.3">
      <c r="A30" s="30">
        <v>43635</v>
      </c>
      <c r="B30" s="31">
        <v>1</v>
      </c>
      <c r="C30" s="32">
        <v>0</v>
      </c>
      <c r="D30" s="31">
        <v>1</v>
      </c>
      <c r="E30" s="32">
        <v>0</v>
      </c>
      <c r="F30" s="31">
        <v>226</v>
      </c>
      <c r="G30" s="32">
        <v>0</v>
      </c>
      <c r="H30" s="32">
        <v>0.26500000000000001</v>
      </c>
      <c r="I30" s="33">
        <v>300000</v>
      </c>
      <c r="J30" s="31" t="s">
        <v>292</v>
      </c>
      <c r="K30" s="31">
        <v>60</v>
      </c>
      <c r="L30" s="31" t="s">
        <v>292</v>
      </c>
      <c r="M30" s="33">
        <v>775116970</v>
      </c>
      <c r="N30" s="33">
        <v>89132</v>
      </c>
      <c r="O30" s="31">
        <v>54</v>
      </c>
    </row>
    <row r="31" spans="1:15" x14ac:dyDescent="0.3">
      <c r="A31" s="30">
        <v>43636</v>
      </c>
      <c r="B31" s="31">
        <v>1</v>
      </c>
      <c r="C31" s="32">
        <v>0</v>
      </c>
      <c r="D31" s="31">
        <v>1</v>
      </c>
      <c r="E31" s="32">
        <v>0</v>
      </c>
      <c r="F31" s="31">
        <v>160</v>
      </c>
      <c r="G31" s="32">
        <v>0</v>
      </c>
      <c r="H31" s="32">
        <v>0.375</v>
      </c>
      <c r="I31" s="33">
        <v>300000</v>
      </c>
      <c r="J31" s="31" t="s">
        <v>292</v>
      </c>
      <c r="K31" s="31">
        <v>60</v>
      </c>
      <c r="L31" s="31" t="s">
        <v>292</v>
      </c>
      <c r="M31" s="33">
        <v>775416970</v>
      </c>
      <c r="N31" s="33">
        <v>89192</v>
      </c>
      <c r="O31" s="31">
        <v>55</v>
      </c>
    </row>
    <row r="32" spans="1:15" x14ac:dyDescent="0.3">
      <c r="A32" s="30">
        <v>43637</v>
      </c>
      <c r="B32" s="31">
        <v>1</v>
      </c>
      <c r="C32" s="32">
        <v>0</v>
      </c>
      <c r="D32" s="31">
        <v>1</v>
      </c>
      <c r="E32" s="32">
        <v>0</v>
      </c>
      <c r="F32" s="31">
        <v>160</v>
      </c>
      <c r="G32" s="32">
        <v>0</v>
      </c>
      <c r="H32" s="32">
        <v>0.375</v>
      </c>
      <c r="I32" s="33">
        <v>300000</v>
      </c>
      <c r="J32" s="31" t="s">
        <v>292</v>
      </c>
      <c r="K32" s="31">
        <v>60</v>
      </c>
      <c r="L32" s="31" t="s">
        <v>292</v>
      </c>
      <c r="M32" s="33">
        <v>775716970</v>
      </c>
      <c r="N32" s="33">
        <v>89252</v>
      </c>
      <c r="O32" s="31">
        <v>53</v>
      </c>
    </row>
    <row r="33" spans="1:15" x14ac:dyDescent="0.3">
      <c r="A33" s="30">
        <v>43638</v>
      </c>
      <c r="B33" s="31">
        <v>1</v>
      </c>
      <c r="C33" s="32">
        <v>0</v>
      </c>
      <c r="D33" s="31">
        <v>1</v>
      </c>
      <c r="E33" s="32">
        <v>0</v>
      </c>
      <c r="F33" s="31">
        <v>160</v>
      </c>
      <c r="G33" s="32">
        <v>0</v>
      </c>
      <c r="H33" s="32">
        <v>0.375</v>
      </c>
      <c r="I33" s="33">
        <v>300000</v>
      </c>
      <c r="J33" s="31" t="s">
        <v>292</v>
      </c>
      <c r="K33" s="31">
        <v>60</v>
      </c>
      <c r="L33" s="31" t="s">
        <v>292</v>
      </c>
      <c r="M33" s="33">
        <v>776016970</v>
      </c>
      <c r="N33" s="33">
        <v>89312</v>
      </c>
      <c r="O33" s="31">
        <v>57</v>
      </c>
    </row>
    <row r="34" spans="1:15" x14ac:dyDescent="0.3">
      <c r="A34" s="30">
        <v>43639</v>
      </c>
      <c r="B34" s="31">
        <v>1</v>
      </c>
      <c r="C34" s="32">
        <v>0</v>
      </c>
      <c r="D34" s="31">
        <v>1</v>
      </c>
      <c r="E34" s="32">
        <v>0</v>
      </c>
      <c r="F34" s="31">
        <v>160</v>
      </c>
      <c r="G34" s="32">
        <v>0</v>
      </c>
      <c r="H34" s="32">
        <v>0.375</v>
      </c>
      <c r="I34" s="33">
        <v>300000</v>
      </c>
      <c r="J34" s="31" t="s">
        <v>292</v>
      </c>
      <c r="K34" s="31">
        <v>60</v>
      </c>
      <c r="L34" s="31" t="s">
        <v>292</v>
      </c>
      <c r="M34" s="33">
        <v>776316970</v>
      </c>
      <c r="N34" s="33">
        <v>89372</v>
      </c>
      <c r="O34" s="31">
        <v>41</v>
      </c>
    </row>
    <row r="35" spans="1:15" x14ac:dyDescent="0.3">
      <c r="A35" s="30">
        <v>43640</v>
      </c>
      <c r="B35" s="31">
        <v>1</v>
      </c>
      <c r="C35" s="32">
        <v>0</v>
      </c>
      <c r="D35" s="31">
        <v>1</v>
      </c>
      <c r="E35" s="32">
        <v>0</v>
      </c>
      <c r="F35" s="31">
        <v>160</v>
      </c>
      <c r="G35" s="32">
        <v>0</v>
      </c>
      <c r="H35" s="32">
        <v>0.375</v>
      </c>
      <c r="I35" s="33">
        <v>300000</v>
      </c>
      <c r="J35" s="31" t="s">
        <v>292</v>
      </c>
      <c r="K35" s="31">
        <v>60</v>
      </c>
      <c r="L35" s="31" t="s">
        <v>292</v>
      </c>
      <c r="M35" s="33">
        <v>776616970</v>
      </c>
      <c r="N35" s="33">
        <v>89432</v>
      </c>
      <c r="O35" s="31">
        <v>45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B2A90-F5DE-45AD-9DD8-057F8E076D0B}">
  <dimension ref="A1:O47"/>
  <sheetViews>
    <sheetView workbookViewId="0">
      <selection activeCell="A5" sqref="A5:O10"/>
    </sheetView>
  </sheetViews>
  <sheetFormatPr defaultRowHeight="16.5" x14ac:dyDescent="0.3"/>
  <sheetData>
    <row r="1" spans="1:15" ht="19.5" x14ac:dyDescent="0.3">
      <c r="A1" s="197" t="s">
        <v>7866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41" t="s">
        <v>111</v>
      </c>
      <c r="B4" s="36" t="s">
        <v>112</v>
      </c>
      <c r="C4" s="36" t="s">
        <v>113</v>
      </c>
      <c r="D4" s="36" t="s">
        <v>114</v>
      </c>
      <c r="E4" s="36" t="s">
        <v>115</v>
      </c>
      <c r="F4" s="36" t="s">
        <v>116</v>
      </c>
      <c r="G4" s="36" t="s">
        <v>117</v>
      </c>
      <c r="H4" s="36" t="s">
        <v>118</v>
      </c>
      <c r="I4" s="36" t="s">
        <v>119</v>
      </c>
      <c r="J4" s="36" t="s">
        <v>120</v>
      </c>
      <c r="K4" s="36" t="s">
        <v>121</v>
      </c>
      <c r="L4" s="36" t="s">
        <v>122</v>
      </c>
      <c r="M4" s="36" t="s">
        <v>123</v>
      </c>
      <c r="N4" s="36" t="s">
        <v>124</v>
      </c>
      <c r="O4" s="42" t="s">
        <v>125</v>
      </c>
    </row>
    <row r="5" spans="1:15" ht="27" x14ac:dyDescent="0.3">
      <c r="A5" s="37">
        <v>43593</v>
      </c>
      <c r="B5" s="38">
        <v>207</v>
      </c>
      <c r="C5" s="39">
        <v>4.4999999999999998E-2</v>
      </c>
      <c r="D5" s="38">
        <v>787</v>
      </c>
      <c r="E5" s="39">
        <v>5.2999999999999999E-2</v>
      </c>
      <c r="F5" s="40">
        <v>109479</v>
      </c>
      <c r="G5" s="39">
        <v>4.8000000000000001E-2</v>
      </c>
      <c r="H5" s="39">
        <v>5.1999999999999998E-2</v>
      </c>
      <c r="I5" s="40">
        <v>43591500</v>
      </c>
      <c r="J5" s="38" t="s">
        <v>7867</v>
      </c>
      <c r="K5" s="40">
        <v>5723</v>
      </c>
      <c r="L5" s="38" t="s">
        <v>7868</v>
      </c>
      <c r="M5" s="40">
        <v>67409500</v>
      </c>
      <c r="N5" s="40">
        <v>9359</v>
      </c>
      <c r="O5" s="38">
        <v>3</v>
      </c>
    </row>
    <row r="6" spans="1:15" ht="27" x14ac:dyDescent="0.3">
      <c r="A6" s="37">
        <v>43594</v>
      </c>
      <c r="B6" s="38">
        <v>200</v>
      </c>
      <c r="C6" s="39">
        <v>3.9E-2</v>
      </c>
      <c r="D6" s="38">
        <v>635</v>
      </c>
      <c r="E6" s="39">
        <v>3.7999999999999999E-2</v>
      </c>
      <c r="F6" s="40">
        <v>92768</v>
      </c>
      <c r="G6" s="39">
        <v>3.6999999999999998E-2</v>
      </c>
      <c r="H6" s="39">
        <v>5.2999999999999999E-2</v>
      </c>
      <c r="I6" s="40">
        <v>37616100</v>
      </c>
      <c r="J6" s="38" t="s">
        <v>7869</v>
      </c>
      <c r="K6" s="40">
        <v>4897</v>
      </c>
      <c r="L6" s="38" t="s">
        <v>7870</v>
      </c>
      <c r="M6" s="40">
        <v>105025600</v>
      </c>
      <c r="N6" s="40">
        <v>14256</v>
      </c>
      <c r="O6" s="38">
        <v>6</v>
      </c>
    </row>
    <row r="7" spans="1:15" ht="27" x14ac:dyDescent="0.3">
      <c r="A7" s="37">
        <v>43595</v>
      </c>
      <c r="B7" s="38">
        <v>196</v>
      </c>
      <c r="C7" s="39">
        <v>3.7999999999999999E-2</v>
      </c>
      <c r="D7" s="38">
        <v>612</v>
      </c>
      <c r="E7" s="39">
        <v>3.5999999999999997E-2</v>
      </c>
      <c r="F7" s="40">
        <v>88510</v>
      </c>
      <c r="G7" s="39">
        <v>3.4000000000000002E-2</v>
      </c>
      <c r="H7" s="39">
        <v>0.06</v>
      </c>
      <c r="I7" s="40">
        <v>46252800</v>
      </c>
      <c r="J7" s="38" t="s">
        <v>7871</v>
      </c>
      <c r="K7" s="40">
        <v>5316</v>
      </c>
      <c r="L7" s="38" t="s">
        <v>7872</v>
      </c>
      <c r="M7" s="40">
        <v>151278400</v>
      </c>
      <c r="N7" s="40">
        <v>19572</v>
      </c>
      <c r="O7" s="38">
        <v>5</v>
      </c>
    </row>
    <row r="8" spans="1:15" ht="27" x14ac:dyDescent="0.3">
      <c r="A8" s="37">
        <v>43596</v>
      </c>
      <c r="B8" s="38">
        <v>169</v>
      </c>
      <c r="C8" s="39">
        <v>2.9000000000000001E-2</v>
      </c>
      <c r="D8" s="38">
        <v>477</v>
      </c>
      <c r="E8" s="39">
        <v>2.5999999999999999E-2</v>
      </c>
      <c r="F8" s="40">
        <v>62289</v>
      </c>
      <c r="G8" s="39">
        <v>2.3E-2</v>
      </c>
      <c r="H8" s="39">
        <v>0.14699999999999999</v>
      </c>
      <c r="I8" s="40">
        <v>81171900</v>
      </c>
      <c r="J8" s="38" t="s">
        <v>7873</v>
      </c>
      <c r="K8" s="40">
        <v>9178</v>
      </c>
      <c r="L8" s="38" t="s">
        <v>7874</v>
      </c>
      <c r="M8" s="40">
        <v>232450300</v>
      </c>
      <c r="N8" s="40">
        <v>28750</v>
      </c>
      <c r="O8" s="38">
        <v>6</v>
      </c>
    </row>
    <row r="9" spans="1:15" ht="27" x14ac:dyDescent="0.3">
      <c r="A9" s="37">
        <v>43597</v>
      </c>
      <c r="B9" s="38">
        <v>166</v>
      </c>
      <c r="C9" s="39">
        <v>2.9000000000000001E-2</v>
      </c>
      <c r="D9" s="38">
        <v>444</v>
      </c>
      <c r="E9" s="39">
        <v>2.5000000000000001E-2</v>
      </c>
      <c r="F9" s="40">
        <v>59146</v>
      </c>
      <c r="G9" s="39">
        <v>2.1999999999999999E-2</v>
      </c>
      <c r="H9" s="39">
        <v>0.14000000000000001</v>
      </c>
      <c r="I9" s="40">
        <v>72555300</v>
      </c>
      <c r="J9" s="38" t="s">
        <v>7875</v>
      </c>
      <c r="K9" s="40">
        <v>8279</v>
      </c>
      <c r="L9" s="38" t="s">
        <v>7876</v>
      </c>
      <c r="M9" s="40">
        <v>305005600</v>
      </c>
      <c r="N9" s="40">
        <v>37029</v>
      </c>
      <c r="O9" s="38">
        <v>6</v>
      </c>
    </row>
    <row r="10" spans="1:15" ht="27" x14ac:dyDescent="0.3">
      <c r="A10" s="37">
        <v>43598</v>
      </c>
      <c r="B10" s="38">
        <v>194</v>
      </c>
      <c r="C10" s="39">
        <v>0.04</v>
      </c>
      <c r="D10" s="38">
        <v>483</v>
      </c>
      <c r="E10" s="39">
        <v>0.03</v>
      </c>
      <c r="F10" s="40">
        <v>68805</v>
      </c>
      <c r="G10" s="39">
        <v>2.8000000000000001E-2</v>
      </c>
      <c r="H10" s="39">
        <v>6.3E-2</v>
      </c>
      <c r="I10" s="40">
        <v>33758500</v>
      </c>
      <c r="J10" s="38" t="s">
        <v>7877</v>
      </c>
      <c r="K10" s="40">
        <v>4318</v>
      </c>
      <c r="L10" s="38" t="s">
        <v>7878</v>
      </c>
      <c r="M10" s="40">
        <v>338764100</v>
      </c>
      <c r="N10" s="40">
        <v>41347</v>
      </c>
      <c r="O10" s="38">
        <v>5</v>
      </c>
    </row>
    <row r="11" spans="1:15" ht="27" x14ac:dyDescent="0.3">
      <c r="A11" s="37">
        <v>43599</v>
      </c>
      <c r="B11" s="38">
        <v>201</v>
      </c>
      <c r="C11" s="39">
        <v>0.04</v>
      </c>
      <c r="D11" s="38">
        <v>503</v>
      </c>
      <c r="E11" s="39">
        <v>3.1E-2</v>
      </c>
      <c r="F11" s="40">
        <v>70599</v>
      </c>
      <c r="G11" s="39">
        <v>2.9000000000000001E-2</v>
      </c>
      <c r="H11" s="39">
        <v>0.06</v>
      </c>
      <c r="I11" s="40">
        <v>33391300</v>
      </c>
      <c r="J11" s="38" t="s">
        <v>7879</v>
      </c>
      <c r="K11" s="40">
        <v>4244</v>
      </c>
      <c r="L11" s="38" t="s">
        <v>7880</v>
      </c>
      <c r="M11" s="40">
        <v>372155400</v>
      </c>
      <c r="N11" s="40">
        <v>45591</v>
      </c>
      <c r="O11" s="38">
        <v>5</v>
      </c>
    </row>
    <row r="12" spans="1:15" ht="27" x14ac:dyDescent="0.3">
      <c r="A12" s="37">
        <v>43600</v>
      </c>
      <c r="B12" s="38">
        <v>147</v>
      </c>
      <c r="C12" s="39">
        <v>2.8000000000000001E-2</v>
      </c>
      <c r="D12" s="38">
        <v>251</v>
      </c>
      <c r="E12" s="39">
        <v>1.4E-2</v>
      </c>
      <c r="F12" s="40">
        <v>36980</v>
      </c>
      <c r="G12" s="39">
        <v>1.4E-2</v>
      </c>
      <c r="H12" s="39">
        <v>5.8000000000000003E-2</v>
      </c>
      <c r="I12" s="40">
        <v>15765700</v>
      </c>
      <c r="J12" s="38" t="s">
        <v>7881</v>
      </c>
      <c r="K12" s="40">
        <v>2130</v>
      </c>
      <c r="L12" s="38" t="s">
        <v>7882</v>
      </c>
      <c r="M12" s="40">
        <v>387921100</v>
      </c>
      <c r="N12" s="40">
        <v>47721</v>
      </c>
      <c r="O12" s="38">
        <v>7</v>
      </c>
    </row>
    <row r="13" spans="1:15" ht="27" x14ac:dyDescent="0.3">
      <c r="A13" s="37">
        <v>43601</v>
      </c>
      <c r="B13" s="38">
        <v>134</v>
      </c>
      <c r="C13" s="39">
        <v>2.4E-2</v>
      </c>
      <c r="D13" s="38">
        <v>233</v>
      </c>
      <c r="E13" s="39">
        <v>1.2999999999999999E-2</v>
      </c>
      <c r="F13" s="40">
        <v>33226</v>
      </c>
      <c r="G13" s="39">
        <v>1.2E-2</v>
      </c>
      <c r="H13" s="39">
        <v>5.1999999999999998E-2</v>
      </c>
      <c r="I13" s="40">
        <v>13354100</v>
      </c>
      <c r="J13" s="38" t="s">
        <v>7883</v>
      </c>
      <c r="K13" s="40">
        <v>1717</v>
      </c>
      <c r="L13" s="38" t="s">
        <v>7884</v>
      </c>
      <c r="M13" s="40">
        <v>401275200</v>
      </c>
      <c r="N13" s="40">
        <v>49438</v>
      </c>
      <c r="O13" s="38">
        <v>10</v>
      </c>
    </row>
    <row r="14" spans="1:15" ht="27" x14ac:dyDescent="0.3">
      <c r="A14" s="37">
        <v>43602</v>
      </c>
      <c r="B14" s="38">
        <v>144</v>
      </c>
      <c r="C14" s="39">
        <v>2.5000000000000001E-2</v>
      </c>
      <c r="D14" s="38">
        <v>247</v>
      </c>
      <c r="E14" s="39">
        <v>1.4E-2</v>
      </c>
      <c r="F14" s="40">
        <v>33684</v>
      </c>
      <c r="G14" s="39">
        <v>1.2E-2</v>
      </c>
      <c r="H14" s="39">
        <v>7.3999999999999996E-2</v>
      </c>
      <c r="I14" s="40">
        <v>21522000</v>
      </c>
      <c r="J14" s="38" t="s">
        <v>7885</v>
      </c>
      <c r="K14" s="40">
        <v>2499</v>
      </c>
      <c r="L14" s="38" t="s">
        <v>7886</v>
      </c>
      <c r="M14" s="40">
        <v>422797200</v>
      </c>
      <c r="N14" s="40">
        <v>51937</v>
      </c>
      <c r="O14" s="38">
        <v>9</v>
      </c>
    </row>
    <row r="15" spans="1:15" ht="27" x14ac:dyDescent="0.3">
      <c r="A15" s="37">
        <v>43603</v>
      </c>
      <c r="B15" s="38">
        <v>143</v>
      </c>
      <c r="C15" s="39">
        <v>2.1999999999999999E-2</v>
      </c>
      <c r="D15" s="38">
        <v>224</v>
      </c>
      <c r="E15" s="39">
        <v>1.2E-2</v>
      </c>
      <c r="F15" s="40">
        <v>29661</v>
      </c>
      <c r="G15" s="39">
        <v>0.01</v>
      </c>
      <c r="H15" s="39">
        <v>0.156</v>
      </c>
      <c r="I15" s="40">
        <v>40647700</v>
      </c>
      <c r="J15" s="38" t="s">
        <v>7887</v>
      </c>
      <c r="K15" s="40">
        <v>4616</v>
      </c>
      <c r="L15" s="38" t="s">
        <v>7888</v>
      </c>
      <c r="M15" s="40">
        <v>463444900</v>
      </c>
      <c r="N15" s="40">
        <v>56553</v>
      </c>
      <c r="O15" s="38">
        <v>10</v>
      </c>
    </row>
    <row r="16" spans="1:15" ht="27" x14ac:dyDescent="0.3">
      <c r="A16" s="37">
        <v>43604</v>
      </c>
      <c r="B16" s="38">
        <v>139</v>
      </c>
      <c r="C16" s="39">
        <v>2.1999999999999999E-2</v>
      </c>
      <c r="D16" s="38">
        <v>223</v>
      </c>
      <c r="E16" s="39">
        <v>1.2E-2</v>
      </c>
      <c r="F16" s="40">
        <v>29679</v>
      </c>
      <c r="G16" s="39">
        <v>0.01</v>
      </c>
      <c r="H16" s="39">
        <v>0.155</v>
      </c>
      <c r="I16" s="40">
        <v>40813500</v>
      </c>
      <c r="J16" s="38" t="s">
        <v>7889</v>
      </c>
      <c r="K16" s="40">
        <v>4610</v>
      </c>
      <c r="L16" s="38" t="s">
        <v>7890</v>
      </c>
      <c r="M16" s="40">
        <v>504258400</v>
      </c>
      <c r="N16" s="40">
        <v>61163</v>
      </c>
      <c r="O16" s="38">
        <v>9</v>
      </c>
    </row>
    <row r="17" spans="1:15" ht="27" x14ac:dyDescent="0.3">
      <c r="A17" s="37">
        <v>43605</v>
      </c>
      <c r="B17" s="38">
        <v>128</v>
      </c>
      <c r="C17" s="39">
        <v>2.3E-2</v>
      </c>
      <c r="D17" s="38">
        <v>237</v>
      </c>
      <c r="E17" s="39">
        <v>1.4E-2</v>
      </c>
      <c r="F17" s="40">
        <v>34897</v>
      </c>
      <c r="G17" s="39">
        <v>1.2999999999999999E-2</v>
      </c>
      <c r="H17" s="39">
        <v>5.0999999999999997E-2</v>
      </c>
      <c r="I17" s="40">
        <v>13736300</v>
      </c>
      <c r="J17" s="38" t="s">
        <v>7891</v>
      </c>
      <c r="K17" s="40">
        <v>1782</v>
      </c>
      <c r="L17" s="38" t="s">
        <v>7892</v>
      </c>
      <c r="M17" s="40">
        <v>517994700</v>
      </c>
      <c r="N17" s="40">
        <v>62945</v>
      </c>
      <c r="O17" s="38">
        <v>10</v>
      </c>
    </row>
    <row r="18" spans="1:15" ht="27" x14ac:dyDescent="0.3">
      <c r="A18" s="37">
        <v>43606</v>
      </c>
      <c r="B18" s="38">
        <v>134</v>
      </c>
      <c r="C18" s="39">
        <v>2.4E-2</v>
      </c>
      <c r="D18" s="38">
        <v>241</v>
      </c>
      <c r="E18" s="39">
        <v>1.4E-2</v>
      </c>
      <c r="F18" s="40">
        <v>36502</v>
      </c>
      <c r="G18" s="39">
        <v>1.2999999999999999E-2</v>
      </c>
      <c r="H18" s="39">
        <v>8.3000000000000004E-2</v>
      </c>
      <c r="I18" s="40">
        <v>22340400</v>
      </c>
      <c r="J18" s="38" t="s">
        <v>7893</v>
      </c>
      <c r="K18" s="40">
        <v>3030</v>
      </c>
      <c r="L18" s="38" t="s">
        <v>7894</v>
      </c>
      <c r="M18" s="40">
        <v>540335100</v>
      </c>
      <c r="N18" s="40">
        <v>65975</v>
      </c>
      <c r="O18" s="38">
        <v>8</v>
      </c>
    </row>
    <row r="19" spans="1:15" ht="27" x14ac:dyDescent="0.3">
      <c r="A19" s="37">
        <v>43607</v>
      </c>
      <c r="B19" s="38">
        <v>70</v>
      </c>
      <c r="C19" s="39">
        <v>1.4E-2</v>
      </c>
      <c r="D19" s="38">
        <v>129</v>
      </c>
      <c r="E19" s="39">
        <v>7.0000000000000001E-3</v>
      </c>
      <c r="F19" s="40">
        <v>19248</v>
      </c>
      <c r="G19" s="39">
        <v>7.0000000000000001E-3</v>
      </c>
      <c r="H19" s="39">
        <v>6.3E-2</v>
      </c>
      <c r="I19" s="40">
        <v>9150900</v>
      </c>
      <c r="J19" s="38" t="s">
        <v>7895</v>
      </c>
      <c r="K19" s="40">
        <v>1205</v>
      </c>
      <c r="L19" s="38" t="s">
        <v>7896</v>
      </c>
      <c r="M19" s="40">
        <v>549486000</v>
      </c>
      <c r="N19" s="40">
        <v>67180</v>
      </c>
      <c r="O19" s="38">
        <v>12</v>
      </c>
    </row>
    <row r="20" spans="1:15" ht="27" x14ac:dyDescent="0.3">
      <c r="A20" s="37">
        <v>43608</v>
      </c>
      <c r="B20" s="38">
        <v>43</v>
      </c>
      <c r="C20" s="39">
        <v>7.0000000000000001E-3</v>
      </c>
      <c r="D20" s="38">
        <v>55</v>
      </c>
      <c r="E20" s="39">
        <v>3.0000000000000001E-3</v>
      </c>
      <c r="F20" s="40">
        <v>8890</v>
      </c>
      <c r="G20" s="39">
        <v>3.0000000000000001E-3</v>
      </c>
      <c r="H20" s="39">
        <v>6.0999999999999999E-2</v>
      </c>
      <c r="I20" s="40">
        <v>4108300</v>
      </c>
      <c r="J20" s="38" t="s">
        <v>7897</v>
      </c>
      <c r="K20" s="38">
        <v>542</v>
      </c>
      <c r="L20" s="38" t="s">
        <v>7898</v>
      </c>
      <c r="M20" s="40">
        <v>553594300</v>
      </c>
      <c r="N20" s="40">
        <v>67722</v>
      </c>
      <c r="O20" s="38">
        <v>18</v>
      </c>
    </row>
    <row r="21" spans="1:15" ht="27" x14ac:dyDescent="0.3">
      <c r="A21" s="37">
        <v>43609</v>
      </c>
      <c r="B21" s="38">
        <v>47</v>
      </c>
      <c r="C21" s="39">
        <v>8.0000000000000002E-3</v>
      </c>
      <c r="D21" s="38">
        <v>63</v>
      </c>
      <c r="E21" s="39">
        <v>3.0000000000000001E-3</v>
      </c>
      <c r="F21" s="40">
        <v>9602</v>
      </c>
      <c r="G21" s="39">
        <v>3.0000000000000001E-3</v>
      </c>
      <c r="H21" s="39">
        <v>7.0999999999999994E-2</v>
      </c>
      <c r="I21" s="40">
        <v>5940900</v>
      </c>
      <c r="J21" s="38" t="s">
        <v>7899</v>
      </c>
      <c r="K21" s="38">
        <v>677</v>
      </c>
      <c r="L21" s="38" t="s">
        <v>7900</v>
      </c>
      <c r="M21" s="40">
        <v>559535200</v>
      </c>
      <c r="N21" s="40">
        <v>68399</v>
      </c>
      <c r="O21" s="38">
        <v>16</v>
      </c>
    </row>
    <row r="22" spans="1:15" ht="27" x14ac:dyDescent="0.3">
      <c r="A22" s="37">
        <v>43610</v>
      </c>
      <c r="B22" s="38">
        <v>42</v>
      </c>
      <c r="C22" s="39">
        <v>6.0000000000000001E-3</v>
      </c>
      <c r="D22" s="38">
        <v>51</v>
      </c>
      <c r="E22" s="39">
        <v>3.0000000000000001E-3</v>
      </c>
      <c r="F22" s="40">
        <v>7015</v>
      </c>
      <c r="G22" s="39">
        <v>2E-3</v>
      </c>
      <c r="H22" s="39">
        <v>0.154</v>
      </c>
      <c r="I22" s="40">
        <v>9534100</v>
      </c>
      <c r="J22" s="38" t="s">
        <v>7901</v>
      </c>
      <c r="K22" s="40">
        <v>1083</v>
      </c>
      <c r="L22" s="38" t="s">
        <v>7902</v>
      </c>
      <c r="M22" s="40">
        <v>569069300</v>
      </c>
      <c r="N22" s="40">
        <v>69482</v>
      </c>
      <c r="O22" s="38">
        <v>19</v>
      </c>
    </row>
    <row r="23" spans="1:15" ht="27" x14ac:dyDescent="0.3">
      <c r="A23" s="37">
        <v>43611</v>
      </c>
      <c r="B23" s="38">
        <v>38</v>
      </c>
      <c r="C23" s="39">
        <v>6.0000000000000001E-3</v>
      </c>
      <c r="D23" s="38">
        <v>50</v>
      </c>
      <c r="E23" s="39">
        <v>3.0000000000000001E-3</v>
      </c>
      <c r="F23" s="40">
        <v>7153</v>
      </c>
      <c r="G23" s="39">
        <v>2E-3</v>
      </c>
      <c r="H23" s="39">
        <v>0.124</v>
      </c>
      <c r="I23" s="40">
        <v>7922800</v>
      </c>
      <c r="J23" s="38" t="s">
        <v>7903</v>
      </c>
      <c r="K23" s="38">
        <v>887</v>
      </c>
      <c r="L23" s="38" t="s">
        <v>7904</v>
      </c>
      <c r="M23" s="40">
        <v>576992100</v>
      </c>
      <c r="N23" s="40">
        <v>70369</v>
      </c>
      <c r="O23" s="38">
        <v>19</v>
      </c>
    </row>
    <row r="24" spans="1:15" ht="27" x14ac:dyDescent="0.3">
      <c r="A24" s="37">
        <v>43612</v>
      </c>
      <c r="B24" s="38">
        <v>56</v>
      </c>
      <c r="C24" s="39">
        <v>0.01</v>
      </c>
      <c r="D24" s="38">
        <v>68</v>
      </c>
      <c r="E24" s="39">
        <v>4.0000000000000001E-3</v>
      </c>
      <c r="F24" s="40">
        <v>10208</v>
      </c>
      <c r="G24" s="39">
        <v>4.0000000000000001E-3</v>
      </c>
      <c r="H24" s="39">
        <v>6.2E-2</v>
      </c>
      <c r="I24" s="40">
        <v>4784000</v>
      </c>
      <c r="J24" s="38" t="s">
        <v>7905</v>
      </c>
      <c r="K24" s="38">
        <v>630</v>
      </c>
      <c r="L24" s="38" t="s">
        <v>7906</v>
      </c>
      <c r="M24" s="40">
        <v>581776100</v>
      </c>
      <c r="N24" s="40">
        <v>70999</v>
      </c>
      <c r="O24" s="38">
        <v>14</v>
      </c>
    </row>
    <row r="25" spans="1:15" ht="27" x14ac:dyDescent="0.3">
      <c r="A25" s="37">
        <v>43613</v>
      </c>
      <c r="B25" s="38">
        <v>53</v>
      </c>
      <c r="C25" s="39">
        <v>8.9999999999999993E-3</v>
      </c>
      <c r="D25" s="38">
        <v>65</v>
      </c>
      <c r="E25" s="39">
        <v>4.0000000000000001E-3</v>
      </c>
      <c r="F25" s="40">
        <v>10091</v>
      </c>
      <c r="G25" s="39">
        <v>4.0000000000000001E-3</v>
      </c>
      <c r="H25" s="39">
        <v>5.5E-2</v>
      </c>
      <c r="I25" s="40">
        <v>4273500</v>
      </c>
      <c r="J25" s="38" t="s">
        <v>7907</v>
      </c>
      <c r="K25" s="38">
        <v>557</v>
      </c>
      <c r="L25" s="38" t="s">
        <v>7908</v>
      </c>
      <c r="M25" s="40">
        <v>586049600</v>
      </c>
      <c r="N25" s="40">
        <v>71556</v>
      </c>
      <c r="O25" s="38">
        <v>17</v>
      </c>
    </row>
    <row r="26" spans="1:15" ht="27" x14ac:dyDescent="0.3">
      <c r="A26" s="37">
        <v>43614</v>
      </c>
      <c r="B26" s="38">
        <v>22</v>
      </c>
      <c r="C26" s="39">
        <v>4.0000000000000001E-3</v>
      </c>
      <c r="D26" s="38">
        <v>28</v>
      </c>
      <c r="E26" s="39">
        <v>2E-3</v>
      </c>
      <c r="F26" s="40">
        <v>4089</v>
      </c>
      <c r="G26" s="39">
        <v>1E-3</v>
      </c>
      <c r="H26" s="39">
        <v>0.10100000000000001</v>
      </c>
      <c r="I26" s="40">
        <v>2922100</v>
      </c>
      <c r="J26" s="38" t="s">
        <v>7909</v>
      </c>
      <c r="K26" s="38">
        <v>415</v>
      </c>
      <c r="L26" s="38" t="s">
        <v>7910</v>
      </c>
      <c r="M26" s="40">
        <v>588971700</v>
      </c>
      <c r="N26" s="40">
        <v>71971</v>
      </c>
      <c r="O26" s="38">
        <v>20</v>
      </c>
    </row>
    <row r="27" spans="1:15" ht="27" x14ac:dyDescent="0.3">
      <c r="A27" s="37">
        <v>43615</v>
      </c>
      <c r="B27" s="38">
        <v>25</v>
      </c>
      <c r="C27" s="39">
        <v>4.0000000000000001E-3</v>
      </c>
      <c r="D27" s="38">
        <v>26</v>
      </c>
      <c r="E27" s="39">
        <v>1E-3</v>
      </c>
      <c r="F27" s="40">
        <v>4067</v>
      </c>
      <c r="G27" s="39">
        <v>1E-3</v>
      </c>
      <c r="H27" s="39">
        <v>6.3E-2</v>
      </c>
      <c r="I27" s="40">
        <v>2121500</v>
      </c>
      <c r="J27" s="38" t="s">
        <v>7911</v>
      </c>
      <c r="K27" s="38">
        <v>257</v>
      </c>
      <c r="L27" s="38" t="s">
        <v>7912</v>
      </c>
      <c r="M27" s="40">
        <v>591093200</v>
      </c>
      <c r="N27" s="40">
        <v>72228</v>
      </c>
      <c r="O27" s="38">
        <v>27</v>
      </c>
    </row>
    <row r="28" spans="1:15" ht="27" x14ac:dyDescent="0.3">
      <c r="A28" s="37">
        <v>43616</v>
      </c>
      <c r="B28" s="38">
        <v>27</v>
      </c>
      <c r="C28" s="39">
        <v>5.0000000000000001E-3</v>
      </c>
      <c r="D28" s="38">
        <v>28</v>
      </c>
      <c r="E28" s="39">
        <v>2E-3</v>
      </c>
      <c r="F28" s="40">
        <v>4467</v>
      </c>
      <c r="G28" s="39">
        <v>2E-3</v>
      </c>
      <c r="H28" s="39">
        <v>6.2E-2</v>
      </c>
      <c r="I28" s="40">
        <v>2418400</v>
      </c>
      <c r="J28" s="38" t="s">
        <v>7913</v>
      </c>
      <c r="K28" s="38">
        <v>276</v>
      </c>
      <c r="L28" s="38" t="s">
        <v>7914</v>
      </c>
      <c r="M28" s="40">
        <v>593511600</v>
      </c>
      <c r="N28" s="40">
        <v>72504</v>
      </c>
      <c r="O28" s="38">
        <v>22</v>
      </c>
    </row>
    <row r="29" spans="1:15" ht="27" x14ac:dyDescent="0.3">
      <c r="A29" s="37">
        <v>43617</v>
      </c>
      <c r="B29" s="38">
        <v>24</v>
      </c>
      <c r="C29" s="39">
        <v>4.0000000000000001E-3</v>
      </c>
      <c r="D29" s="38">
        <v>25</v>
      </c>
      <c r="E29" s="39">
        <v>1E-3</v>
      </c>
      <c r="F29" s="40">
        <v>3641</v>
      </c>
      <c r="G29" s="39">
        <v>1E-3</v>
      </c>
      <c r="H29" s="39">
        <v>9.1999999999999998E-2</v>
      </c>
      <c r="I29" s="40">
        <v>2939800</v>
      </c>
      <c r="J29" s="38" t="s">
        <v>7915</v>
      </c>
      <c r="K29" s="38">
        <v>335</v>
      </c>
      <c r="L29" s="38" t="s">
        <v>7916</v>
      </c>
      <c r="M29" s="40">
        <v>596451400</v>
      </c>
      <c r="N29" s="40">
        <v>72839</v>
      </c>
      <c r="O29" s="38">
        <v>24</v>
      </c>
    </row>
    <row r="30" spans="1:15" ht="27" x14ac:dyDescent="0.3">
      <c r="A30" s="37">
        <v>43618</v>
      </c>
      <c r="B30" s="38">
        <v>11</v>
      </c>
      <c r="C30" s="39">
        <v>2E-3</v>
      </c>
      <c r="D30" s="38">
        <v>11</v>
      </c>
      <c r="E30" s="39">
        <v>1E-3</v>
      </c>
      <c r="F30" s="40">
        <v>1481</v>
      </c>
      <c r="G30" s="39">
        <v>1E-3</v>
      </c>
      <c r="H30" s="39">
        <v>7.8E-2</v>
      </c>
      <c r="I30" s="40">
        <v>1062300</v>
      </c>
      <c r="J30" s="38" t="s">
        <v>7917</v>
      </c>
      <c r="K30" s="38">
        <v>116</v>
      </c>
      <c r="L30" s="38" t="s">
        <v>7918</v>
      </c>
      <c r="M30" s="40">
        <v>597513700</v>
      </c>
      <c r="N30" s="40">
        <v>72955</v>
      </c>
      <c r="O30" s="38">
        <v>35</v>
      </c>
    </row>
    <row r="31" spans="1:15" ht="27" x14ac:dyDescent="0.3">
      <c r="A31" s="37">
        <v>43619</v>
      </c>
      <c r="B31" s="38">
        <v>9</v>
      </c>
      <c r="C31" s="39">
        <v>2E-3</v>
      </c>
      <c r="D31" s="38">
        <v>9</v>
      </c>
      <c r="E31" s="39">
        <v>1E-3</v>
      </c>
      <c r="F31" s="40">
        <v>1213</v>
      </c>
      <c r="G31" s="39">
        <v>0</v>
      </c>
      <c r="H31" s="39">
        <v>5.8999999999999997E-2</v>
      </c>
      <c r="I31" s="40">
        <v>595600</v>
      </c>
      <c r="J31" s="38" t="s">
        <v>7919</v>
      </c>
      <c r="K31" s="38">
        <v>72</v>
      </c>
      <c r="L31" s="38" t="s">
        <v>7920</v>
      </c>
      <c r="M31" s="40">
        <v>598109300</v>
      </c>
      <c r="N31" s="40">
        <v>73027</v>
      </c>
      <c r="O31" s="38">
        <v>44</v>
      </c>
    </row>
    <row r="32" spans="1:15" ht="27" x14ac:dyDescent="0.3">
      <c r="A32" s="37">
        <v>43620</v>
      </c>
      <c r="B32" s="38">
        <v>9</v>
      </c>
      <c r="C32" s="39">
        <v>2E-3</v>
      </c>
      <c r="D32" s="38">
        <v>9</v>
      </c>
      <c r="E32" s="39">
        <v>1E-3</v>
      </c>
      <c r="F32" s="40">
        <v>1214</v>
      </c>
      <c r="G32" s="39">
        <v>0</v>
      </c>
      <c r="H32" s="39">
        <v>5.5E-2</v>
      </c>
      <c r="I32" s="40">
        <v>491300</v>
      </c>
      <c r="J32" s="38" t="s">
        <v>7921</v>
      </c>
      <c r="K32" s="38">
        <v>67</v>
      </c>
      <c r="L32" s="38" t="s">
        <v>7922</v>
      </c>
      <c r="M32" s="40">
        <v>598600600</v>
      </c>
      <c r="N32" s="40">
        <v>73094</v>
      </c>
      <c r="O32" s="38">
        <v>46</v>
      </c>
    </row>
    <row r="33" spans="1:15" ht="27" x14ac:dyDescent="0.3">
      <c r="A33" s="37">
        <v>43621</v>
      </c>
      <c r="B33" s="38">
        <v>25</v>
      </c>
      <c r="C33" s="39">
        <v>4.0000000000000001E-3</v>
      </c>
      <c r="D33" s="38">
        <v>25</v>
      </c>
      <c r="E33" s="39">
        <v>1E-3</v>
      </c>
      <c r="F33" s="40">
        <v>4031</v>
      </c>
      <c r="G33" s="39">
        <v>1E-3</v>
      </c>
      <c r="H33" s="39">
        <v>8.6999999999999994E-2</v>
      </c>
      <c r="I33" s="40">
        <v>2956500</v>
      </c>
      <c r="J33" s="38" t="s">
        <v>7923</v>
      </c>
      <c r="K33" s="38">
        <v>352</v>
      </c>
      <c r="L33" s="38" t="s">
        <v>7924</v>
      </c>
      <c r="M33" s="40">
        <v>601557100</v>
      </c>
      <c r="N33" s="40">
        <v>73446</v>
      </c>
      <c r="O33" s="38">
        <v>23</v>
      </c>
    </row>
    <row r="34" spans="1:15" ht="27" x14ac:dyDescent="0.3">
      <c r="A34" s="37">
        <v>43622</v>
      </c>
      <c r="B34" s="38">
        <v>25</v>
      </c>
      <c r="C34" s="39">
        <v>4.0000000000000001E-3</v>
      </c>
      <c r="D34" s="38">
        <v>26</v>
      </c>
      <c r="E34" s="39">
        <v>1E-3</v>
      </c>
      <c r="F34" s="40">
        <v>4484</v>
      </c>
      <c r="G34" s="39">
        <v>1E-3</v>
      </c>
      <c r="H34" s="39">
        <v>5.3999999999999999E-2</v>
      </c>
      <c r="I34" s="40">
        <v>2128000</v>
      </c>
      <c r="J34" s="38" t="s">
        <v>7925</v>
      </c>
      <c r="K34" s="38">
        <v>243</v>
      </c>
      <c r="L34" s="38" t="s">
        <v>7926</v>
      </c>
      <c r="M34" s="40">
        <v>603685100</v>
      </c>
      <c r="N34" s="40">
        <v>73689</v>
      </c>
      <c r="O34" s="38">
        <v>25</v>
      </c>
    </row>
    <row r="35" spans="1:15" ht="27" x14ac:dyDescent="0.3">
      <c r="A35" s="37">
        <v>43623</v>
      </c>
      <c r="B35" s="38">
        <v>22</v>
      </c>
      <c r="C35" s="39">
        <v>4.0000000000000001E-3</v>
      </c>
      <c r="D35" s="38">
        <v>23</v>
      </c>
      <c r="E35" s="39">
        <v>1E-3</v>
      </c>
      <c r="F35" s="40">
        <v>4196</v>
      </c>
      <c r="G35" s="39">
        <v>1E-3</v>
      </c>
      <c r="H35" s="39">
        <v>4.5999999999999999E-2</v>
      </c>
      <c r="I35" s="40">
        <v>1715000</v>
      </c>
      <c r="J35" s="38" t="s">
        <v>7927</v>
      </c>
      <c r="K35" s="38">
        <v>195</v>
      </c>
      <c r="L35" s="38" t="s">
        <v>7928</v>
      </c>
      <c r="M35" s="40">
        <v>605400100</v>
      </c>
      <c r="N35" s="40">
        <v>73884</v>
      </c>
      <c r="O35" s="38">
        <v>26</v>
      </c>
    </row>
    <row r="36" spans="1:15" ht="27" x14ac:dyDescent="0.3">
      <c r="A36" s="37">
        <v>43624</v>
      </c>
      <c r="B36" s="38">
        <v>1</v>
      </c>
      <c r="C36" s="39">
        <v>0</v>
      </c>
      <c r="D36" s="38">
        <v>2</v>
      </c>
      <c r="E36" s="39">
        <v>0</v>
      </c>
      <c r="F36" s="38">
        <v>300</v>
      </c>
      <c r="G36" s="39">
        <v>0</v>
      </c>
      <c r="H36" s="39">
        <v>4.2999999999999997E-2</v>
      </c>
      <c r="I36" s="40">
        <v>98000</v>
      </c>
      <c r="J36" s="38" t="s">
        <v>7929</v>
      </c>
      <c r="K36" s="38">
        <v>13</v>
      </c>
      <c r="L36" s="38" t="s">
        <v>7930</v>
      </c>
      <c r="M36" s="40">
        <v>605498100</v>
      </c>
      <c r="N36" s="40">
        <v>73897</v>
      </c>
      <c r="O36" s="38">
        <v>77</v>
      </c>
    </row>
    <row r="37" spans="1:15" ht="27" x14ac:dyDescent="0.3">
      <c r="A37" s="37">
        <v>43625</v>
      </c>
      <c r="B37" s="38">
        <v>4</v>
      </c>
      <c r="C37" s="39">
        <v>1E-3</v>
      </c>
      <c r="D37" s="38">
        <v>4</v>
      </c>
      <c r="E37" s="39">
        <v>0</v>
      </c>
      <c r="F37" s="38">
        <v>559</v>
      </c>
      <c r="G37" s="39">
        <v>0</v>
      </c>
      <c r="H37" s="39">
        <v>7.0000000000000007E-2</v>
      </c>
      <c r="I37" s="40">
        <v>317000</v>
      </c>
      <c r="J37" s="38" t="s">
        <v>7931</v>
      </c>
      <c r="K37" s="38">
        <v>39</v>
      </c>
      <c r="L37" s="38" t="s">
        <v>7932</v>
      </c>
      <c r="M37" s="40">
        <v>605815100</v>
      </c>
      <c r="N37" s="40">
        <v>73936</v>
      </c>
      <c r="O37" s="38">
        <v>57</v>
      </c>
    </row>
    <row r="38" spans="1:15" ht="27" x14ac:dyDescent="0.3">
      <c r="A38" s="37">
        <v>43626</v>
      </c>
      <c r="B38" s="38">
        <v>2</v>
      </c>
      <c r="C38" s="39">
        <v>0</v>
      </c>
      <c r="D38" s="38">
        <v>2</v>
      </c>
      <c r="E38" s="39">
        <v>0</v>
      </c>
      <c r="F38" s="38">
        <v>370</v>
      </c>
      <c r="G38" s="39">
        <v>0</v>
      </c>
      <c r="H38" s="39">
        <v>8.0000000000000002E-3</v>
      </c>
      <c r="I38" s="40">
        <v>19000</v>
      </c>
      <c r="J38" s="38" t="s">
        <v>7933</v>
      </c>
      <c r="K38" s="38">
        <v>3</v>
      </c>
      <c r="L38" s="38" t="s">
        <v>7934</v>
      </c>
      <c r="M38" s="40">
        <v>605834100</v>
      </c>
      <c r="N38" s="40">
        <v>73939</v>
      </c>
      <c r="O38" s="38">
        <v>72</v>
      </c>
    </row>
    <row r="39" spans="1:15" ht="27" x14ac:dyDescent="0.3">
      <c r="A39" s="37">
        <v>43627</v>
      </c>
      <c r="B39" s="38">
        <v>2</v>
      </c>
      <c r="C39" s="39">
        <v>0</v>
      </c>
      <c r="D39" s="38">
        <v>3</v>
      </c>
      <c r="E39" s="39">
        <v>0</v>
      </c>
      <c r="F39" s="38">
        <v>598</v>
      </c>
      <c r="G39" s="39">
        <v>0</v>
      </c>
      <c r="H39" s="39">
        <v>3.3000000000000002E-2</v>
      </c>
      <c r="I39" s="40">
        <v>120200</v>
      </c>
      <c r="J39" s="38" t="s">
        <v>7935</v>
      </c>
      <c r="K39" s="38">
        <v>20</v>
      </c>
      <c r="L39" s="38" t="s">
        <v>7936</v>
      </c>
      <c r="M39" s="40">
        <v>605954300</v>
      </c>
      <c r="N39" s="40">
        <v>73959</v>
      </c>
      <c r="O39" s="38">
        <v>74</v>
      </c>
    </row>
    <row r="40" spans="1:15" ht="27" x14ac:dyDescent="0.3">
      <c r="A40" s="37">
        <v>43628</v>
      </c>
      <c r="B40" s="38">
        <v>2</v>
      </c>
      <c r="C40" s="39">
        <v>0</v>
      </c>
      <c r="D40" s="38">
        <v>3</v>
      </c>
      <c r="E40" s="39">
        <v>0</v>
      </c>
      <c r="F40" s="38">
        <v>460</v>
      </c>
      <c r="G40" s="39">
        <v>0</v>
      </c>
      <c r="H40" s="39">
        <v>6.5000000000000002E-2</v>
      </c>
      <c r="I40" s="40">
        <v>177200</v>
      </c>
      <c r="J40" s="38" t="s">
        <v>7937</v>
      </c>
      <c r="K40" s="38">
        <v>30</v>
      </c>
      <c r="L40" s="38" t="s">
        <v>7938</v>
      </c>
      <c r="M40" s="40">
        <v>606131500</v>
      </c>
      <c r="N40" s="40">
        <v>73989</v>
      </c>
      <c r="O40" s="38">
        <v>60</v>
      </c>
    </row>
    <row r="41" spans="1:15" ht="27" x14ac:dyDescent="0.3">
      <c r="A41" s="37">
        <v>43629</v>
      </c>
      <c r="B41" s="38">
        <v>1</v>
      </c>
      <c r="C41" s="39">
        <v>0</v>
      </c>
      <c r="D41" s="38">
        <v>1</v>
      </c>
      <c r="E41" s="39">
        <v>0</v>
      </c>
      <c r="F41" s="38">
        <v>98</v>
      </c>
      <c r="G41" s="39">
        <v>0</v>
      </c>
      <c r="H41" s="39">
        <v>7.0999999999999994E-2</v>
      </c>
      <c r="I41" s="40">
        <v>42000</v>
      </c>
      <c r="J41" s="38" t="s">
        <v>7939</v>
      </c>
      <c r="K41" s="38">
        <v>7</v>
      </c>
      <c r="L41" s="38" t="s">
        <v>7940</v>
      </c>
      <c r="M41" s="40">
        <v>606173500</v>
      </c>
      <c r="N41" s="40">
        <v>73996</v>
      </c>
      <c r="O41" s="38">
        <v>83</v>
      </c>
    </row>
    <row r="42" spans="1:15" ht="27" x14ac:dyDescent="0.3">
      <c r="A42" s="37">
        <v>43630</v>
      </c>
      <c r="B42" s="38">
        <v>1</v>
      </c>
      <c r="C42" s="39">
        <v>0</v>
      </c>
      <c r="D42" s="38">
        <v>1</v>
      </c>
      <c r="E42" s="39">
        <v>0</v>
      </c>
      <c r="F42" s="38">
        <v>98</v>
      </c>
      <c r="G42" s="39">
        <v>0</v>
      </c>
      <c r="H42" s="39">
        <v>4.1000000000000002E-2</v>
      </c>
      <c r="I42" s="40">
        <v>32000</v>
      </c>
      <c r="J42" s="38" t="s">
        <v>7941</v>
      </c>
      <c r="K42" s="38">
        <v>4</v>
      </c>
      <c r="L42" s="38" t="s">
        <v>5960</v>
      </c>
      <c r="M42" s="40">
        <v>606205500</v>
      </c>
      <c r="N42" s="40">
        <v>74000</v>
      </c>
      <c r="O42" s="38">
        <v>91</v>
      </c>
    </row>
    <row r="43" spans="1:15" ht="27" x14ac:dyDescent="0.3">
      <c r="A43" s="37">
        <v>43631</v>
      </c>
      <c r="B43" s="38">
        <v>1</v>
      </c>
      <c r="C43" s="39">
        <v>0</v>
      </c>
      <c r="D43" s="38">
        <v>1</v>
      </c>
      <c r="E43" s="39">
        <v>0</v>
      </c>
      <c r="F43" s="38">
        <v>98</v>
      </c>
      <c r="G43" s="39">
        <v>0</v>
      </c>
      <c r="H43" s="39">
        <v>8.2000000000000003E-2</v>
      </c>
      <c r="I43" s="40">
        <v>64000</v>
      </c>
      <c r="J43" s="38" t="s">
        <v>585</v>
      </c>
      <c r="K43" s="38">
        <v>8</v>
      </c>
      <c r="L43" s="38" t="s">
        <v>296</v>
      </c>
      <c r="M43" s="40">
        <v>606269500</v>
      </c>
      <c r="N43" s="40">
        <v>74008</v>
      </c>
      <c r="O43" s="38">
        <v>87</v>
      </c>
    </row>
    <row r="44" spans="1:15" ht="27" x14ac:dyDescent="0.3">
      <c r="A44" s="37">
        <v>43632</v>
      </c>
      <c r="B44" s="38">
        <v>1</v>
      </c>
      <c r="C44" s="39">
        <v>0</v>
      </c>
      <c r="D44" s="38">
        <v>1</v>
      </c>
      <c r="E44" s="39">
        <v>0</v>
      </c>
      <c r="F44" s="38">
        <v>98</v>
      </c>
      <c r="G44" s="39">
        <v>0</v>
      </c>
      <c r="H44" s="39">
        <v>0.02</v>
      </c>
      <c r="I44" s="40">
        <v>13000</v>
      </c>
      <c r="J44" s="38" t="s">
        <v>7942</v>
      </c>
      <c r="K44" s="38">
        <v>2</v>
      </c>
      <c r="L44" s="38" t="s">
        <v>5908</v>
      </c>
      <c r="M44" s="40">
        <v>606282500</v>
      </c>
      <c r="N44" s="40">
        <v>74010</v>
      </c>
      <c r="O44" s="38">
        <v>94</v>
      </c>
    </row>
    <row r="45" spans="1:15" ht="27" x14ac:dyDescent="0.3">
      <c r="A45" s="37">
        <v>43634</v>
      </c>
      <c r="B45" s="38">
        <v>2</v>
      </c>
      <c r="C45" s="39">
        <v>0</v>
      </c>
      <c r="D45" s="38">
        <v>2</v>
      </c>
      <c r="E45" s="39">
        <v>0</v>
      </c>
      <c r="F45" s="38">
        <v>149</v>
      </c>
      <c r="G45" s="39">
        <v>0</v>
      </c>
      <c r="H45" s="39">
        <v>3.4000000000000002E-2</v>
      </c>
      <c r="I45" s="40">
        <v>30000</v>
      </c>
      <c r="J45" s="38" t="s">
        <v>4317</v>
      </c>
      <c r="K45" s="38">
        <v>5</v>
      </c>
      <c r="L45" s="38" t="s">
        <v>1395</v>
      </c>
      <c r="M45" s="40">
        <v>606312500</v>
      </c>
      <c r="N45" s="40">
        <v>74015</v>
      </c>
      <c r="O45" s="38">
        <v>92</v>
      </c>
    </row>
    <row r="46" spans="1:15" ht="27" x14ac:dyDescent="0.3">
      <c r="A46" s="37">
        <v>43635</v>
      </c>
      <c r="B46" s="38">
        <v>1</v>
      </c>
      <c r="C46" s="39">
        <v>0</v>
      </c>
      <c r="D46" s="38">
        <v>1</v>
      </c>
      <c r="E46" s="39">
        <v>0</v>
      </c>
      <c r="F46" s="38">
        <v>98</v>
      </c>
      <c r="G46" s="39">
        <v>0</v>
      </c>
      <c r="H46" s="39">
        <v>0.184</v>
      </c>
      <c r="I46" s="40">
        <v>89200</v>
      </c>
      <c r="J46" s="38" t="s">
        <v>7943</v>
      </c>
      <c r="K46" s="38">
        <v>18</v>
      </c>
      <c r="L46" s="38" t="s">
        <v>7944</v>
      </c>
      <c r="M46" s="40">
        <v>606401700</v>
      </c>
      <c r="N46" s="40">
        <v>74033</v>
      </c>
      <c r="O46" s="38">
        <v>70</v>
      </c>
    </row>
    <row r="47" spans="1:15" ht="27" x14ac:dyDescent="0.3">
      <c r="A47" s="37">
        <v>43637</v>
      </c>
      <c r="B47" s="38">
        <v>1</v>
      </c>
      <c r="C47" s="39">
        <v>0</v>
      </c>
      <c r="D47" s="38">
        <v>1</v>
      </c>
      <c r="E47" s="39">
        <v>0</v>
      </c>
      <c r="F47" s="38">
        <v>51</v>
      </c>
      <c r="G47" s="39">
        <v>0</v>
      </c>
      <c r="H47" s="39">
        <v>0.02</v>
      </c>
      <c r="I47" s="40">
        <v>7000</v>
      </c>
      <c r="J47" s="38" t="s">
        <v>1411</v>
      </c>
      <c r="K47" s="38">
        <v>1</v>
      </c>
      <c r="L47" s="38" t="s">
        <v>312</v>
      </c>
      <c r="M47" s="40">
        <v>606408700</v>
      </c>
      <c r="N47" s="40">
        <v>74034</v>
      </c>
      <c r="O47" s="38">
        <v>109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80C95-9CD5-44A1-9442-8BA6AF662DE4}">
  <dimension ref="A1:O32"/>
  <sheetViews>
    <sheetView workbookViewId="0">
      <selection activeCell="A5" sqref="A5:O7"/>
    </sheetView>
  </sheetViews>
  <sheetFormatPr defaultRowHeight="16.5" x14ac:dyDescent="0.3"/>
  <sheetData>
    <row r="1" spans="1:15" ht="19.5" x14ac:dyDescent="0.3">
      <c r="A1" s="197" t="s">
        <v>7945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48" t="s">
        <v>111</v>
      </c>
      <c r="B4" s="43" t="s">
        <v>112</v>
      </c>
      <c r="C4" s="43" t="s">
        <v>113</v>
      </c>
      <c r="D4" s="43" t="s">
        <v>114</v>
      </c>
      <c r="E4" s="43" t="s">
        <v>115</v>
      </c>
      <c r="F4" s="43" t="s">
        <v>116</v>
      </c>
      <c r="G4" s="43" t="s">
        <v>117</v>
      </c>
      <c r="H4" s="43" t="s">
        <v>118</v>
      </c>
      <c r="I4" s="43" t="s">
        <v>119</v>
      </c>
      <c r="J4" s="43" t="s">
        <v>120</v>
      </c>
      <c r="K4" s="43" t="s">
        <v>121</v>
      </c>
      <c r="L4" s="43" t="s">
        <v>122</v>
      </c>
      <c r="M4" s="43" t="s">
        <v>123</v>
      </c>
      <c r="N4" s="43" t="s">
        <v>124</v>
      </c>
      <c r="O4" s="49" t="s">
        <v>125</v>
      </c>
    </row>
    <row r="5" spans="1:15" ht="27" x14ac:dyDescent="0.3">
      <c r="A5" s="44">
        <v>43614</v>
      </c>
      <c r="B5" s="45">
        <v>446</v>
      </c>
      <c r="C5" s="46">
        <v>7.6999999999999999E-2</v>
      </c>
      <c r="D5" s="47">
        <v>1043</v>
      </c>
      <c r="E5" s="46">
        <v>5.8000000000000003E-2</v>
      </c>
      <c r="F5" s="47">
        <v>123789</v>
      </c>
      <c r="G5" s="46">
        <v>4.3999999999999997E-2</v>
      </c>
      <c r="H5" s="46">
        <v>0.251</v>
      </c>
      <c r="I5" s="47">
        <v>194232300</v>
      </c>
      <c r="J5" s="45" t="s">
        <v>7946</v>
      </c>
      <c r="K5" s="47">
        <v>31078</v>
      </c>
      <c r="L5" s="45" t="s">
        <v>7947</v>
      </c>
      <c r="M5" s="47">
        <v>214496300</v>
      </c>
      <c r="N5" s="47">
        <v>33454</v>
      </c>
      <c r="O5" s="45">
        <v>4</v>
      </c>
    </row>
    <row r="6" spans="1:15" ht="40.5" x14ac:dyDescent="0.3">
      <c r="A6" s="44">
        <v>43615</v>
      </c>
      <c r="B6" s="45">
        <v>375</v>
      </c>
      <c r="C6" s="46">
        <v>6.6000000000000003E-2</v>
      </c>
      <c r="D6" s="45">
        <v>723</v>
      </c>
      <c r="E6" s="46">
        <v>0.04</v>
      </c>
      <c r="F6" s="47">
        <v>83015</v>
      </c>
      <c r="G6" s="46">
        <v>0.03</v>
      </c>
      <c r="H6" s="46">
        <v>0.13200000000000001</v>
      </c>
      <c r="I6" s="47">
        <v>90710800</v>
      </c>
      <c r="J6" s="45" t="s">
        <v>7948</v>
      </c>
      <c r="K6" s="47">
        <v>10969</v>
      </c>
      <c r="L6" s="45" t="s">
        <v>7949</v>
      </c>
      <c r="M6" s="47">
        <v>305207100</v>
      </c>
      <c r="N6" s="47">
        <v>44423</v>
      </c>
      <c r="O6" s="45">
        <v>5</v>
      </c>
    </row>
    <row r="7" spans="1:15" ht="27" x14ac:dyDescent="0.3">
      <c r="A7" s="44">
        <v>43616</v>
      </c>
      <c r="B7" s="45">
        <v>397</v>
      </c>
      <c r="C7" s="46">
        <v>7.0999999999999994E-2</v>
      </c>
      <c r="D7" s="45">
        <v>735</v>
      </c>
      <c r="E7" s="46">
        <v>0.04</v>
      </c>
      <c r="F7" s="47">
        <v>84385</v>
      </c>
      <c r="G7" s="46">
        <v>0.03</v>
      </c>
      <c r="H7" s="46">
        <v>0.17699999999999999</v>
      </c>
      <c r="I7" s="47">
        <v>132797440</v>
      </c>
      <c r="J7" s="45" t="s">
        <v>7950</v>
      </c>
      <c r="K7" s="47">
        <v>14921</v>
      </c>
      <c r="L7" s="45" t="s">
        <v>7951</v>
      </c>
      <c r="M7" s="47">
        <v>438004540</v>
      </c>
      <c r="N7" s="47">
        <v>59344</v>
      </c>
      <c r="O7" s="45">
        <v>5</v>
      </c>
    </row>
    <row r="8" spans="1:15" ht="27" x14ac:dyDescent="0.3">
      <c r="A8" s="44">
        <v>43617</v>
      </c>
      <c r="B8" s="45">
        <v>409</v>
      </c>
      <c r="C8" s="46">
        <v>7.0000000000000007E-2</v>
      </c>
      <c r="D8" s="45">
        <v>673</v>
      </c>
      <c r="E8" s="46">
        <v>3.5999999999999997E-2</v>
      </c>
      <c r="F8" s="47">
        <v>76294</v>
      </c>
      <c r="G8" s="46">
        <v>2.5999999999999999E-2</v>
      </c>
      <c r="H8" s="46">
        <v>0.34</v>
      </c>
      <c r="I8" s="47">
        <v>220796140</v>
      </c>
      <c r="J8" s="45" t="s">
        <v>7952</v>
      </c>
      <c r="K8" s="47">
        <v>25945</v>
      </c>
      <c r="L8" s="45" t="s">
        <v>7953</v>
      </c>
      <c r="M8" s="47">
        <v>658800680</v>
      </c>
      <c r="N8" s="47">
        <v>85289</v>
      </c>
      <c r="O8" s="45">
        <v>5</v>
      </c>
    </row>
    <row r="9" spans="1:15" ht="27" x14ac:dyDescent="0.3">
      <c r="A9" s="44">
        <v>43618</v>
      </c>
      <c r="B9" s="45">
        <v>401</v>
      </c>
      <c r="C9" s="46">
        <v>6.9000000000000006E-2</v>
      </c>
      <c r="D9" s="45">
        <v>634</v>
      </c>
      <c r="E9" s="46">
        <v>3.4000000000000002E-2</v>
      </c>
      <c r="F9" s="47">
        <v>72475</v>
      </c>
      <c r="G9" s="46">
        <v>2.5000000000000001E-2</v>
      </c>
      <c r="H9" s="46">
        <v>0.30099999999999999</v>
      </c>
      <c r="I9" s="47">
        <v>187628590</v>
      </c>
      <c r="J9" s="45" t="s">
        <v>7954</v>
      </c>
      <c r="K9" s="47">
        <v>21792</v>
      </c>
      <c r="L9" s="45" t="s">
        <v>7955</v>
      </c>
      <c r="M9" s="47">
        <v>846429270</v>
      </c>
      <c r="N9" s="47">
        <v>107081</v>
      </c>
      <c r="O9" s="45">
        <v>5</v>
      </c>
    </row>
    <row r="10" spans="1:15" ht="40.5" x14ac:dyDescent="0.3">
      <c r="A10" s="44">
        <v>43619</v>
      </c>
      <c r="B10" s="45">
        <v>367</v>
      </c>
      <c r="C10" s="46">
        <v>7.0000000000000007E-2</v>
      </c>
      <c r="D10" s="45">
        <v>619</v>
      </c>
      <c r="E10" s="46">
        <v>3.5999999999999997E-2</v>
      </c>
      <c r="F10" s="47">
        <v>72968</v>
      </c>
      <c r="G10" s="46">
        <v>2.7E-2</v>
      </c>
      <c r="H10" s="46">
        <v>9.4E-2</v>
      </c>
      <c r="I10" s="47">
        <v>56953560</v>
      </c>
      <c r="J10" s="45" t="s">
        <v>7956</v>
      </c>
      <c r="K10" s="47">
        <v>6887</v>
      </c>
      <c r="L10" s="45" t="s">
        <v>7957</v>
      </c>
      <c r="M10" s="47">
        <v>903382830</v>
      </c>
      <c r="N10" s="47">
        <v>113968</v>
      </c>
      <c r="O10" s="45">
        <v>5</v>
      </c>
    </row>
    <row r="11" spans="1:15" ht="27" x14ac:dyDescent="0.3">
      <c r="A11" s="44">
        <v>43620</v>
      </c>
      <c r="B11" s="45">
        <v>370</v>
      </c>
      <c r="C11" s="46">
        <v>6.9000000000000006E-2</v>
      </c>
      <c r="D11" s="45">
        <v>604</v>
      </c>
      <c r="E11" s="46">
        <v>3.5000000000000003E-2</v>
      </c>
      <c r="F11" s="47">
        <v>71206</v>
      </c>
      <c r="G11" s="46">
        <v>2.5999999999999999E-2</v>
      </c>
      <c r="H11" s="46">
        <v>0.1</v>
      </c>
      <c r="I11" s="47">
        <v>57999500</v>
      </c>
      <c r="J11" s="45" t="s">
        <v>7958</v>
      </c>
      <c r="K11" s="47">
        <v>7087</v>
      </c>
      <c r="L11" s="45" t="s">
        <v>7959</v>
      </c>
      <c r="M11" s="47">
        <v>961382330</v>
      </c>
      <c r="N11" s="47">
        <v>121055</v>
      </c>
      <c r="O11" s="45">
        <v>5</v>
      </c>
    </row>
    <row r="12" spans="1:15" ht="27" x14ac:dyDescent="0.3">
      <c r="A12" s="44">
        <v>43621</v>
      </c>
      <c r="B12" s="45">
        <v>110</v>
      </c>
      <c r="C12" s="46">
        <v>1.9E-2</v>
      </c>
      <c r="D12" s="45">
        <v>153</v>
      </c>
      <c r="E12" s="46">
        <v>8.0000000000000002E-3</v>
      </c>
      <c r="F12" s="47">
        <v>17256</v>
      </c>
      <c r="G12" s="46">
        <v>6.0000000000000001E-3</v>
      </c>
      <c r="H12" s="46">
        <v>0.13900000000000001</v>
      </c>
      <c r="I12" s="47">
        <v>18412330</v>
      </c>
      <c r="J12" s="45" t="s">
        <v>7960</v>
      </c>
      <c r="K12" s="47">
        <v>2390</v>
      </c>
      <c r="L12" s="45" t="s">
        <v>7961</v>
      </c>
      <c r="M12" s="47">
        <v>979794660</v>
      </c>
      <c r="N12" s="47">
        <v>123445</v>
      </c>
      <c r="O12" s="45">
        <v>9</v>
      </c>
    </row>
    <row r="13" spans="1:15" ht="27" x14ac:dyDescent="0.3">
      <c r="A13" s="44">
        <v>43622</v>
      </c>
      <c r="B13" s="45">
        <v>61</v>
      </c>
      <c r="C13" s="46">
        <v>0.01</v>
      </c>
      <c r="D13" s="45">
        <v>82</v>
      </c>
      <c r="E13" s="46">
        <v>4.0000000000000001E-3</v>
      </c>
      <c r="F13" s="47">
        <v>7667</v>
      </c>
      <c r="G13" s="46">
        <v>3.0000000000000001E-3</v>
      </c>
      <c r="H13" s="46">
        <v>0.39100000000000001</v>
      </c>
      <c r="I13" s="47">
        <v>22632900</v>
      </c>
      <c r="J13" s="45" t="s">
        <v>7962</v>
      </c>
      <c r="K13" s="47">
        <v>2999</v>
      </c>
      <c r="L13" s="45" t="s">
        <v>7963</v>
      </c>
      <c r="M13" s="47">
        <v>1002427560</v>
      </c>
      <c r="N13" s="47">
        <v>126444</v>
      </c>
      <c r="O13" s="45">
        <v>11</v>
      </c>
    </row>
    <row r="14" spans="1:15" ht="27" x14ac:dyDescent="0.3">
      <c r="A14" s="44">
        <v>43623</v>
      </c>
      <c r="B14" s="45">
        <v>72</v>
      </c>
      <c r="C14" s="46">
        <v>1.2E-2</v>
      </c>
      <c r="D14" s="45">
        <v>107</v>
      </c>
      <c r="E14" s="46">
        <v>6.0000000000000001E-3</v>
      </c>
      <c r="F14" s="47">
        <v>10932</v>
      </c>
      <c r="G14" s="46">
        <v>4.0000000000000001E-3</v>
      </c>
      <c r="H14" s="46">
        <v>0.19900000000000001</v>
      </c>
      <c r="I14" s="47">
        <v>17354400</v>
      </c>
      <c r="J14" s="45" t="s">
        <v>7964</v>
      </c>
      <c r="K14" s="47">
        <v>2179</v>
      </c>
      <c r="L14" s="45" t="s">
        <v>7965</v>
      </c>
      <c r="M14" s="47">
        <v>1019781960</v>
      </c>
      <c r="N14" s="47">
        <v>128623</v>
      </c>
      <c r="O14" s="45">
        <v>10</v>
      </c>
    </row>
    <row r="15" spans="1:15" ht="27" x14ac:dyDescent="0.3">
      <c r="A15" s="44">
        <v>43624</v>
      </c>
      <c r="B15" s="45">
        <v>67</v>
      </c>
      <c r="C15" s="46">
        <v>1.0999999999999999E-2</v>
      </c>
      <c r="D15" s="45">
        <v>104</v>
      </c>
      <c r="E15" s="46">
        <v>5.0000000000000001E-3</v>
      </c>
      <c r="F15" s="47">
        <v>10366</v>
      </c>
      <c r="G15" s="46">
        <v>3.0000000000000001E-3</v>
      </c>
      <c r="H15" s="46">
        <v>0.27100000000000002</v>
      </c>
      <c r="I15" s="47">
        <v>22009300</v>
      </c>
      <c r="J15" s="45" t="s">
        <v>7966</v>
      </c>
      <c r="K15" s="47">
        <v>2807</v>
      </c>
      <c r="L15" s="45" t="s">
        <v>7967</v>
      </c>
      <c r="M15" s="47">
        <v>1041791260</v>
      </c>
      <c r="N15" s="47">
        <v>131430</v>
      </c>
      <c r="O15" s="45">
        <v>10</v>
      </c>
    </row>
    <row r="16" spans="1:15" ht="27" x14ac:dyDescent="0.3">
      <c r="A16" s="44">
        <v>43625</v>
      </c>
      <c r="B16" s="45">
        <v>60</v>
      </c>
      <c r="C16" s="46">
        <v>0.01</v>
      </c>
      <c r="D16" s="45">
        <v>98</v>
      </c>
      <c r="E16" s="46">
        <v>5.0000000000000001E-3</v>
      </c>
      <c r="F16" s="47">
        <v>9821</v>
      </c>
      <c r="G16" s="46">
        <v>3.0000000000000001E-3</v>
      </c>
      <c r="H16" s="46">
        <v>0.21299999999999999</v>
      </c>
      <c r="I16" s="47">
        <v>16505800</v>
      </c>
      <c r="J16" s="45" t="s">
        <v>7968</v>
      </c>
      <c r="K16" s="47">
        <v>2092</v>
      </c>
      <c r="L16" s="45" t="s">
        <v>7969</v>
      </c>
      <c r="M16" s="47">
        <v>1058297060</v>
      </c>
      <c r="N16" s="47">
        <v>133522</v>
      </c>
      <c r="O16" s="45">
        <v>10</v>
      </c>
    </row>
    <row r="17" spans="1:15" ht="27" x14ac:dyDescent="0.3">
      <c r="A17" s="44">
        <v>43626</v>
      </c>
      <c r="B17" s="45">
        <v>54</v>
      </c>
      <c r="C17" s="46">
        <v>1.0999999999999999E-2</v>
      </c>
      <c r="D17" s="45">
        <v>83</v>
      </c>
      <c r="E17" s="46">
        <v>5.0000000000000001E-3</v>
      </c>
      <c r="F17" s="47">
        <v>8577</v>
      </c>
      <c r="G17" s="46">
        <v>3.0000000000000001E-3</v>
      </c>
      <c r="H17" s="46">
        <v>8.3000000000000004E-2</v>
      </c>
      <c r="I17" s="47">
        <v>5488740</v>
      </c>
      <c r="J17" s="45" t="s">
        <v>7970</v>
      </c>
      <c r="K17" s="45">
        <v>709</v>
      </c>
      <c r="L17" s="45" t="s">
        <v>7971</v>
      </c>
      <c r="M17" s="47">
        <v>1063785800</v>
      </c>
      <c r="N17" s="47">
        <v>134231</v>
      </c>
      <c r="O17" s="45">
        <v>14</v>
      </c>
    </row>
    <row r="18" spans="1:15" ht="27" x14ac:dyDescent="0.3">
      <c r="A18" s="44">
        <v>43627</v>
      </c>
      <c r="B18" s="45">
        <v>53</v>
      </c>
      <c r="C18" s="46">
        <v>0.01</v>
      </c>
      <c r="D18" s="45">
        <v>76</v>
      </c>
      <c r="E18" s="46">
        <v>4.0000000000000001E-3</v>
      </c>
      <c r="F18" s="47">
        <v>8196</v>
      </c>
      <c r="G18" s="46">
        <v>3.0000000000000001E-3</v>
      </c>
      <c r="H18" s="46">
        <v>6.5000000000000002E-2</v>
      </c>
      <c r="I18" s="47">
        <v>4113780</v>
      </c>
      <c r="J18" s="45" t="s">
        <v>7972</v>
      </c>
      <c r="K18" s="45">
        <v>530</v>
      </c>
      <c r="L18" s="45" t="s">
        <v>7973</v>
      </c>
      <c r="M18" s="47">
        <v>1067899580</v>
      </c>
      <c r="N18" s="47">
        <v>134761</v>
      </c>
      <c r="O18" s="45">
        <v>17</v>
      </c>
    </row>
    <row r="19" spans="1:15" ht="27" x14ac:dyDescent="0.3">
      <c r="A19" s="44">
        <v>43628</v>
      </c>
      <c r="B19" s="45">
        <v>23</v>
      </c>
      <c r="C19" s="46">
        <v>5.0000000000000001E-3</v>
      </c>
      <c r="D19" s="45">
        <v>32</v>
      </c>
      <c r="E19" s="46">
        <v>2E-3</v>
      </c>
      <c r="F19" s="47">
        <v>3090</v>
      </c>
      <c r="G19" s="46">
        <v>1E-3</v>
      </c>
      <c r="H19" s="46">
        <v>8.4000000000000005E-2</v>
      </c>
      <c r="I19" s="47">
        <v>2024800</v>
      </c>
      <c r="J19" s="45" t="s">
        <v>7974</v>
      </c>
      <c r="K19" s="45">
        <v>260</v>
      </c>
      <c r="L19" s="45" t="s">
        <v>7975</v>
      </c>
      <c r="M19" s="47">
        <v>1069924380</v>
      </c>
      <c r="N19" s="47">
        <v>135021</v>
      </c>
      <c r="O19" s="45">
        <v>28</v>
      </c>
    </row>
    <row r="20" spans="1:15" ht="27" x14ac:dyDescent="0.3">
      <c r="A20" s="44">
        <v>43629</v>
      </c>
      <c r="B20" s="45">
        <v>22</v>
      </c>
      <c r="C20" s="46">
        <v>4.0000000000000001E-3</v>
      </c>
      <c r="D20" s="45">
        <v>28</v>
      </c>
      <c r="E20" s="46">
        <v>2E-3</v>
      </c>
      <c r="F20" s="47">
        <v>2621</v>
      </c>
      <c r="G20" s="46">
        <v>1E-3</v>
      </c>
      <c r="H20" s="46">
        <v>0.219</v>
      </c>
      <c r="I20" s="47">
        <v>4549660</v>
      </c>
      <c r="J20" s="45" t="s">
        <v>7976</v>
      </c>
      <c r="K20" s="45">
        <v>574</v>
      </c>
      <c r="L20" s="45" t="s">
        <v>7977</v>
      </c>
      <c r="M20" s="47">
        <v>1074474040</v>
      </c>
      <c r="N20" s="47">
        <v>135595</v>
      </c>
      <c r="O20" s="45">
        <v>19</v>
      </c>
    </row>
    <row r="21" spans="1:15" ht="27" x14ac:dyDescent="0.3">
      <c r="A21" s="44">
        <v>43630</v>
      </c>
      <c r="B21" s="45">
        <v>21</v>
      </c>
      <c r="C21" s="46">
        <v>4.0000000000000001E-3</v>
      </c>
      <c r="D21" s="45">
        <v>34</v>
      </c>
      <c r="E21" s="46">
        <v>2E-3</v>
      </c>
      <c r="F21" s="47">
        <v>3468</v>
      </c>
      <c r="G21" s="46">
        <v>1E-3</v>
      </c>
      <c r="H21" s="46">
        <v>0.129</v>
      </c>
      <c r="I21" s="47">
        <v>3997740</v>
      </c>
      <c r="J21" s="45" t="s">
        <v>7978</v>
      </c>
      <c r="K21" s="45">
        <v>446</v>
      </c>
      <c r="L21" s="45" t="s">
        <v>7979</v>
      </c>
      <c r="M21" s="47">
        <v>1078471780</v>
      </c>
      <c r="N21" s="47">
        <v>136041</v>
      </c>
      <c r="O21" s="45">
        <v>19</v>
      </c>
    </row>
    <row r="22" spans="1:15" ht="27" x14ac:dyDescent="0.3">
      <c r="A22" s="44">
        <v>43631</v>
      </c>
      <c r="B22" s="45">
        <v>26</v>
      </c>
      <c r="C22" s="46">
        <v>4.0000000000000001E-3</v>
      </c>
      <c r="D22" s="45">
        <v>44</v>
      </c>
      <c r="E22" s="46">
        <v>2E-3</v>
      </c>
      <c r="F22" s="47">
        <v>4351</v>
      </c>
      <c r="G22" s="46">
        <v>1E-3</v>
      </c>
      <c r="H22" s="46">
        <v>0.11600000000000001</v>
      </c>
      <c r="I22" s="47">
        <v>3958220</v>
      </c>
      <c r="J22" s="45" t="s">
        <v>7980</v>
      </c>
      <c r="K22" s="45">
        <v>504</v>
      </c>
      <c r="L22" s="45" t="s">
        <v>7981</v>
      </c>
      <c r="M22" s="47">
        <v>1082430000</v>
      </c>
      <c r="N22" s="47">
        <v>136545</v>
      </c>
      <c r="O22" s="45">
        <v>21</v>
      </c>
    </row>
    <row r="23" spans="1:15" ht="27" x14ac:dyDescent="0.3">
      <c r="A23" s="44">
        <v>43632</v>
      </c>
      <c r="B23" s="45">
        <v>23</v>
      </c>
      <c r="C23" s="46">
        <v>4.0000000000000001E-3</v>
      </c>
      <c r="D23" s="45">
        <v>40</v>
      </c>
      <c r="E23" s="46">
        <v>2E-3</v>
      </c>
      <c r="F23" s="47">
        <v>4035</v>
      </c>
      <c r="G23" s="46">
        <v>1E-3</v>
      </c>
      <c r="H23" s="46">
        <v>9.8000000000000004E-2</v>
      </c>
      <c r="I23" s="47">
        <v>3182400</v>
      </c>
      <c r="J23" s="45" t="s">
        <v>7982</v>
      </c>
      <c r="K23" s="45">
        <v>394</v>
      </c>
      <c r="L23" s="45" t="s">
        <v>7983</v>
      </c>
      <c r="M23" s="47">
        <v>1085612400</v>
      </c>
      <c r="N23" s="47">
        <v>136939</v>
      </c>
      <c r="O23" s="45">
        <v>23</v>
      </c>
    </row>
    <row r="24" spans="1:15" ht="27" x14ac:dyDescent="0.3">
      <c r="A24" s="44">
        <v>43633</v>
      </c>
      <c r="B24" s="45">
        <v>21</v>
      </c>
      <c r="C24" s="46">
        <v>4.0000000000000001E-3</v>
      </c>
      <c r="D24" s="45">
        <v>30</v>
      </c>
      <c r="E24" s="46">
        <v>2E-3</v>
      </c>
      <c r="F24" s="47">
        <v>2570</v>
      </c>
      <c r="G24" s="46">
        <v>1E-3</v>
      </c>
      <c r="H24" s="46">
        <v>4.5999999999999999E-2</v>
      </c>
      <c r="I24" s="47">
        <v>890660</v>
      </c>
      <c r="J24" s="45" t="s">
        <v>7984</v>
      </c>
      <c r="K24" s="45">
        <v>119</v>
      </c>
      <c r="L24" s="45" t="s">
        <v>7985</v>
      </c>
      <c r="M24" s="47">
        <v>1086503060</v>
      </c>
      <c r="N24" s="47">
        <v>137058</v>
      </c>
      <c r="O24" s="45">
        <v>36</v>
      </c>
    </row>
    <row r="25" spans="1:15" ht="27" x14ac:dyDescent="0.3">
      <c r="A25" s="44">
        <v>43634</v>
      </c>
      <c r="B25" s="45">
        <v>18</v>
      </c>
      <c r="C25" s="46">
        <v>3.0000000000000001E-3</v>
      </c>
      <c r="D25" s="45">
        <v>27</v>
      </c>
      <c r="E25" s="46">
        <v>2E-3</v>
      </c>
      <c r="F25" s="47">
        <v>2329</v>
      </c>
      <c r="G25" s="46">
        <v>1E-3</v>
      </c>
      <c r="H25" s="46">
        <v>6.8000000000000005E-2</v>
      </c>
      <c r="I25" s="47">
        <v>1207800</v>
      </c>
      <c r="J25" s="45" t="s">
        <v>7986</v>
      </c>
      <c r="K25" s="45">
        <v>159</v>
      </c>
      <c r="L25" s="45" t="s">
        <v>7987</v>
      </c>
      <c r="M25" s="47">
        <v>1087710860</v>
      </c>
      <c r="N25" s="47">
        <v>137217</v>
      </c>
      <c r="O25" s="45">
        <v>37</v>
      </c>
    </row>
    <row r="26" spans="1:15" ht="27" x14ac:dyDescent="0.3">
      <c r="A26" s="44">
        <v>43635</v>
      </c>
      <c r="B26" s="45">
        <v>4</v>
      </c>
      <c r="C26" s="46">
        <v>1E-3</v>
      </c>
      <c r="D26" s="45">
        <v>7</v>
      </c>
      <c r="E26" s="46">
        <v>0</v>
      </c>
      <c r="F26" s="45">
        <v>430</v>
      </c>
      <c r="G26" s="46">
        <v>0</v>
      </c>
      <c r="H26" s="46">
        <v>5.2999999999999999E-2</v>
      </c>
      <c r="I26" s="47">
        <v>158000</v>
      </c>
      <c r="J26" s="45" t="s">
        <v>7988</v>
      </c>
      <c r="K26" s="45">
        <v>23</v>
      </c>
      <c r="L26" s="45" t="s">
        <v>7989</v>
      </c>
      <c r="M26" s="47">
        <v>1087868860</v>
      </c>
      <c r="N26" s="47">
        <v>137240</v>
      </c>
      <c r="O26" s="45">
        <v>67</v>
      </c>
    </row>
    <row r="27" spans="1:15" ht="27" x14ac:dyDescent="0.3">
      <c r="A27" s="44">
        <v>43636</v>
      </c>
      <c r="B27" s="45">
        <v>1</v>
      </c>
      <c r="C27" s="46">
        <v>0</v>
      </c>
      <c r="D27" s="45">
        <v>1</v>
      </c>
      <c r="E27" s="46">
        <v>0</v>
      </c>
      <c r="F27" s="45">
        <v>95</v>
      </c>
      <c r="G27" s="46">
        <v>0</v>
      </c>
      <c r="H27" s="46">
        <v>1.0999999999999999E-2</v>
      </c>
      <c r="I27" s="47">
        <v>5000</v>
      </c>
      <c r="J27" s="45" t="s">
        <v>7990</v>
      </c>
      <c r="K27" s="45">
        <v>1</v>
      </c>
      <c r="L27" s="45" t="s">
        <v>7991</v>
      </c>
      <c r="M27" s="47">
        <v>1087873860</v>
      </c>
      <c r="N27" s="47">
        <v>137241</v>
      </c>
      <c r="O27" s="45">
        <v>99</v>
      </c>
    </row>
    <row r="28" spans="1:15" x14ac:dyDescent="0.3">
      <c r="A28" s="44">
        <v>43637</v>
      </c>
      <c r="B28" s="45">
        <v>1</v>
      </c>
      <c r="C28" s="46">
        <v>0</v>
      </c>
      <c r="D28" s="45">
        <v>1</v>
      </c>
      <c r="E28" s="46">
        <v>0</v>
      </c>
      <c r="F28" s="45">
        <v>95</v>
      </c>
      <c r="G28" s="46">
        <v>0</v>
      </c>
      <c r="H28" s="46">
        <v>1.0999999999999999E-2</v>
      </c>
      <c r="I28" s="47">
        <v>5000</v>
      </c>
      <c r="J28" s="45" t="s">
        <v>292</v>
      </c>
      <c r="K28" s="45">
        <v>1</v>
      </c>
      <c r="L28" s="45" t="s">
        <v>292</v>
      </c>
      <c r="M28" s="47">
        <v>1087878860</v>
      </c>
      <c r="N28" s="47">
        <v>137242</v>
      </c>
      <c r="O28" s="45">
        <v>109</v>
      </c>
    </row>
    <row r="29" spans="1:15" ht="27" x14ac:dyDescent="0.3">
      <c r="A29" s="44">
        <v>43638</v>
      </c>
      <c r="B29" s="45">
        <v>1</v>
      </c>
      <c r="C29" s="46">
        <v>0</v>
      </c>
      <c r="D29" s="45">
        <v>3</v>
      </c>
      <c r="E29" s="46">
        <v>0</v>
      </c>
      <c r="F29" s="45">
        <v>492</v>
      </c>
      <c r="G29" s="46">
        <v>0</v>
      </c>
      <c r="H29" s="46">
        <v>4.4999999999999998E-2</v>
      </c>
      <c r="I29" s="47">
        <v>164000</v>
      </c>
      <c r="J29" s="45" t="s">
        <v>7992</v>
      </c>
      <c r="K29" s="45">
        <v>22</v>
      </c>
      <c r="L29" s="45" t="s">
        <v>7589</v>
      </c>
      <c r="M29" s="47">
        <v>1088042860</v>
      </c>
      <c r="N29" s="47">
        <v>137264</v>
      </c>
      <c r="O29" s="45">
        <v>83</v>
      </c>
    </row>
    <row r="30" spans="1:15" ht="27" x14ac:dyDescent="0.3">
      <c r="A30" s="44">
        <v>43639</v>
      </c>
      <c r="B30" s="45">
        <v>1</v>
      </c>
      <c r="C30" s="46">
        <v>0</v>
      </c>
      <c r="D30" s="45">
        <v>4</v>
      </c>
      <c r="E30" s="46">
        <v>0</v>
      </c>
      <c r="F30" s="45">
        <v>656</v>
      </c>
      <c r="G30" s="46">
        <v>0</v>
      </c>
      <c r="H30" s="46">
        <v>2.3E-2</v>
      </c>
      <c r="I30" s="47">
        <v>109000</v>
      </c>
      <c r="J30" s="45" t="s">
        <v>7993</v>
      </c>
      <c r="K30" s="45">
        <v>15</v>
      </c>
      <c r="L30" s="45" t="s">
        <v>7994</v>
      </c>
      <c r="M30" s="47">
        <v>1088151860</v>
      </c>
      <c r="N30" s="47">
        <v>137279</v>
      </c>
      <c r="O30" s="45">
        <v>78</v>
      </c>
    </row>
    <row r="31" spans="1:15" ht="27" x14ac:dyDescent="0.3">
      <c r="A31" s="44">
        <v>43641</v>
      </c>
      <c r="B31" s="45">
        <v>1</v>
      </c>
      <c r="C31" s="46">
        <v>0</v>
      </c>
      <c r="D31" s="45">
        <v>3</v>
      </c>
      <c r="E31" s="46">
        <v>0</v>
      </c>
      <c r="F31" s="45">
        <v>492</v>
      </c>
      <c r="G31" s="46">
        <v>0</v>
      </c>
      <c r="H31" s="46">
        <v>6.0000000000000001E-3</v>
      </c>
      <c r="I31" s="47">
        <v>23000</v>
      </c>
      <c r="J31" s="45" t="s">
        <v>1418</v>
      </c>
      <c r="K31" s="45">
        <v>3</v>
      </c>
      <c r="L31" s="45" t="s">
        <v>294</v>
      </c>
      <c r="M31" s="47">
        <v>1088174860</v>
      </c>
      <c r="N31" s="47">
        <v>137282</v>
      </c>
      <c r="O31" s="45">
        <v>96</v>
      </c>
    </row>
    <row r="32" spans="1:15" ht="27" x14ac:dyDescent="0.3">
      <c r="A32" s="44">
        <v>43644</v>
      </c>
      <c r="B32" s="45">
        <v>1</v>
      </c>
      <c r="C32" s="46">
        <v>0</v>
      </c>
      <c r="D32" s="45">
        <v>1</v>
      </c>
      <c r="E32" s="46">
        <v>0</v>
      </c>
      <c r="F32" s="45">
        <v>164</v>
      </c>
      <c r="G32" s="46">
        <v>0</v>
      </c>
      <c r="H32" s="46">
        <v>7.2999999999999995E-2</v>
      </c>
      <c r="I32" s="47">
        <v>84000</v>
      </c>
      <c r="J32" s="45" t="s">
        <v>7995</v>
      </c>
      <c r="K32" s="45">
        <v>12</v>
      </c>
      <c r="L32" s="45" t="s">
        <v>1393</v>
      </c>
      <c r="M32" s="47">
        <v>1088258860</v>
      </c>
      <c r="N32" s="47">
        <v>137294</v>
      </c>
      <c r="O32" s="45">
        <v>84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434B-2A19-4F02-9A78-ACCFA862E9D1}">
  <dimension ref="A1:O67"/>
  <sheetViews>
    <sheetView workbookViewId="0">
      <selection activeCell="A5" sqref="A5:O19"/>
    </sheetView>
  </sheetViews>
  <sheetFormatPr defaultRowHeight="16.5" x14ac:dyDescent="0.3"/>
  <sheetData>
    <row r="1" spans="1:15" ht="19.5" x14ac:dyDescent="0.3">
      <c r="A1" s="197" t="s">
        <v>7996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55" t="s">
        <v>111</v>
      </c>
      <c r="B4" s="50" t="s">
        <v>112</v>
      </c>
      <c r="C4" s="50" t="s">
        <v>113</v>
      </c>
      <c r="D4" s="50" t="s">
        <v>114</v>
      </c>
      <c r="E4" s="50" t="s">
        <v>115</v>
      </c>
      <c r="F4" s="50" t="s">
        <v>116</v>
      </c>
      <c r="G4" s="50" t="s">
        <v>117</v>
      </c>
      <c r="H4" s="50" t="s">
        <v>118</v>
      </c>
      <c r="I4" s="50" t="s">
        <v>119</v>
      </c>
      <c r="J4" s="50" t="s">
        <v>120</v>
      </c>
      <c r="K4" s="50" t="s">
        <v>121</v>
      </c>
      <c r="L4" s="50" t="s">
        <v>122</v>
      </c>
      <c r="M4" s="50" t="s">
        <v>123</v>
      </c>
      <c r="N4" s="50" t="s">
        <v>124</v>
      </c>
      <c r="O4" s="56" t="s">
        <v>125</v>
      </c>
    </row>
    <row r="5" spans="1:15" ht="27" x14ac:dyDescent="0.3">
      <c r="A5" s="51">
        <v>43601</v>
      </c>
      <c r="B5" s="52">
        <v>188</v>
      </c>
      <c r="C5" s="53">
        <v>3.3000000000000002E-2</v>
      </c>
      <c r="D5" s="52">
        <v>251</v>
      </c>
      <c r="E5" s="53">
        <v>1.4E-2</v>
      </c>
      <c r="F5" s="54">
        <v>31292</v>
      </c>
      <c r="G5" s="53">
        <v>1.0999999999999999E-2</v>
      </c>
      <c r="H5" s="53">
        <v>0.104</v>
      </c>
      <c r="I5" s="54">
        <v>25644390</v>
      </c>
      <c r="J5" s="52" t="s">
        <v>7997</v>
      </c>
      <c r="K5" s="54">
        <v>3245</v>
      </c>
      <c r="L5" s="52" t="s">
        <v>7998</v>
      </c>
      <c r="M5" s="54">
        <v>59868390</v>
      </c>
      <c r="N5" s="54">
        <v>7395</v>
      </c>
      <c r="O5" s="52">
        <v>8</v>
      </c>
    </row>
    <row r="6" spans="1:15" ht="27" x14ac:dyDescent="0.3">
      <c r="A6" s="51">
        <v>43602</v>
      </c>
      <c r="B6" s="52">
        <v>193</v>
      </c>
      <c r="C6" s="53">
        <v>3.3000000000000002E-2</v>
      </c>
      <c r="D6" s="52">
        <v>263</v>
      </c>
      <c r="E6" s="53">
        <v>1.4E-2</v>
      </c>
      <c r="F6" s="54">
        <v>31985</v>
      </c>
      <c r="G6" s="53">
        <v>1.0999999999999999E-2</v>
      </c>
      <c r="H6" s="53">
        <v>0.121</v>
      </c>
      <c r="I6" s="54">
        <v>34195180</v>
      </c>
      <c r="J6" s="52" t="s">
        <v>7999</v>
      </c>
      <c r="K6" s="54">
        <v>3874</v>
      </c>
      <c r="L6" s="52" t="s">
        <v>8000</v>
      </c>
      <c r="M6" s="54">
        <v>94063570</v>
      </c>
      <c r="N6" s="54">
        <v>11269</v>
      </c>
      <c r="O6" s="52">
        <v>8</v>
      </c>
    </row>
    <row r="7" spans="1:15" ht="27" x14ac:dyDescent="0.3">
      <c r="A7" s="51">
        <v>43603</v>
      </c>
      <c r="B7" s="52">
        <v>195</v>
      </c>
      <c r="C7" s="53">
        <v>0.03</v>
      </c>
      <c r="D7" s="52">
        <v>267</v>
      </c>
      <c r="E7" s="53">
        <v>1.4E-2</v>
      </c>
      <c r="F7" s="54">
        <v>32770</v>
      </c>
      <c r="G7" s="53">
        <v>1.0999999999999999E-2</v>
      </c>
      <c r="H7" s="53">
        <v>0.151</v>
      </c>
      <c r="I7" s="54">
        <v>44023030</v>
      </c>
      <c r="J7" s="52" t="s">
        <v>8001</v>
      </c>
      <c r="K7" s="54">
        <v>4963</v>
      </c>
      <c r="L7" s="52" t="s">
        <v>8002</v>
      </c>
      <c r="M7" s="54">
        <v>138086600</v>
      </c>
      <c r="N7" s="54">
        <v>16232</v>
      </c>
      <c r="O7" s="52">
        <v>9</v>
      </c>
    </row>
    <row r="8" spans="1:15" ht="27" x14ac:dyDescent="0.3">
      <c r="A8" s="51">
        <v>43604</v>
      </c>
      <c r="B8" s="52">
        <v>175</v>
      </c>
      <c r="C8" s="53">
        <v>2.7E-2</v>
      </c>
      <c r="D8" s="52">
        <v>241</v>
      </c>
      <c r="E8" s="53">
        <v>1.2999999999999999E-2</v>
      </c>
      <c r="F8" s="54">
        <v>29362</v>
      </c>
      <c r="G8" s="53">
        <v>0.01</v>
      </c>
      <c r="H8" s="53">
        <v>0.19</v>
      </c>
      <c r="I8" s="54">
        <v>49946650</v>
      </c>
      <c r="J8" s="52" t="s">
        <v>8003</v>
      </c>
      <c r="K8" s="54">
        <v>5574</v>
      </c>
      <c r="L8" s="52" t="s">
        <v>8004</v>
      </c>
      <c r="M8" s="54">
        <v>188033250</v>
      </c>
      <c r="N8" s="54">
        <v>21806</v>
      </c>
      <c r="O8" s="52">
        <v>8</v>
      </c>
    </row>
    <row r="9" spans="1:15" ht="27" x14ac:dyDescent="0.3">
      <c r="A9" s="51">
        <v>43605</v>
      </c>
      <c r="B9" s="52">
        <v>191</v>
      </c>
      <c r="C9" s="53">
        <v>3.5000000000000003E-2</v>
      </c>
      <c r="D9" s="52">
        <v>279</v>
      </c>
      <c r="E9" s="53">
        <v>1.6E-2</v>
      </c>
      <c r="F9" s="54">
        <v>34231</v>
      </c>
      <c r="G9" s="53">
        <v>1.2999999999999999E-2</v>
      </c>
      <c r="H9" s="53">
        <v>9.9000000000000005E-2</v>
      </c>
      <c r="I9" s="54">
        <v>26700400</v>
      </c>
      <c r="J9" s="52" t="s">
        <v>8005</v>
      </c>
      <c r="K9" s="54">
        <v>3380</v>
      </c>
      <c r="L9" s="52" t="s">
        <v>8006</v>
      </c>
      <c r="M9" s="54">
        <v>214733650</v>
      </c>
      <c r="N9" s="54">
        <v>25186</v>
      </c>
      <c r="O9" s="52">
        <v>7</v>
      </c>
    </row>
    <row r="10" spans="1:15" ht="27" x14ac:dyDescent="0.3">
      <c r="A10" s="51">
        <v>43606</v>
      </c>
      <c r="B10" s="52">
        <v>200</v>
      </c>
      <c r="C10" s="53">
        <v>3.5999999999999997E-2</v>
      </c>
      <c r="D10" s="52">
        <v>293</v>
      </c>
      <c r="E10" s="53">
        <v>1.7000000000000001E-2</v>
      </c>
      <c r="F10" s="54">
        <v>35990</v>
      </c>
      <c r="G10" s="53">
        <v>1.2999999999999999E-2</v>
      </c>
      <c r="H10" s="53">
        <v>0.13600000000000001</v>
      </c>
      <c r="I10" s="54">
        <v>37531210</v>
      </c>
      <c r="J10" s="52" t="s">
        <v>8007</v>
      </c>
      <c r="K10" s="54">
        <v>4887</v>
      </c>
      <c r="L10" s="52" t="s">
        <v>8008</v>
      </c>
      <c r="M10" s="54">
        <v>252264860</v>
      </c>
      <c r="N10" s="54">
        <v>30073</v>
      </c>
      <c r="O10" s="52">
        <v>7</v>
      </c>
    </row>
    <row r="11" spans="1:15" ht="27" x14ac:dyDescent="0.3">
      <c r="A11" s="51">
        <v>43607</v>
      </c>
      <c r="B11" s="52">
        <v>152</v>
      </c>
      <c r="C11" s="53">
        <v>0.03</v>
      </c>
      <c r="D11" s="52">
        <v>199</v>
      </c>
      <c r="E11" s="53">
        <v>1.0999999999999999E-2</v>
      </c>
      <c r="F11" s="54">
        <v>25469</v>
      </c>
      <c r="G11" s="53">
        <v>8.9999999999999993E-3</v>
      </c>
      <c r="H11" s="53">
        <v>0.127</v>
      </c>
      <c r="I11" s="54">
        <v>25336510</v>
      </c>
      <c r="J11" s="52" t="s">
        <v>8009</v>
      </c>
      <c r="K11" s="54">
        <v>3231</v>
      </c>
      <c r="L11" s="52" t="s">
        <v>8010</v>
      </c>
      <c r="M11" s="54">
        <v>277601370</v>
      </c>
      <c r="N11" s="54">
        <v>33304</v>
      </c>
      <c r="O11" s="52">
        <v>8</v>
      </c>
    </row>
    <row r="12" spans="1:15" ht="27" x14ac:dyDescent="0.3">
      <c r="A12" s="51">
        <v>43608</v>
      </c>
      <c r="B12" s="52">
        <v>62</v>
      </c>
      <c r="C12" s="53">
        <v>1.0999999999999999E-2</v>
      </c>
      <c r="D12" s="52">
        <v>89</v>
      </c>
      <c r="E12" s="53">
        <v>5.0000000000000001E-3</v>
      </c>
      <c r="F12" s="54">
        <v>10399</v>
      </c>
      <c r="G12" s="53">
        <v>4.0000000000000001E-3</v>
      </c>
      <c r="H12" s="53">
        <v>0.24099999999999999</v>
      </c>
      <c r="I12" s="54">
        <v>19393580</v>
      </c>
      <c r="J12" s="52" t="s">
        <v>8011</v>
      </c>
      <c r="K12" s="54">
        <v>2502</v>
      </c>
      <c r="L12" s="52" t="s">
        <v>8012</v>
      </c>
      <c r="M12" s="54">
        <v>296994950</v>
      </c>
      <c r="N12" s="54">
        <v>35806</v>
      </c>
      <c r="O12" s="52">
        <v>9</v>
      </c>
    </row>
    <row r="13" spans="1:15" ht="27" x14ac:dyDescent="0.3">
      <c r="A13" s="51">
        <v>43609</v>
      </c>
      <c r="B13" s="52">
        <v>70</v>
      </c>
      <c r="C13" s="53">
        <v>1.2E-2</v>
      </c>
      <c r="D13" s="52">
        <v>97</v>
      </c>
      <c r="E13" s="53">
        <v>5.0000000000000001E-3</v>
      </c>
      <c r="F13" s="54">
        <v>11034</v>
      </c>
      <c r="G13" s="53">
        <v>4.0000000000000001E-3</v>
      </c>
      <c r="H13" s="53">
        <v>0.23499999999999999</v>
      </c>
      <c r="I13" s="54">
        <v>22802210</v>
      </c>
      <c r="J13" s="52" t="s">
        <v>8013</v>
      </c>
      <c r="K13" s="54">
        <v>2596</v>
      </c>
      <c r="L13" s="52" t="s">
        <v>8014</v>
      </c>
      <c r="M13" s="54">
        <v>319797160</v>
      </c>
      <c r="N13" s="54">
        <v>38402</v>
      </c>
      <c r="O13" s="52">
        <v>10</v>
      </c>
    </row>
    <row r="14" spans="1:15" ht="27" x14ac:dyDescent="0.3">
      <c r="A14" s="51">
        <v>43610</v>
      </c>
      <c r="B14" s="52">
        <v>76</v>
      </c>
      <c r="C14" s="53">
        <v>1.2E-2</v>
      </c>
      <c r="D14" s="52">
        <v>106</v>
      </c>
      <c r="E14" s="53">
        <v>5.0000000000000001E-3</v>
      </c>
      <c r="F14" s="54">
        <v>12594</v>
      </c>
      <c r="G14" s="53">
        <v>4.0000000000000001E-3</v>
      </c>
      <c r="H14" s="53">
        <v>0.33800000000000002</v>
      </c>
      <c r="I14" s="54">
        <v>37275760</v>
      </c>
      <c r="J14" s="52" t="s">
        <v>8015</v>
      </c>
      <c r="K14" s="54">
        <v>4254</v>
      </c>
      <c r="L14" s="52" t="s">
        <v>8016</v>
      </c>
      <c r="M14" s="54">
        <v>357072920</v>
      </c>
      <c r="N14" s="54">
        <v>42656</v>
      </c>
      <c r="O14" s="52">
        <v>10</v>
      </c>
    </row>
    <row r="15" spans="1:15" ht="27" x14ac:dyDescent="0.3">
      <c r="A15" s="51">
        <v>43611</v>
      </c>
      <c r="B15" s="52">
        <v>82</v>
      </c>
      <c r="C15" s="53">
        <v>1.2E-2</v>
      </c>
      <c r="D15" s="52">
        <v>109</v>
      </c>
      <c r="E15" s="53">
        <v>6.0000000000000001E-3</v>
      </c>
      <c r="F15" s="54">
        <v>13028</v>
      </c>
      <c r="G15" s="53">
        <v>4.0000000000000001E-3</v>
      </c>
      <c r="H15" s="53">
        <v>0.40500000000000003</v>
      </c>
      <c r="I15" s="54">
        <v>45739560</v>
      </c>
      <c r="J15" s="52" t="s">
        <v>8017</v>
      </c>
      <c r="K15" s="54">
        <v>5280</v>
      </c>
      <c r="L15" s="52" t="s">
        <v>8018</v>
      </c>
      <c r="M15" s="54">
        <v>402812480</v>
      </c>
      <c r="N15" s="54">
        <v>47936</v>
      </c>
      <c r="O15" s="52">
        <v>10</v>
      </c>
    </row>
    <row r="16" spans="1:15" ht="27" x14ac:dyDescent="0.3">
      <c r="A16" s="51">
        <v>43612</v>
      </c>
      <c r="B16" s="52">
        <v>82</v>
      </c>
      <c r="C16" s="53">
        <v>1.4E-2</v>
      </c>
      <c r="D16" s="52">
        <v>135</v>
      </c>
      <c r="E16" s="53">
        <v>8.0000000000000002E-3</v>
      </c>
      <c r="F16" s="54">
        <v>16318</v>
      </c>
      <c r="G16" s="53">
        <v>6.0000000000000001E-3</v>
      </c>
      <c r="H16" s="53">
        <v>0.16900000000000001</v>
      </c>
      <c r="I16" s="54">
        <v>21492120</v>
      </c>
      <c r="J16" s="52" t="s">
        <v>8019</v>
      </c>
      <c r="K16" s="54">
        <v>2758</v>
      </c>
      <c r="L16" s="52" t="s">
        <v>8020</v>
      </c>
      <c r="M16" s="54">
        <v>424304600</v>
      </c>
      <c r="N16" s="54">
        <v>50694</v>
      </c>
      <c r="O16" s="52">
        <v>8</v>
      </c>
    </row>
    <row r="17" spans="1:15" ht="27" x14ac:dyDescent="0.3">
      <c r="A17" s="51">
        <v>43613</v>
      </c>
      <c r="B17" s="52">
        <v>89</v>
      </c>
      <c r="C17" s="53">
        <v>1.4999999999999999E-2</v>
      </c>
      <c r="D17" s="52">
        <v>143</v>
      </c>
      <c r="E17" s="53">
        <v>8.0000000000000002E-3</v>
      </c>
      <c r="F17" s="54">
        <v>17070</v>
      </c>
      <c r="G17" s="53">
        <v>6.0000000000000001E-3</v>
      </c>
      <c r="H17" s="53">
        <v>0.17299999999999999</v>
      </c>
      <c r="I17" s="54">
        <v>22790470</v>
      </c>
      <c r="J17" s="52" t="s">
        <v>8021</v>
      </c>
      <c r="K17" s="54">
        <v>2948</v>
      </c>
      <c r="L17" s="52" t="s">
        <v>8022</v>
      </c>
      <c r="M17" s="54">
        <v>447095070</v>
      </c>
      <c r="N17" s="54">
        <v>53642</v>
      </c>
      <c r="O17" s="52">
        <v>9</v>
      </c>
    </row>
    <row r="18" spans="1:15" ht="27" x14ac:dyDescent="0.3">
      <c r="A18" s="51">
        <v>43614</v>
      </c>
      <c r="B18" s="52">
        <v>72</v>
      </c>
      <c r="C18" s="53">
        <v>1.2E-2</v>
      </c>
      <c r="D18" s="52">
        <v>109</v>
      </c>
      <c r="E18" s="53">
        <v>6.0000000000000001E-3</v>
      </c>
      <c r="F18" s="54">
        <v>12229</v>
      </c>
      <c r="G18" s="53">
        <v>4.0000000000000001E-3</v>
      </c>
      <c r="H18" s="53">
        <v>0.17399999999999999</v>
      </c>
      <c r="I18" s="54">
        <v>14738500</v>
      </c>
      <c r="J18" s="52" t="s">
        <v>8023</v>
      </c>
      <c r="K18" s="54">
        <v>2122</v>
      </c>
      <c r="L18" s="52" t="s">
        <v>8024</v>
      </c>
      <c r="M18" s="54">
        <v>461833570</v>
      </c>
      <c r="N18" s="54">
        <v>55764</v>
      </c>
      <c r="O18" s="52">
        <v>11</v>
      </c>
    </row>
    <row r="19" spans="1:15" ht="27" x14ac:dyDescent="0.3">
      <c r="A19" s="51">
        <v>43615</v>
      </c>
      <c r="B19" s="52">
        <v>77</v>
      </c>
      <c r="C19" s="53">
        <v>1.4E-2</v>
      </c>
      <c r="D19" s="52">
        <v>95</v>
      </c>
      <c r="E19" s="53">
        <v>5.0000000000000001E-3</v>
      </c>
      <c r="F19" s="54">
        <v>11307</v>
      </c>
      <c r="G19" s="53">
        <v>4.0000000000000001E-3</v>
      </c>
      <c r="H19" s="53">
        <v>0.187</v>
      </c>
      <c r="I19" s="54">
        <v>15976920</v>
      </c>
      <c r="J19" s="52" t="s">
        <v>8025</v>
      </c>
      <c r="K19" s="54">
        <v>2119</v>
      </c>
      <c r="L19" s="52" t="s">
        <v>8026</v>
      </c>
      <c r="M19" s="54">
        <v>477810490</v>
      </c>
      <c r="N19" s="54">
        <v>57883</v>
      </c>
      <c r="O19" s="52">
        <v>8</v>
      </c>
    </row>
    <row r="20" spans="1:15" ht="27" x14ac:dyDescent="0.3">
      <c r="A20" s="51">
        <v>43616</v>
      </c>
      <c r="B20" s="52">
        <v>72</v>
      </c>
      <c r="C20" s="53">
        <v>1.2999999999999999E-2</v>
      </c>
      <c r="D20" s="52">
        <v>95</v>
      </c>
      <c r="E20" s="53">
        <v>5.0000000000000001E-3</v>
      </c>
      <c r="F20" s="54">
        <v>10825</v>
      </c>
      <c r="G20" s="53">
        <v>4.0000000000000001E-3</v>
      </c>
      <c r="H20" s="53">
        <v>0.157</v>
      </c>
      <c r="I20" s="54">
        <v>14308900</v>
      </c>
      <c r="J20" s="52" t="s">
        <v>8027</v>
      </c>
      <c r="K20" s="54">
        <v>1703</v>
      </c>
      <c r="L20" s="52" t="s">
        <v>8028</v>
      </c>
      <c r="M20" s="54">
        <v>492119390</v>
      </c>
      <c r="N20" s="54">
        <v>59586</v>
      </c>
      <c r="O20" s="52">
        <v>8</v>
      </c>
    </row>
    <row r="21" spans="1:15" ht="27" x14ac:dyDescent="0.3">
      <c r="A21" s="51">
        <v>43617</v>
      </c>
      <c r="B21" s="52">
        <v>65</v>
      </c>
      <c r="C21" s="53">
        <v>1.0999999999999999E-2</v>
      </c>
      <c r="D21" s="52">
        <v>86</v>
      </c>
      <c r="E21" s="53">
        <v>5.0000000000000001E-3</v>
      </c>
      <c r="F21" s="54">
        <v>9817</v>
      </c>
      <c r="G21" s="53">
        <v>3.0000000000000001E-3</v>
      </c>
      <c r="H21" s="53">
        <v>0.24199999999999999</v>
      </c>
      <c r="I21" s="54">
        <v>20487930</v>
      </c>
      <c r="J21" s="52" t="s">
        <v>8029</v>
      </c>
      <c r="K21" s="54">
        <v>2372</v>
      </c>
      <c r="L21" s="52" t="s">
        <v>8030</v>
      </c>
      <c r="M21" s="54">
        <v>512607320</v>
      </c>
      <c r="N21" s="54">
        <v>61958</v>
      </c>
      <c r="O21" s="52">
        <v>10</v>
      </c>
    </row>
    <row r="22" spans="1:15" ht="27" x14ac:dyDescent="0.3">
      <c r="A22" s="51">
        <v>43618</v>
      </c>
      <c r="B22" s="52">
        <v>77</v>
      </c>
      <c r="C22" s="53">
        <v>1.2999999999999999E-2</v>
      </c>
      <c r="D22" s="52">
        <v>93</v>
      </c>
      <c r="E22" s="53">
        <v>5.0000000000000001E-3</v>
      </c>
      <c r="F22" s="54">
        <v>10989</v>
      </c>
      <c r="G22" s="53">
        <v>4.0000000000000001E-3</v>
      </c>
      <c r="H22" s="53">
        <v>0.313</v>
      </c>
      <c r="I22" s="54">
        <v>28430360</v>
      </c>
      <c r="J22" s="52" t="s">
        <v>8031</v>
      </c>
      <c r="K22" s="54">
        <v>3441</v>
      </c>
      <c r="L22" s="52" t="s">
        <v>8032</v>
      </c>
      <c r="M22" s="54">
        <v>541037680</v>
      </c>
      <c r="N22" s="54">
        <v>65399</v>
      </c>
      <c r="O22" s="52">
        <v>9</v>
      </c>
    </row>
    <row r="23" spans="1:15" ht="27" x14ac:dyDescent="0.3">
      <c r="A23" s="51">
        <v>43619</v>
      </c>
      <c r="B23" s="52">
        <v>79</v>
      </c>
      <c r="C23" s="53">
        <v>1.4999999999999999E-2</v>
      </c>
      <c r="D23" s="52">
        <v>106</v>
      </c>
      <c r="E23" s="53">
        <v>6.0000000000000001E-3</v>
      </c>
      <c r="F23" s="54">
        <v>12103</v>
      </c>
      <c r="G23" s="53">
        <v>4.0000000000000001E-3</v>
      </c>
      <c r="H23" s="53">
        <v>0.13100000000000001</v>
      </c>
      <c r="I23" s="54">
        <v>11997220</v>
      </c>
      <c r="J23" s="52" t="s">
        <v>8033</v>
      </c>
      <c r="K23" s="54">
        <v>1582</v>
      </c>
      <c r="L23" s="52" t="s">
        <v>8034</v>
      </c>
      <c r="M23" s="54">
        <v>553034900</v>
      </c>
      <c r="N23" s="54">
        <v>66981</v>
      </c>
      <c r="O23" s="52">
        <v>8</v>
      </c>
    </row>
    <row r="24" spans="1:15" ht="27" x14ac:dyDescent="0.3">
      <c r="A24" s="51">
        <v>43620</v>
      </c>
      <c r="B24" s="52">
        <v>82</v>
      </c>
      <c r="C24" s="53">
        <v>1.4999999999999999E-2</v>
      </c>
      <c r="D24" s="52">
        <v>111</v>
      </c>
      <c r="E24" s="53">
        <v>6.0000000000000001E-3</v>
      </c>
      <c r="F24" s="54">
        <v>12936</v>
      </c>
      <c r="G24" s="53">
        <v>5.0000000000000001E-3</v>
      </c>
      <c r="H24" s="53">
        <v>0.14000000000000001</v>
      </c>
      <c r="I24" s="54">
        <v>13484230</v>
      </c>
      <c r="J24" s="52" t="s">
        <v>8035</v>
      </c>
      <c r="K24" s="54">
        <v>1810</v>
      </c>
      <c r="L24" s="52" t="s">
        <v>8036</v>
      </c>
      <c r="M24" s="54">
        <v>566519130</v>
      </c>
      <c r="N24" s="54">
        <v>68791</v>
      </c>
      <c r="O24" s="52">
        <v>9</v>
      </c>
    </row>
    <row r="25" spans="1:15" ht="27" x14ac:dyDescent="0.3">
      <c r="A25" s="51">
        <v>43621</v>
      </c>
      <c r="B25" s="52">
        <v>64</v>
      </c>
      <c r="C25" s="53">
        <v>1.0999999999999999E-2</v>
      </c>
      <c r="D25" s="52">
        <v>82</v>
      </c>
      <c r="E25" s="53">
        <v>5.0000000000000001E-3</v>
      </c>
      <c r="F25" s="54">
        <v>10072</v>
      </c>
      <c r="G25" s="53">
        <v>4.0000000000000001E-3</v>
      </c>
      <c r="H25" s="53">
        <v>0.112</v>
      </c>
      <c r="I25" s="54">
        <v>8147250</v>
      </c>
      <c r="J25" s="52" t="s">
        <v>8037</v>
      </c>
      <c r="K25" s="54">
        <v>1128</v>
      </c>
      <c r="L25" s="52" t="s">
        <v>8038</v>
      </c>
      <c r="M25" s="54">
        <v>574666380</v>
      </c>
      <c r="N25" s="54">
        <v>69919</v>
      </c>
      <c r="O25" s="52">
        <v>11</v>
      </c>
    </row>
    <row r="26" spans="1:15" ht="27" x14ac:dyDescent="0.3">
      <c r="A26" s="51">
        <v>43622</v>
      </c>
      <c r="B26" s="52">
        <v>31</v>
      </c>
      <c r="C26" s="53">
        <v>5.0000000000000001E-3</v>
      </c>
      <c r="D26" s="52">
        <v>42</v>
      </c>
      <c r="E26" s="53">
        <v>2E-3</v>
      </c>
      <c r="F26" s="54">
        <v>4563</v>
      </c>
      <c r="G26" s="53">
        <v>2E-3</v>
      </c>
      <c r="H26" s="53">
        <v>0.44400000000000001</v>
      </c>
      <c r="I26" s="54">
        <v>16981360</v>
      </c>
      <c r="J26" s="52" t="s">
        <v>8039</v>
      </c>
      <c r="K26" s="54">
        <v>2027</v>
      </c>
      <c r="L26" s="52" t="s">
        <v>8040</v>
      </c>
      <c r="M26" s="54">
        <v>591647740</v>
      </c>
      <c r="N26" s="54">
        <v>71946</v>
      </c>
      <c r="O26" s="52">
        <v>13</v>
      </c>
    </row>
    <row r="27" spans="1:15" ht="27" x14ac:dyDescent="0.3">
      <c r="A27" s="51">
        <v>43623</v>
      </c>
      <c r="B27" s="52">
        <v>42</v>
      </c>
      <c r="C27" s="53">
        <v>7.0000000000000001E-3</v>
      </c>
      <c r="D27" s="52">
        <v>55</v>
      </c>
      <c r="E27" s="53">
        <v>3.0000000000000001E-3</v>
      </c>
      <c r="F27" s="54">
        <v>5797</v>
      </c>
      <c r="G27" s="53">
        <v>2E-3</v>
      </c>
      <c r="H27" s="53">
        <v>0.22600000000000001</v>
      </c>
      <c r="I27" s="54">
        <v>9732700</v>
      </c>
      <c r="J27" s="52" t="s">
        <v>8041</v>
      </c>
      <c r="K27" s="54">
        <v>1309</v>
      </c>
      <c r="L27" s="52" t="s">
        <v>8042</v>
      </c>
      <c r="M27" s="54">
        <v>601380440</v>
      </c>
      <c r="N27" s="54">
        <v>73255</v>
      </c>
      <c r="O27" s="52">
        <v>12</v>
      </c>
    </row>
    <row r="28" spans="1:15" ht="27" x14ac:dyDescent="0.3">
      <c r="A28" s="51">
        <v>43624</v>
      </c>
      <c r="B28" s="52">
        <v>32</v>
      </c>
      <c r="C28" s="53">
        <v>5.0000000000000001E-3</v>
      </c>
      <c r="D28" s="52">
        <v>43</v>
      </c>
      <c r="E28" s="53">
        <v>2E-3</v>
      </c>
      <c r="F28" s="54">
        <v>4417</v>
      </c>
      <c r="G28" s="53">
        <v>1E-3</v>
      </c>
      <c r="H28" s="53">
        <v>0.24199999999999999</v>
      </c>
      <c r="I28" s="54">
        <v>8840660</v>
      </c>
      <c r="J28" s="52" t="s">
        <v>8043</v>
      </c>
      <c r="K28" s="54">
        <v>1071</v>
      </c>
      <c r="L28" s="52" t="s">
        <v>8044</v>
      </c>
      <c r="M28" s="54">
        <v>610221100</v>
      </c>
      <c r="N28" s="54">
        <v>74326</v>
      </c>
      <c r="O28" s="52">
        <v>13</v>
      </c>
    </row>
    <row r="29" spans="1:15" ht="27" x14ac:dyDescent="0.3">
      <c r="A29" s="51">
        <v>43625</v>
      </c>
      <c r="B29" s="52">
        <v>33</v>
      </c>
      <c r="C29" s="53">
        <v>6.0000000000000001E-3</v>
      </c>
      <c r="D29" s="52">
        <v>43</v>
      </c>
      <c r="E29" s="53">
        <v>2E-3</v>
      </c>
      <c r="F29" s="54">
        <v>4328</v>
      </c>
      <c r="G29" s="53">
        <v>1E-3</v>
      </c>
      <c r="H29" s="53">
        <v>0.372</v>
      </c>
      <c r="I29" s="54">
        <v>13287300</v>
      </c>
      <c r="J29" s="52" t="s">
        <v>8045</v>
      </c>
      <c r="K29" s="54">
        <v>1611</v>
      </c>
      <c r="L29" s="52" t="s">
        <v>8046</v>
      </c>
      <c r="M29" s="54">
        <v>623508400</v>
      </c>
      <c r="N29" s="54">
        <v>75937</v>
      </c>
      <c r="O29" s="52">
        <v>11</v>
      </c>
    </row>
    <row r="30" spans="1:15" ht="27" x14ac:dyDescent="0.3">
      <c r="A30" s="51">
        <v>43626</v>
      </c>
      <c r="B30" s="52">
        <v>45</v>
      </c>
      <c r="C30" s="53">
        <v>8.9999999999999993E-3</v>
      </c>
      <c r="D30" s="52">
        <v>58</v>
      </c>
      <c r="E30" s="53">
        <v>3.0000000000000001E-3</v>
      </c>
      <c r="F30" s="54">
        <v>6282</v>
      </c>
      <c r="G30" s="53">
        <v>2E-3</v>
      </c>
      <c r="H30" s="53">
        <v>0.152</v>
      </c>
      <c r="I30" s="54">
        <v>7143650</v>
      </c>
      <c r="J30" s="52" t="s">
        <v>8047</v>
      </c>
      <c r="K30" s="52">
        <v>952</v>
      </c>
      <c r="L30" s="52" t="s">
        <v>8048</v>
      </c>
      <c r="M30" s="54">
        <v>630652050</v>
      </c>
      <c r="N30" s="54">
        <v>76889</v>
      </c>
      <c r="O30" s="52">
        <v>11</v>
      </c>
    </row>
    <row r="31" spans="1:15" ht="27" x14ac:dyDescent="0.3">
      <c r="A31" s="51">
        <v>43627</v>
      </c>
      <c r="B31" s="52">
        <v>45</v>
      </c>
      <c r="C31" s="53">
        <v>8.9999999999999993E-3</v>
      </c>
      <c r="D31" s="52">
        <v>62</v>
      </c>
      <c r="E31" s="53">
        <v>4.0000000000000001E-3</v>
      </c>
      <c r="F31" s="54">
        <v>7048</v>
      </c>
      <c r="G31" s="53">
        <v>3.0000000000000001E-3</v>
      </c>
      <c r="H31" s="53">
        <v>0.13400000000000001</v>
      </c>
      <c r="I31" s="54">
        <v>7402700</v>
      </c>
      <c r="J31" s="52" t="s">
        <v>8049</v>
      </c>
      <c r="K31" s="52">
        <v>946</v>
      </c>
      <c r="L31" s="52" t="s">
        <v>8050</v>
      </c>
      <c r="M31" s="54">
        <v>638054750</v>
      </c>
      <c r="N31" s="54">
        <v>77835</v>
      </c>
      <c r="O31" s="52">
        <v>12</v>
      </c>
    </row>
    <row r="32" spans="1:15" ht="27" x14ac:dyDescent="0.3">
      <c r="A32" s="51">
        <v>43628</v>
      </c>
      <c r="B32" s="52">
        <v>39</v>
      </c>
      <c r="C32" s="53">
        <v>8.0000000000000002E-3</v>
      </c>
      <c r="D32" s="52">
        <v>57</v>
      </c>
      <c r="E32" s="53">
        <v>3.0000000000000001E-3</v>
      </c>
      <c r="F32" s="54">
        <v>6195</v>
      </c>
      <c r="G32" s="53">
        <v>2E-3</v>
      </c>
      <c r="H32" s="53">
        <v>0.188</v>
      </c>
      <c r="I32" s="54">
        <v>8709800</v>
      </c>
      <c r="J32" s="52" t="s">
        <v>8051</v>
      </c>
      <c r="K32" s="54">
        <v>1165</v>
      </c>
      <c r="L32" s="52" t="s">
        <v>8052</v>
      </c>
      <c r="M32" s="54">
        <v>646764550</v>
      </c>
      <c r="N32" s="54">
        <v>79000</v>
      </c>
      <c r="O32" s="52">
        <v>9</v>
      </c>
    </row>
    <row r="33" spans="1:15" ht="27" x14ac:dyDescent="0.3">
      <c r="A33" s="51">
        <v>43629</v>
      </c>
      <c r="B33" s="52">
        <v>27</v>
      </c>
      <c r="C33" s="53">
        <v>5.0000000000000001E-3</v>
      </c>
      <c r="D33" s="52">
        <v>38</v>
      </c>
      <c r="E33" s="53">
        <v>2E-3</v>
      </c>
      <c r="F33" s="54">
        <v>3489</v>
      </c>
      <c r="G33" s="53">
        <v>1E-3</v>
      </c>
      <c r="H33" s="53">
        <v>0.14899999999999999</v>
      </c>
      <c r="I33" s="54">
        <v>3761300</v>
      </c>
      <c r="J33" s="52" t="s">
        <v>8053</v>
      </c>
      <c r="K33" s="52">
        <v>519</v>
      </c>
      <c r="L33" s="52" t="s">
        <v>8054</v>
      </c>
      <c r="M33" s="54">
        <v>650525850</v>
      </c>
      <c r="N33" s="54">
        <v>79519</v>
      </c>
      <c r="O33" s="52">
        <v>22</v>
      </c>
    </row>
    <row r="34" spans="1:15" ht="27" x14ac:dyDescent="0.3">
      <c r="A34" s="51">
        <v>43630</v>
      </c>
      <c r="B34" s="52">
        <v>39</v>
      </c>
      <c r="C34" s="53">
        <v>7.0000000000000001E-3</v>
      </c>
      <c r="D34" s="52">
        <v>50</v>
      </c>
      <c r="E34" s="53">
        <v>3.0000000000000001E-3</v>
      </c>
      <c r="F34" s="54">
        <v>5643</v>
      </c>
      <c r="G34" s="53">
        <v>2E-3</v>
      </c>
      <c r="H34" s="53">
        <v>0.21299999999999999</v>
      </c>
      <c r="I34" s="54">
        <v>8510600</v>
      </c>
      <c r="J34" s="52" t="s">
        <v>8055</v>
      </c>
      <c r="K34" s="54">
        <v>1203</v>
      </c>
      <c r="L34" s="52" t="s">
        <v>8056</v>
      </c>
      <c r="M34" s="54">
        <v>659036450</v>
      </c>
      <c r="N34" s="54">
        <v>80722</v>
      </c>
      <c r="O34" s="52">
        <v>11</v>
      </c>
    </row>
    <row r="35" spans="1:15" ht="27" x14ac:dyDescent="0.3">
      <c r="A35" s="51">
        <v>43631</v>
      </c>
      <c r="B35" s="52">
        <v>31</v>
      </c>
      <c r="C35" s="53">
        <v>5.0000000000000001E-3</v>
      </c>
      <c r="D35" s="52">
        <v>45</v>
      </c>
      <c r="E35" s="53">
        <v>2E-3</v>
      </c>
      <c r="F35" s="54">
        <v>4352</v>
      </c>
      <c r="G35" s="53">
        <v>1E-3</v>
      </c>
      <c r="H35" s="53">
        <v>0.192</v>
      </c>
      <c r="I35" s="54">
        <v>6679060</v>
      </c>
      <c r="J35" s="52" t="s">
        <v>8057</v>
      </c>
      <c r="K35" s="52">
        <v>837</v>
      </c>
      <c r="L35" s="52" t="s">
        <v>8058</v>
      </c>
      <c r="M35" s="54">
        <v>665715510</v>
      </c>
      <c r="N35" s="54">
        <v>81559</v>
      </c>
      <c r="O35" s="52">
        <v>16</v>
      </c>
    </row>
    <row r="36" spans="1:15" ht="27" x14ac:dyDescent="0.3">
      <c r="A36" s="51">
        <v>43632</v>
      </c>
      <c r="B36" s="52">
        <v>34</v>
      </c>
      <c r="C36" s="53">
        <v>6.0000000000000001E-3</v>
      </c>
      <c r="D36" s="52">
        <v>49</v>
      </c>
      <c r="E36" s="53">
        <v>3.0000000000000001E-3</v>
      </c>
      <c r="F36" s="54">
        <v>5856</v>
      </c>
      <c r="G36" s="53">
        <v>2E-3</v>
      </c>
      <c r="H36" s="53">
        <v>0.318</v>
      </c>
      <c r="I36" s="54">
        <v>14641020</v>
      </c>
      <c r="J36" s="52" t="s">
        <v>8059</v>
      </c>
      <c r="K36" s="54">
        <v>1865</v>
      </c>
      <c r="L36" s="52" t="s">
        <v>8060</v>
      </c>
      <c r="M36" s="54">
        <v>680356530</v>
      </c>
      <c r="N36" s="54">
        <v>83424</v>
      </c>
      <c r="O36" s="52">
        <v>12</v>
      </c>
    </row>
    <row r="37" spans="1:15" ht="27" x14ac:dyDescent="0.3">
      <c r="A37" s="51">
        <v>43633</v>
      </c>
      <c r="B37" s="52">
        <v>33</v>
      </c>
      <c r="C37" s="53">
        <v>6.0000000000000001E-3</v>
      </c>
      <c r="D37" s="52">
        <v>47</v>
      </c>
      <c r="E37" s="53">
        <v>3.0000000000000001E-3</v>
      </c>
      <c r="F37" s="54">
        <v>4971</v>
      </c>
      <c r="G37" s="53">
        <v>2E-3</v>
      </c>
      <c r="H37" s="53">
        <v>0.109</v>
      </c>
      <c r="I37" s="54">
        <v>4292360</v>
      </c>
      <c r="J37" s="52" t="s">
        <v>8061</v>
      </c>
      <c r="K37" s="52">
        <v>543</v>
      </c>
      <c r="L37" s="52" t="s">
        <v>8062</v>
      </c>
      <c r="M37" s="54">
        <v>684648890</v>
      </c>
      <c r="N37" s="54">
        <v>83967</v>
      </c>
      <c r="O37" s="52">
        <v>14</v>
      </c>
    </row>
    <row r="38" spans="1:15" ht="27" x14ac:dyDescent="0.3">
      <c r="A38" s="51">
        <v>43634</v>
      </c>
      <c r="B38" s="52">
        <v>34</v>
      </c>
      <c r="C38" s="53">
        <v>6.0000000000000001E-3</v>
      </c>
      <c r="D38" s="52">
        <v>50</v>
      </c>
      <c r="E38" s="53">
        <v>3.0000000000000001E-3</v>
      </c>
      <c r="F38" s="54">
        <v>5369</v>
      </c>
      <c r="G38" s="53">
        <v>2E-3</v>
      </c>
      <c r="H38" s="53">
        <v>0.16200000000000001</v>
      </c>
      <c r="I38" s="54">
        <v>6134900</v>
      </c>
      <c r="J38" s="52" t="s">
        <v>8063</v>
      </c>
      <c r="K38" s="52">
        <v>868</v>
      </c>
      <c r="L38" s="52" t="s">
        <v>8064</v>
      </c>
      <c r="M38" s="54">
        <v>690783790</v>
      </c>
      <c r="N38" s="54">
        <v>84835</v>
      </c>
      <c r="O38" s="52">
        <v>13</v>
      </c>
    </row>
    <row r="39" spans="1:15" ht="27" x14ac:dyDescent="0.3">
      <c r="A39" s="51">
        <v>43635</v>
      </c>
      <c r="B39" s="52">
        <v>31</v>
      </c>
      <c r="C39" s="53">
        <v>6.0000000000000001E-3</v>
      </c>
      <c r="D39" s="52">
        <v>48</v>
      </c>
      <c r="E39" s="53">
        <v>3.0000000000000001E-3</v>
      </c>
      <c r="F39" s="54">
        <v>4844</v>
      </c>
      <c r="G39" s="53">
        <v>2E-3</v>
      </c>
      <c r="H39" s="53">
        <v>0.10199999999999999</v>
      </c>
      <c r="I39" s="54">
        <v>3677600</v>
      </c>
      <c r="J39" s="52" t="s">
        <v>8065</v>
      </c>
      <c r="K39" s="52">
        <v>493</v>
      </c>
      <c r="L39" s="52" t="s">
        <v>8066</v>
      </c>
      <c r="M39" s="54">
        <v>694461390</v>
      </c>
      <c r="N39" s="54">
        <v>85328</v>
      </c>
      <c r="O39" s="52">
        <v>14</v>
      </c>
    </row>
    <row r="40" spans="1:15" ht="27" x14ac:dyDescent="0.3">
      <c r="A40" s="51">
        <v>43636</v>
      </c>
      <c r="B40" s="52">
        <v>18</v>
      </c>
      <c r="C40" s="53">
        <v>3.0000000000000001E-3</v>
      </c>
      <c r="D40" s="52">
        <v>26</v>
      </c>
      <c r="E40" s="53">
        <v>1E-3</v>
      </c>
      <c r="F40" s="54">
        <v>2267</v>
      </c>
      <c r="G40" s="53">
        <v>1E-3</v>
      </c>
      <c r="H40" s="53">
        <v>0.20100000000000001</v>
      </c>
      <c r="I40" s="54">
        <v>3241500</v>
      </c>
      <c r="J40" s="52" t="s">
        <v>8067</v>
      </c>
      <c r="K40" s="52">
        <v>456</v>
      </c>
      <c r="L40" s="52" t="s">
        <v>8068</v>
      </c>
      <c r="M40" s="54">
        <v>697702890</v>
      </c>
      <c r="N40" s="54">
        <v>85784</v>
      </c>
      <c r="O40" s="52">
        <v>21</v>
      </c>
    </row>
    <row r="41" spans="1:15" ht="27" x14ac:dyDescent="0.3">
      <c r="A41" s="51">
        <v>43637</v>
      </c>
      <c r="B41" s="52">
        <v>23</v>
      </c>
      <c r="C41" s="53">
        <v>4.0000000000000001E-3</v>
      </c>
      <c r="D41" s="52">
        <v>33</v>
      </c>
      <c r="E41" s="53">
        <v>2E-3</v>
      </c>
      <c r="F41" s="54">
        <v>3360</v>
      </c>
      <c r="G41" s="53">
        <v>1E-3</v>
      </c>
      <c r="H41" s="53">
        <v>0.16600000000000001</v>
      </c>
      <c r="I41" s="54">
        <v>3941100</v>
      </c>
      <c r="J41" s="52" t="s">
        <v>8069</v>
      </c>
      <c r="K41" s="52">
        <v>557</v>
      </c>
      <c r="L41" s="52" t="s">
        <v>8070</v>
      </c>
      <c r="M41" s="54">
        <v>701643990</v>
      </c>
      <c r="N41" s="54">
        <v>86341</v>
      </c>
      <c r="O41" s="52">
        <v>16</v>
      </c>
    </row>
    <row r="42" spans="1:15" ht="27" x14ac:dyDescent="0.3">
      <c r="A42" s="51">
        <v>43638</v>
      </c>
      <c r="B42" s="52">
        <v>23</v>
      </c>
      <c r="C42" s="53">
        <v>4.0000000000000001E-3</v>
      </c>
      <c r="D42" s="52">
        <v>28</v>
      </c>
      <c r="E42" s="53">
        <v>1E-3</v>
      </c>
      <c r="F42" s="54">
        <v>2788</v>
      </c>
      <c r="G42" s="53">
        <v>1E-3</v>
      </c>
      <c r="H42" s="53">
        <v>0.23400000000000001</v>
      </c>
      <c r="I42" s="54">
        <v>5097500</v>
      </c>
      <c r="J42" s="52" t="s">
        <v>8071</v>
      </c>
      <c r="K42" s="52">
        <v>651</v>
      </c>
      <c r="L42" s="52" t="s">
        <v>8072</v>
      </c>
      <c r="M42" s="54">
        <v>706741490</v>
      </c>
      <c r="N42" s="54">
        <v>86992</v>
      </c>
      <c r="O42" s="52">
        <v>18</v>
      </c>
    </row>
    <row r="43" spans="1:15" ht="27" x14ac:dyDescent="0.3">
      <c r="A43" s="51">
        <v>43639</v>
      </c>
      <c r="B43" s="52">
        <v>26</v>
      </c>
      <c r="C43" s="53">
        <v>4.0000000000000001E-3</v>
      </c>
      <c r="D43" s="52">
        <v>32</v>
      </c>
      <c r="E43" s="53">
        <v>2E-3</v>
      </c>
      <c r="F43" s="54">
        <v>3455</v>
      </c>
      <c r="G43" s="53">
        <v>1E-3</v>
      </c>
      <c r="H43" s="53">
        <v>0.371</v>
      </c>
      <c r="I43" s="54">
        <v>9765300</v>
      </c>
      <c r="J43" s="52" t="s">
        <v>8073</v>
      </c>
      <c r="K43" s="54">
        <v>1282</v>
      </c>
      <c r="L43" s="52" t="s">
        <v>8074</v>
      </c>
      <c r="M43" s="54">
        <v>716506790</v>
      </c>
      <c r="N43" s="54">
        <v>88274</v>
      </c>
      <c r="O43" s="52">
        <v>13</v>
      </c>
    </row>
    <row r="44" spans="1:15" ht="27" x14ac:dyDescent="0.3">
      <c r="A44" s="51">
        <v>43640</v>
      </c>
      <c r="B44" s="52">
        <v>20</v>
      </c>
      <c r="C44" s="53">
        <v>4.0000000000000001E-3</v>
      </c>
      <c r="D44" s="52">
        <v>28</v>
      </c>
      <c r="E44" s="53">
        <v>2E-3</v>
      </c>
      <c r="F44" s="54">
        <v>2720</v>
      </c>
      <c r="G44" s="53">
        <v>1E-3</v>
      </c>
      <c r="H44" s="53">
        <v>0.124</v>
      </c>
      <c r="I44" s="54">
        <v>2581900</v>
      </c>
      <c r="J44" s="52" t="s">
        <v>8075</v>
      </c>
      <c r="K44" s="52">
        <v>338</v>
      </c>
      <c r="L44" s="52" t="s">
        <v>8076</v>
      </c>
      <c r="M44" s="54">
        <v>719088690</v>
      </c>
      <c r="N44" s="54">
        <v>88612</v>
      </c>
      <c r="O44" s="52">
        <v>21</v>
      </c>
    </row>
    <row r="45" spans="1:15" ht="27" x14ac:dyDescent="0.3">
      <c r="A45" s="51">
        <v>43641</v>
      </c>
      <c r="B45" s="52">
        <v>25</v>
      </c>
      <c r="C45" s="53">
        <v>4.0000000000000001E-3</v>
      </c>
      <c r="D45" s="52">
        <v>36</v>
      </c>
      <c r="E45" s="53">
        <v>2E-3</v>
      </c>
      <c r="F45" s="54">
        <v>3739</v>
      </c>
      <c r="G45" s="53">
        <v>1E-3</v>
      </c>
      <c r="H45" s="53">
        <v>0.16500000000000001</v>
      </c>
      <c r="I45" s="54">
        <v>4426180</v>
      </c>
      <c r="J45" s="52" t="s">
        <v>8077</v>
      </c>
      <c r="K45" s="52">
        <v>616</v>
      </c>
      <c r="L45" s="52" t="s">
        <v>8078</v>
      </c>
      <c r="M45" s="54">
        <v>723514870</v>
      </c>
      <c r="N45" s="54">
        <v>89228</v>
      </c>
      <c r="O45" s="52">
        <v>17</v>
      </c>
    </row>
    <row r="46" spans="1:15" ht="27" x14ac:dyDescent="0.3">
      <c r="A46" s="51">
        <v>43642</v>
      </c>
      <c r="B46" s="52">
        <v>18</v>
      </c>
      <c r="C46" s="53">
        <v>3.0000000000000001E-3</v>
      </c>
      <c r="D46" s="52">
        <v>23</v>
      </c>
      <c r="E46" s="53">
        <v>1E-3</v>
      </c>
      <c r="F46" s="54">
        <v>2722</v>
      </c>
      <c r="G46" s="53">
        <v>1E-3</v>
      </c>
      <c r="H46" s="53">
        <v>0.21099999999999999</v>
      </c>
      <c r="I46" s="54">
        <v>3767200</v>
      </c>
      <c r="J46" s="52" t="s">
        <v>8079</v>
      </c>
      <c r="K46" s="52">
        <v>573</v>
      </c>
      <c r="L46" s="52" t="s">
        <v>8080</v>
      </c>
      <c r="M46" s="54">
        <v>727282070</v>
      </c>
      <c r="N46" s="54">
        <v>89801</v>
      </c>
      <c r="O46" s="52">
        <v>18</v>
      </c>
    </row>
    <row r="47" spans="1:15" ht="27" x14ac:dyDescent="0.3">
      <c r="A47" s="51">
        <v>43643</v>
      </c>
      <c r="B47" s="52">
        <v>20</v>
      </c>
      <c r="C47" s="53">
        <v>3.0000000000000001E-3</v>
      </c>
      <c r="D47" s="52">
        <v>26</v>
      </c>
      <c r="E47" s="53">
        <v>1E-3</v>
      </c>
      <c r="F47" s="54">
        <v>3086</v>
      </c>
      <c r="G47" s="53">
        <v>1E-3</v>
      </c>
      <c r="H47" s="53">
        <v>0.253</v>
      </c>
      <c r="I47" s="54">
        <v>5717400</v>
      </c>
      <c r="J47" s="52" t="s">
        <v>8081</v>
      </c>
      <c r="K47" s="52">
        <v>782</v>
      </c>
      <c r="L47" s="52" t="s">
        <v>8082</v>
      </c>
      <c r="M47" s="54">
        <v>732999470</v>
      </c>
      <c r="N47" s="54">
        <v>90583</v>
      </c>
      <c r="O47" s="52">
        <v>19</v>
      </c>
    </row>
    <row r="48" spans="1:15" ht="27" x14ac:dyDescent="0.3">
      <c r="A48" s="51">
        <v>43644</v>
      </c>
      <c r="B48" s="52">
        <v>23</v>
      </c>
      <c r="C48" s="53">
        <v>4.0000000000000001E-3</v>
      </c>
      <c r="D48" s="52">
        <v>30</v>
      </c>
      <c r="E48" s="53">
        <v>2E-3</v>
      </c>
      <c r="F48" s="54">
        <v>3529</v>
      </c>
      <c r="G48" s="53">
        <v>1E-3</v>
      </c>
      <c r="H48" s="53">
        <v>0.251</v>
      </c>
      <c r="I48" s="54">
        <v>6155300</v>
      </c>
      <c r="J48" s="52" t="s">
        <v>8083</v>
      </c>
      <c r="K48" s="52">
        <v>886</v>
      </c>
      <c r="L48" s="52" t="s">
        <v>8084</v>
      </c>
      <c r="M48" s="54">
        <v>739154770</v>
      </c>
      <c r="N48" s="54">
        <v>91469</v>
      </c>
      <c r="O48" s="52">
        <v>14</v>
      </c>
    </row>
    <row r="49" spans="1:15" ht="27" x14ac:dyDescent="0.3">
      <c r="A49" s="51">
        <v>43645</v>
      </c>
      <c r="B49" s="52">
        <v>16</v>
      </c>
      <c r="C49" s="53">
        <v>2E-3</v>
      </c>
      <c r="D49" s="52">
        <v>24</v>
      </c>
      <c r="E49" s="53">
        <v>1E-3</v>
      </c>
      <c r="F49" s="54">
        <v>2645</v>
      </c>
      <c r="G49" s="53">
        <v>1E-3</v>
      </c>
      <c r="H49" s="53">
        <v>0.22600000000000001</v>
      </c>
      <c r="I49" s="54">
        <v>4844000</v>
      </c>
      <c r="J49" s="52" t="s">
        <v>8085</v>
      </c>
      <c r="K49" s="52">
        <v>597</v>
      </c>
      <c r="L49" s="52" t="s">
        <v>8086</v>
      </c>
      <c r="M49" s="54">
        <v>743998770</v>
      </c>
      <c r="N49" s="54">
        <v>92066</v>
      </c>
      <c r="O49" s="52">
        <v>19</v>
      </c>
    </row>
    <row r="50" spans="1:15" ht="27" x14ac:dyDescent="0.3">
      <c r="A50" s="51">
        <v>43646</v>
      </c>
      <c r="B50" s="52">
        <v>22</v>
      </c>
      <c r="C50" s="53">
        <v>3.0000000000000001E-3</v>
      </c>
      <c r="D50" s="52">
        <v>32</v>
      </c>
      <c r="E50" s="53">
        <v>2E-3</v>
      </c>
      <c r="F50" s="54">
        <v>4737</v>
      </c>
      <c r="G50" s="53">
        <v>2E-3</v>
      </c>
      <c r="H50" s="53">
        <v>0.49199999999999999</v>
      </c>
      <c r="I50" s="54">
        <v>16847880</v>
      </c>
      <c r="J50" s="52" t="s">
        <v>8087</v>
      </c>
      <c r="K50" s="54">
        <v>2331</v>
      </c>
      <c r="L50" s="52" t="s">
        <v>8088</v>
      </c>
      <c r="M50" s="54">
        <v>760846650</v>
      </c>
      <c r="N50" s="54">
        <v>94397</v>
      </c>
      <c r="O50" s="52">
        <v>14</v>
      </c>
    </row>
    <row r="51" spans="1:15" ht="27" x14ac:dyDescent="0.3">
      <c r="A51" s="51">
        <v>43647</v>
      </c>
      <c r="B51" s="52">
        <v>22</v>
      </c>
      <c r="C51" s="53">
        <v>3.0000000000000001E-3</v>
      </c>
      <c r="D51" s="52">
        <v>27</v>
      </c>
      <c r="E51" s="53">
        <v>1E-3</v>
      </c>
      <c r="F51" s="54">
        <v>3159</v>
      </c>
      <c r="G51" s="53">
        <v>1E-3</v>
      </c>
      <c r="H51" s="53">
        <v>0.13</v>
      </c>
      <c r="I51" s="54">
        <v>2817200</v>
      </c>
      <c r="J51" s="52" t="s">
        <v>8089</v>
      </c>
      <c r="K51" s="52">
        <v>411</v>
      </c>
      <c r="L51" s="52" t="s">
        <v>8090</v>
      </c>
      <c r="M51" s="54">
        <v>763663850</v>
      </c>
      <c r="N51" s="54">
        <v>94808</v>
      </c>
      <c r="O51" s="52">
        <v>19</v>
      </c>
    </row>
    <row r="52" spans="1:15" ht="27" x14ac:dyDescent="0.3">
      <c r="A52" s="51">
        <v>43648</v>
      </c>
      <c r="B52" s="52">
        <v>15</v>
      </c>
      <c r="C52" s="53">
        <v>3.0000000000000001E-3</v>
      </c>
      <c r="D52" s="52">
        <v>25</v>
      </c>
      <c r="E52" s="53">
        <v>1E-3</v>
      </c>
      <c r="F52" s="54">
        <v>2975</v>
      </c>
      <c r="G52" s="53">
        <v>1E-3</v>
      </c>
      <c r="H52" s="53">
        <v>0.14299999999999999</v>
      </c>
      <c r="I52" s="54">
        <v>3241000</v>
      </c>
      <c r="J52" s="52" t="s">
        <v>8091</v>
      </c>
      <c r="K52" s="52">
        <v>424</v>
      </c>
      <c r="L52" s="52" t="s">
        <v>8092</v>
      </c>
      <c r="M52" s="54">
        <v>766904850</v>
      </c>
      <c r="N52" s="54">
        <v>95232</v>
      </c>
      <c r="O52" s="52">
        <v>16</v>
      </c>
    </row>
    <row r="53" spans="1:15" ht="27" x14ac:dyDescent="0.3">
      <c r="A53" s="51">
        <v>43649</v>
      </c>
      <c r="B53" s="52">
        <v>16</v>
      </c>
      <c r="C53" s="53">
        <v>3.0000000000000001E-3</v>
      </c>
      <c r="D53" s="52">
        <v>24</v>
      </c>
      <c r="E53" s="53">
        <v>1E-3</v>
      </c>
      <c r="F53" s="54">
        <v>2788</v>
      </c>
      <c r="G53" s="53">
        <v>1E-3</v>
      </c>
      <c r="H53" s="53">
        <v>9.6000000000000002E-2</v>
      </c>
      <c r="I53" s="54">
        <v>1761300</v>
      </c>
      <c r="J53" s="52" t="s">
        <v>8093</v>
      </c>
      <c r="K53" s="52">
        <v>268</v>
      </c>
      <c r="L53" s="52" t="s">
        <v>8094</v>
      </c>
      <c r="M53" s="54">
        <v>768666150</v>
      </c>
      <c r="N53" s="54">
        <v>95500</v>
      </c>
      <c r="O53" s="52">
        <v>25</v>
      </c>
    </row>
    <row r="54" spans="1:15" ht="27" x14ac:dyDescent="0.3">
      <c r="A54" s="51">
        <v>43650</v>
      </c>
      <c r="B54" s="52">
        <v>15</v>
      </c>
      <c r="C54" s="53">
        <v>3.0000000000000001E-3</v>
      </c>
      <c r="D54" s="52">
        <v>22</v>
      </c>
      <c r="E54" s="53">
        <v>1E-3</v>
      </c>
      <c r="F54" s="54">
        <v>2813</v>
      </c>
      <c r="G54" s="53">
        <v>1E-3</v>
      </c>
      <c r="H54" s="53">
        <v>0.104</v>
      </c>
      <c r="I54" s="54">
        <v>1741300</v>
      </c>
      <c r="J54" s="52" t="s">
        <v>8095</v>
      </c>
      <c r="K54" s="52">
        <v>293</v>
      </c>
      <c r="L54" s="52" t="s">
        <v>8096</v>
      </c>
      <c r="M54" s="54">
        <v>770407450</v>
      </c>
      <c r="N54" s="54">
        <v>95793</v>
      </c>
      <c r="O54" s="52">
        <v>25</v>
      </c>
    </row>
    <row r="55" spans="1:15" ht="27" x14ac:dyDescent="0.3">
      <c r="A55" s="51">
        <v>43651</v>
      </c>
      <c r="B55" s="52">
        <v>12</v>
      </c>
      <c r="C55" s="53">
        <v>2E-3</v>
      </c>
      <c r="D55" s="52">
        <v>19</v>
      </c>
      <c r="E55" s="53">
        <v>1E-3</v>
      </c>
      <c r="F55" s="54">
        <v>1624</v>
      </c>
      <c r="G55" s="53">
        <v>1E-3</v>
      </c>
      <c r="H55" s="53">
        <v>0.191</v>
      </c>
      <c r="I55" s="54">
        <v>2240000</v>
      </c>
      <c r="J55" s="52" t="s">
        <v>8097</v>
      </c>
      <c r="K55" s="52">
        <v>310</v>
      </c>
      <c r="L55" s="52" t="s">
        <v>8098</v>
      </c>
      <c r="M55" s="54">
        <v>772647450</v>
      </c>
      <c r="N55" s="54">
        <v>96103</v>
      </c>
      <c r="O55" s="52">
        <v>20</v>
      </c>
    </row>
    <row r="56" spans="1:15" ht="27" x14ac:dyDescent="0.3">
      <c r="A56" s="51">
        <v>43652</v>
      </c>
      <c r="B56" s="52">
        <v>14</v>
      </c>
      <c r="C56" s="53">
        <v>2E-3</v>
      </c>
      <c r="D56" s="52">
        <v>21</v>
      </c>
      <c r="E56" s="53">
        <v>1E-3</v>
      </c>
      <c r="F56" s="54">
        <v>2263</v>
      </c>
      <c r="G56" s="53">
        <v>1E-3</v>
      </c>
      <c r="H56" s="53">
        <v>0.189</v>
      </c>
      <c r="I56" s="54">
        <v>3418700</v>
      </c>
      <c r="J56" s="52" t="s">
        <v>8099</v>
      </c>
      <c r="K56" s="52">
        <v>427</v>
      </c>
      <c r="L56" s="52" t="s">
        <v>8100</v>
      </c>
      <c r="M56" s="54">
        <v>776066150</v>
      </c>
      <c r="N56" s="54">
        <v>96530</v>
      </c>
      <c r="O56" s="52">
        <v>20</v>
      </c>
    </row>
    <row r="57" spans="1:15" ht="27" x14ac:dyDescent="0.3">
      <c r="A57" s="51">
        <v>43653</v>
      </c>
      <c r="B57" s="52">
        <v>19</v>
      </c>
      <c r="C57" s="53">
        <v>3.0000000000000001E-3</v>
      </c>
      <c r="D57" s="52">
        <v>26</v>
      </c>
      <c r="E57" s="53">
        <v>1E-3</v>
      </c>
      <c r="F57" s="54">
        <v>2814</v>
      </c>
      <c r="G57" s="53">
        <v>1E-3</v>
      </c>
      <c r="H57" s="53">
        <v>0.33800000000000002</v>
      </c>
      <c r="I57" s="54">
        <v>7505800</v>
      </c>
      <c r="J57" s="52" t="s">
        <v>8101</v>
      </c>
      <c r="K57" s="52">
        <v>952</v>
      </c>
      <c r="L57" s="52" t="s">
        <v>8102</v>
      </c>
      <c r="M57" s="54">
        <v>783571950</v>
      </c>
      <c r="N57" s="54">
        <v>97482</v>
      </c>
      <c r="O57" s="52">
        <v>14</v>
      </c>
    </row>
    <row r="58" spans="1:15" ht="27" x14ac:dyDescent="0.3">
      <c r="A58" s="51">
        <v>43654</v>
      </c>
      <c r="B58" s="52">
        <v>14</v>
      </c>
      <c r="C58" s="53">
        <v>3.0000000000000001E-3</v>
      </c>
      <c r="D58" s="52">
        <v>23</v>
      </c>
      <c r="E58" s="53">
        <v>1E-3</v>
      </c>
      <c r="F58" s="54">
        <v>2559</v>
      </c>
      <c r="G58" s="53">
        <v>1E-3</v>
      </c>
      <c r="H58" s="53">
        <v>8.2000000000000003E-2</v>
      </c>
      <c r="I58" s="54">
        <v>1548500</v>
      </c>
      <c r="J58" s="52" t="s">
        <v>8103</v>
      </c>
      <c r="K58" s="52">
        <v>211</v>
      </c>
      <c r="L58" s="52" t="s">
        <v>8104</v>
      </c>
      <c r="M58" s="54">
        <v>785120450</v>
      </c>
      <c r="N58" s="54">
        <v>97693</v>
      </c>
      <c r="O58" s="52">
        <v>28</v>
      </c>
    </row>
    <row r="59" spans="1:15" ht="27" x14ac:dyDescent="0.3">
      <c r="A59" s="51">
        <v>43655</v>
      </c>
      <c r="B59" s="52">
        <v>14</v>
      </c>
      <c r="C59" s="53">
        <v>2E-3</v>
      </c>
      <c r="D59" s="52">
        <v>20</v>
      </c>
      <c r="E59" s="53">
        <v>1E-3</v>
      </c>
      <c r="F59" s="54">
        <v>2394</v>
      </c>
      <c r="G59" s="53">
        <v>1E-3</v>
      </c>
      <c r="H59" s="53">
        <v>0.13900000000000001</v>
      </c>
      <c r="I59" s="54">
        <v>2175960</v>
      </c>
      <c r="J59" s="52" t="s">
        <v>8105</v>
      </c>
      <c r="K59" s="52">
        <v>333</v>
      </c>
      <c r="L59" s="52" t="s">
        <v>8106</v>
      </c>
      <c r="M59" s="54">
        <v>787296410</v>
      </c>
      <c r="N59" s="54">
        <v>98026</v>
      </c>
      <c r="O59" s="52">
        <v>23</v>
      </c>
    </row>
    <row r="60" spans="1:15" ht="27" x14ac:dyDescent="0.3">
      <c r="A60" s="51">
        <v>43656</v>
      </c>
      <c r="B60" s="52">
        <v>13</v>
      </c>
      <c r="C60" s="53">
        <v>2E-3</v>
      </c>
      <c r="D60" s="52">
        <v>19</v>
      </c>
      <c r="E60" s="53">
        <v>1E-3</v>
      </c>
      <c r="F60" s="54">
        <v>2456</v>
      </c>
      <c r="G60" s="53">
        <v>1E-3</v>
      </c>
      <c r="H60" s="53">
        <v>7.8E-2</v>
      </c>
      <c r="I60" s="54">
        <v>1084500</v>
      </c>
      <c r="J60" s="52" t="s">
        <v>8107</v>
      </c>
      <c r="K60" s="52">
        <v>191</v>
      </c>
      <c r="L60" s="52" t="s">
        <v>8108</v>
      </c>
      <c r="M60" s="54">
        <v>788380910</v>
      </c>
      <c r="N60" s="54">
        <v>98217</v>
      </c>
      <c r="O60" s="52">
        <v>31</v>
      </c>
    </row>
    <row r="61" spans="1:15" ht="27" x14ac:dyDescent="0.3">
      <c r="A61" s="51">
        <v>43657</v>
      </c>
      <c r="B61" s="52">
        <v>9</v>
      </c>
      <c r="C61" s="53">
        <v>2E-3</v>
      </c>
      <c r="D61" s="52">
        <v>13</v>
      </c>
      <c r="E61" s="53">
        <v>1E-3</v>
      </c>
      <c r="F61" s="54">
        <v>1281</v>
      </c>
      <c r="G61" s="53">
        <v>0</v>
      </c>
      <c r="H61" s="53">
        <v>0.13700000000000001</v>
      </c>
      <c r="I61" s="54">
        <v>1214000</v>
      </c>
      <c r="J61" s="52" t="s">
        <v>8109</v>
      </c>
      <c r="K61" s="52">
        <v>175</v>
      </c>
      <c r="L61" s="52" t="s">
        <v>8110</v>
      </c>
      <c r="M61" s="54">
        <v>789594910</v>
      </c>
      <c r="N61" s="54">
        <v>98392</v>
      </c>
      <c r="O61" s="52">
        <v>36</v>
      </c>
    </row>
    <row r="62" spans="1:15" ht="27" x14ac:dyDescent="0.3">
      <c r="A62" s="51">
        <v>43658</v>
      </c>
      <c r="B62" s="52">
        <v>13</v>
      </c>
      <c r="C62" s="53">
        <v>2E-3</v>
      </c>
      <c r="D62" s="52">
        <v>20</v>
      </c>
      <c r="E62" s="53">
        <v>1E-3</v>
      </c>
      <c r="F62" s="54">
        <v>2288</v>
      </c>
      <c r="G62" s="53">
        <v>1E-3</v>
      </c>
      <c r="H62" s="53">
        <v>0.218</v>
      </c>
      <c r="I62" s="54">
        <v>3730000</v>
      </c>
      <c r="J62" s="52" t="s">
        <v>8111</v>
      </c>
      <c r="K62" s="52">
        <v>499</v>
      </c>
      <c r="L62" s="52" t="s">
        <v>8112</v>
      </c>
      <c r="M62" s="54">
        <v>793324910</v>
      </c>
      <c r="N62" s="54">
        <v>98891</v>
      </c>
      <c r="O62" s="52">
        <v>22</v>
      </c>
    </row>
    <row r="63" spans="1:15" ht="27" x14ac:dyDescent="0.3">
      <c r="A63" s="51">
        <v>43659</v>
      </c>
      <c r="B63" s="52">
        <v>10</v>
      </c>
      <c r="C63" s="53">
        <v>2E-3</v>
      </c>
      <c r="D63" s="52">
        <v>16</v>
      </c>
      <c r="E63" s="53">
        <v>1E-3</v>
      </c>
      <c r="F63" s="54">
        <v>2023</v>
      </c>
      <c r="G63" s="53">
        <v>1E-3</v>
      </c>
      <c r="H63" s="53">
        <v>0.18</v>
      </c>
      <c r="I63" s="54">
        <v>2352000</v>
      </c>
      <c r="J63" s="52" t="s">
        <v>8113</v>
      </c>
      <c r="K63" s="52">
        <v>364</v>
      </c>
      <c r="L63" s="52" t="s">
        <v>8114</v>
      </c>
      <c r="M63" s="54">
        <v>795676910</v>
      </c>
      <c r="N63" s="54">
        <v>99255</v>
      </c>
      <c r="O63" s="52">
        <v>25</v>
      </c>
    </row>
    <row r="64" spans="1:15" ht="27" x14ac:dyDescent="0.3">
      <c r="A64" s="51">
        <v>43660</v>
      </c>
      <c r="B64" s="52">
        <v>12</v>
      </c>
      <c r="C64" s="53">
        <v>2E-3</v>
      </c>
      <c r="D64" s="52">
        <v>18</v>
      </c>
      <c r="E64" s="53">
        <v>1E-3</v>
      </c>
      <c r="F64" s="54">
        <v>2538</v>
      </c>
      <c r="G64" s="53">
        <v>1E-3</v>
      </c>
      <c r="H64" s="53">
        <v>0.25800000000000001</v>
      </c>
      <c r="I64" s="54">
        <v>4533500</v>
      </c>
      <c r="J64" s="52" t="s">
        <v>8115</v>
      </c>
      <c r="K64" s="52">
        <v>654</v>
      </c>
      <c r="L64" s="52" t="s">
        <v>8116</v>
      </c>
      <c r="M64" s="54">
        <v>800210410</v>
      </c>
      <c r="N64" s="54">
        <v>99909</v>
      </c>
      <c r="O64" s="52">
        <v>19</v>
      </c>
    </row>
    <row r="65" spans="1:15" ht="27" x14ac:dyDescent="0.3">
      <c r="A65" s="51">
        <v>43661</v>
      </c>
      <c r="B65" s="52">
        <v>9</v>
      </c>
      <c r="C65" s="53">
        <v>2E-3</v>
      </c>
      <c r="D65" s="52">
        <v>16</v>
      </c>
      <c r="E65" s="53">
        <v>1E-3</v>
      </c>
      <c r="F65" s="54">
        <v>1659</v>
      </c>
      <c r="G65" s="53">
        <v>1E-3</v>
      </c>
      <c r="H65" s="53">
        <v>0.09</v>
      </c>
      <c r="I65" s="54">
        <v>1147000</v>
      </c>
      <c r="J65" s="52" t="s">
        <v>8117</v>
      </c>
      <c r="K65" s="52">
        <v>149</v>
      </c>
      <c r="L65" s="52" t="s">
        <v>8118</v>
      </c>
      <c r="M65" s="54">
        <v>801357410</v>
      </c>
      <c r="N65" s="54">
        <v>100058</v>
      </c>
      <c r="O65" s="52">
        <v>34</v>
      </c>
    </row>
    <row r="66" spans="1:15" ht="27" x14ac:dyDescent="0.3">
      <c r="A66" s="51">
        <v>43662</v>
      </c>
      <c r="B66" s="52">
        <v>16</v>
      </c>
      <c r="C66" s="53">
        <v>3.0000000000000001E-3</v>
      </c>
      <c r="D66" s="52">
        <v>26</v>
      </c>
      <c r="E66" s="53">
        <v>1E-3</v>
      </c>
      <c r="F66" s="54">
        <v>2879</v>
      </c>
      <c r="G66" s="53">
        <v>1E-3</v>
      </c>
      <c r="H66" s="53">
        <v>0.155</v>
      </c>
      <c r="I66" s="54">
        <v>3291500</v>
      </c>
      <c r="J66" s="52" t="s">
        <v>8119</v>
      </c>
      <c r="K66" s="52">
        <v>447</v>
      </c>
      <c r="L66" s="52" t="s">
        <v>8120</v>
      </c>
      <c r="M66" s="54">
        <v>804648910</v>
      </c>
      <c r="N66" s="54">
        <v>100505</v>
      </c>
      <c r="O66" s="52">
        <v>22</v>
      </c>
    </row>
    <row r="67" spans="1:15" ht="27" x14ac:dyDescent="0.3">
      <c r="A67" s="51">
        <v>43663</v>
      </c>
      <c r="B67" s="52">
        <v>11</v>
      </c>
      <c r="C67" s="53">
        <v>2E-3</v>
      </c>
      <c r="D67" s="52">
        <v>18</v>
      </c>
      <c r="E67" s="53">
        <v>1E-3</v>
      </c>
      <c r="F67" s="54">
        <v>1445</v>
      </c>
      <c r="G67" s="53">
        <v>0</v>
      </c>
      <c r="H67" s="53">
        <v>0.113</v>
      </c>
      <c r="I67" s="54">
        <v>1132500</v>
      </c>
      <c r="J67" s="52" t="s">
        <v>8121</v>
      </c>
      <c r="K67" s="52">
        <v>163</v>
      </c>
      <c r="L67" s="52" t="s">
        <v>8122</v>
      </c>
      <c r="M67" s="54">
        <v>805781410</v>
      </c>
      <c r="N67" s="54">
        <v>100668</v>
      </c>
      <c r="O67" s="52">
        <v>36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600EE-58DC-441E-9FE1-CA2005706A75}">
  <dimension ref="A1:O35"/>
  <sheetViews>
    <sheetView workbookViewId="0">
      <selection activeCell="H7" sqref="H7"/>
    </sheetView>
  </sheetViews>
  <sheetFormatPr defaultRowHeight="16.5" x14ac:dyDescent="0.3"/>
  <sheetData>
    <row r="1" spans="1:15" ht="19.5" x14ac:dyDescent="0.3">
      <c r="A1" s="197" t="s">
        <v>8123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2" t="s">
        <v>111</v>
      </c>
      <c r="B4" s="57" t="s">
        <v>112</v>
      </c>
      <c r="C4" s="57" t="s">
        <v>113</v>
      </c>
      <c r="D4" s="57" t="s">
        <v>114</v>
      </c>
      <c r="E4" s="57" t="s">
        <v>115</v>
      </c>
      <c r="F4" s="57" t="s">
        <v>116</v>
      </c>
      <c r="G4" s="57" t="s">
        <v>117</v>
      </c>
      <c r="H4" s="57" t="s">
        <v>118</v>
      </c>
      <c r="I4" s="57" t="s">
        <v>119</v>
      </c>
      <c r="J4" s="57" t="s">
        <v>120</v>
      </c>
      <c r="K4" s="57" t="s">
        <v>121</v>
      </c>
      <c r="L4" s="57" t="s">
        <v>122</v>
      </c>
      <c r="M4" s="57" t="s">
        <v>123</v>
      </c>
      <c r="N4" s="57" t="s">
        <v>124</v>
      </c>
      <c r="O4" s="63" t="s">
        <v>125</v>
      </c>
    </row>
    <row r="5" spans="1:15" ht="27" x14ac:dyDescent="0.3">
      <c r="A5" s="58">
        <v>43586</v>
      </c>
      <c r="B5" s="59">
        <v>353</v>
      </c>
      <c r="C5" s="60">
        <v>6.8000000000000005E-2</v>
      </c>
      <c r="D5" s="59">
        <v>417</v>
      </c>
      <c r="E5" s="60">
        <v>2.5000000000000001E-2</v>
      </c>
      <c r="F5" s="61">
        <v>47454</v>
      </c>
      <c r="G5" s="60">
        <v>1.7999999999999999E-2</v>
      </c>
      <c r="H5" s="60">
        <v>0.27100000000000002</v>
      </c>
      <c r="I5" s="61">
        <v>89425540</v>
      </c>
      <c r="J5" s="59" t="s">
        <v>8124</v>
      </c>
      <c r="K5" s="61">
        <v>12842</v>
      </c>
      <c r="L5" s="59" t="s">
        <v>8125</v>
      </c>
      <c r="M5" s="61">
        <v>114354540</v>
      </c>
      <c r="N5" s="61">
        <v>15838</v>
      </c>
      <c r="O5" s="59">
        <v>4</v>
      </c>
    </row>
    <row r="6" spans="1:15" ht="27" x14ac:dyDescent="0.3">
      <c r="A6" s="58">
        <v>43587</v>
      </c>
      <c r="B6" s="59">
        <v>212</v>
      </c>
      <c r="C6" s="60">
        <v>4.3999999999999997E-2</v>
      </c>
      <c r="D6" s="59">
        <v>235</v>
      </c>
      <c r="E6" s="60">
        <v>1.4999999999999999E-2</v>
      </c>
      <c r="F6" s="61">
        <v>26421</v>
      </c>
      <c r="G6" s="60">
        <v>1.0999999999999999E-2</v>
      </c>
      <c r="H6" s="60">
        <v>0.109</v>
      </c>
      <c r="I6" s="61">
        <v>18168000</v>
      </c>
      <c r="J6" s="59" t="s">
        <v>8126</v>
      </c>
      <c r="K6" s="61">
        <v>2868</v>
      </c>
      <c r="L6" s="59" t="s">
        <v>8127</v>
      </c>
      <c r="M6" s="61">
        <v>132522540</v>
      </c>
      <c r="N6" s="61">
        <v>18706</v>
      </c>
      <c r="O6" s="59">
        <v>6</v>
      </c>
    </row>
    <row r="7" spans="1:15" ht="27" x14ac:dyDescent="0.3">
      <c r="A7" s="58">
        <v>43588</v>
      </c>
      <c r="B7" s="59">
        <v>242</v>
      </c>
      <c r="C7" s="60">
        <v>4.9000000000000002E-2</v>
      </c>
      <c r="D7" s="59">
        <v>269</v>
      </c>
      <c r="E7" s="60">
        <v>1.6E-2</v>
      </c>
      <c r="F7" s="61">
        <v>30838</v>
      </c>
      <c r="G7" s="60">
        <v>1.2E-2</v>
      </c>
      <c r="H7" s="60">
        <v>0.127</v>
      </c>
      <c r="I7" s="61">
        <v>25595850</v>
      </c>
      <c r="J7" s="59" t="s">
        <v>8128</v>
      </c>
      <c r="K7" s="61">
        <v>3924</v>
      </c>
      <c r="L7" s="59" t="s">
        <v>8129</v>
      </c>
      <c r="M7" s="61">
        <v>158118390</v>
      </c>
      <c r="N7" s="61">
        <v>22630</v>
      </c>
      <c r="O7" s="59">
        <v>4</v>
      </c>
    </row>
    <row r="8" spans="1:15" ht="27" x14ac:dyDescent="0.3">
      <c r="A8" s="58">
        <v>43589</v>
      </c>
      <c r="B8" s="59">
        <v>310</v>
      </c>
      <c r="C8" s="60">
        <v>5.5E-2</v>
      </c>
      <c r="D8" s="59">
        <v>349</v>
      </c>
      <c r="E8" s="60">
        <v>1.9E-2</v>
      </c>
      <c r="F8" s="61">
        <v>38789</v>
      </c>
      <c r="G8" s="60">
        <v>1.4E-2</v>
      </c>
      <c r="H8" s="60">
        <v>0.16600000000000001</v>
      </c>
      <c r="I8" s="61">
        <v>49157450</v>
      </c>
      <c r="J8" s="59" t="s">
        <v>8130</v>
      </c>
      <c r="K8" s="61">
        <v>6442</v>
      </c>
      <c r="L8" s="59" t="s">
        <v>8131</v>
      </c>
      <c r="M8" s="61">
        <v>207275840</v>
      </c>
      <c r="N8" s="61">
        <v>29072</v>
      </c>
      <c r="O8" s="59">
        <v>5</v>
      </c>
    </row>
    <row r="9" spans="1:15" ht="27" x14ac:dyDescent="0.3">
      <c r="A9" s="58">
        <v>43590</v>
      </c>
      <c r="B9" s="59">
        <v>331</v>
      </c>
      <c r="C9" s="60">
        <v>5.8000000000000003E-2</v>
      </c>
      <c r="D9" s="59">
        <v>381</v>
      </c>
      <c r="E9" s="60">
        <v>2.1000000000000001E-2</v>
      </c>
      <c r="F9" s="61">
        <v>42127</v>
      </c>
      <c r="G9" s="60">
        <v>1.4999999999999999E-2</v>
      </c>
      <c r="H9" s="60">
        <v>0.20100000000000001</v>
      </c>
      <c r="I9" s="61">
        <v>65921510</v>
      </c>
      <c r="J9" s="59" t="s">
        <v>8132</v>
      </c>
      <c r="K9" s="61">
        <v>8469</v>
      </c>
      <c r="L9" s="59" t="s">
        <v>8133</v>
      </c>
      <c r="M9" s="61">
        <v>273197350</v>
      </c>
      <c r="N9" s="61">
        <v>37541</v>
      </c>
      <c r="O9" s="59">
        <v>5</v>
      </c>
    </row>
    <row r="10" spans="1:15" ht="27" x14ac:dyDescent="0.3">
      <c r="A10" s="58">
        <v>43591</v>
      </c>
      <c r="B10" s="59">
        <v>310</v>
      </c>
      <c r="C10" s="60">
        <v>5.6000000000000001E-2</v>
      </c>
      <c r="D10" s="59">
        <v>343</v>
      </c>
      <c r="E10" s="60">
        <v>0.02</v>
      </c>
      <c r="F10" s="61">
        <v>37712</v>
      </c>
      <c r="G10" s="60">
        <v>1.4E-2</v>
      </c>
      <c r="H10" s="60">
        <v>0.254</v>
      </c>
      <c r="I10" s="61">
        <v>73756670</v>
      </c>
      <c r="J10" s="59" t="s">
        <v>8134</v>
      </c>
      <c r="K10" s="61">
        <v>9585</v>
      </c>
      <c r="L10" s="59" t="s">
        <v>8135</v>
      </c>
      <c r="M10" s="61">
        <v>346954020</v>
      </c>
      <c r="N10" s="61">
        <v>47126</v>
      </c>
      <c r="O10" s="59">
        <v>5</v>
      </c>
    </row>
    <row r="11" spans="1:15" ht="27" x14ac:dyDescent="0.3">
      <c r="A11" s="58">
        <v>43592</v>
      </c>
      <c r="B11" s="59">
        <v>189</v>
      </c>
      <c r="C11" s="60">
        <v>3.9E-2</v>
      </c>
      <c r="D11" s="59">
        <v>207</v>
      </c>
      <c r="E11" s="60">
        <v>1.4E-2</v>
      </c>
      <c r="F11" s="61">
        <v>24548</v>
      </c>
      <c r="G11" s="60">
        <v>1.0999999999999999E-2</v>
      </c>
      <c r="H11" s="60">
        <v>5.5E-2</v>
      </c>
      <c r="I11" s="61">
        <v>9081470</v>
      </c>
      <c r="J11" s="59" t="s">
        <v>8136</v>
      </c>
      <c r="K11" s="61">
        <v>1362</v>
      </c>
      <c r="L11" s="59" t="s">
        <v>8137</v>
      </c>
      <c r="M11" s="61">
        <v>356035490</v>
      </c>
      <c r="N11" s="61">
        <v>48488</v>
      </c>
      <c r="O11" s="59">
        <v>8</v>
      </c>
    </row>
    <row r="12" spans="1:15" ht="27" x14ac:dyDescent="0.3">
      <c r="A12" s="58">
        <v>43593</v>
      </c>
      <c r="B12" s="59">
        <v>118</v>
      </c>
      <c r="C12" s="60">
        <v>2.5999999999999999E-2</v>
      </c>
      <c r="D12" s="59">
        <v>127</v>
      </c>
      <c r="E12" s="60">
        <v>8.9999999999999993E-3</v>
      </c>
      <c r="F12" s="61">
        <v>13751</v>
      </c>
      <c r="G12" s="60">
        <v>6.0000000000000001E-3</v>
      </c>
      <c r="H12" s="60">
        <v>4.5999999999999999E-2</v>
      </c>
      <c r="I12" s="61">
        <v>4386500</v>
      </c>
      <c r="J12" s="59" t="s">
        <v>8138</v>
      </c>
      <c r="K12" s="59">
        <v>628</v>
      </c>
      <c r="L12" s="59" t="s">
        <v>8139</v>
      </c>
      <c r="M12" s="61">
        <v>360421990</v>
      </c>
      <c r="N12" s="61">
        <v>49116</v>
      </c>
      <c r="O12" s="59">
        <v>14</v>
      </c>
    </row>
    <row r="13" spans="1:15" ht="27" x14ac:dyDescent="0.3">
      <c r="A13" s="58">
        <v>43594</v>
      </c>
      <c r="B13" s="59">
        <v>18</v>
      </c>
      <c r="C13" s="60">
        <v>4.0000000000000001E-3</v>
      </c>
      <c r="D13" s="59">
        <v>20</v>
      </c>
      <c r="E13" s="60">
        <v>1E-3</v>
      </c>
      <c r="F13" s="61">
        <v>2075</v>
      </c>
      <c r="G13" s="60">
        <v>1E-3</v>
      </c>
      <c r="H13" s="60">
        <v>6.6000000000000003E-2</v>
      </c>
      <c r="I13" s="61">
        <v>820300</v>
      </c>
      <c r="J13" s="59" t="s">
        <v>8140</v>
      </c>
      <c r="K13" s="59">
        <v>137</v>
      </c>
      <c r="L13" s="59" t="s">
        <v>8141</v>
      </c>
      <c r="M13" s="61">
        <v>361242290</v>
      </c>
      <c r="N13" s="61">
        <v>49253</v>
      </c>
      <c r="O13" s="59">
        <v>38</v>
      </c>
    </row>
    <row r="14" spans="1:15" ht="27" x14ac:dyDescent="0.3">
      <c r="A14" s="58">
        <v>43595</v>
      </c>
      <c r="B14" s="59">
        <v>22</v>
      </c>
      <c r="C14" s="60">
        <v>4.0000000000000001E-3</v>
      </c>
      <c r="D14" s="59">
        <v>23</v>
      </c>
      <c r="E14" s="60">
        <v>1E-3</v>
      </c>
      <c r="F14" s="61">
        <v>2015</v>
      </c>
      <c r="G14" s="60">
        <v>1E-3</v>
      </c>
      <c r="H14" s="60">
        <v>0.10299999999999999</v>
      </c>
      <c r="I14" s="61">
        <v>1270500</v>
      </c>
      <c r="J14" s="59" t="s">
        <v>8142</v>
      </c>
      <c r="K14" s="59">
        <v>207</v>
      </c>
      <c r="L14" s="59" t="s">
        <v>8143</v>
      </c>
      <c r="M14" s="61">
        <v>362512790</v>
      </c>
      <c r="N14" s="61">
        <v>49460</v>
      </c>
      <c r="O14" s="59">
        <v>27</v>
      </c>
    </row>
    <row r="15" spans="1:15" ht="27" x14ac:dyDescent="0.3">
      <c r="A15" s="58">
        <v>43596</v>
      </c>
      <c r="B15" s="59">
        <v>44</v>
      </c>
      <c r="C15" s="60">
        <v>8.0000000000000002E-3</v>
      </c>
      <c r="D15" s="59">
        <v>48</v>
      </c>
      <c r="E15" s="60">
        <v>3.0000000000000001E-3</v>
      </c>
      <c r="F15" s="61">
        <v>3851</v>
      </c>
      <c r="G15" s="60">
        <v>1E-3</v>
      </c>
      <c r="H15" s="60">
        <v>0.193</v>
      </c>
      <c r="I15" s="61">
        <v>5183500</v>
      </c>
      <c r="J15" s="59" t="s">
        <v>8144</v>
      </c>
      <c r="K15" s="59">
        <v>744</v>
      </c>
      <c r="L15" s="59" t="s">
        <v>8145</v>
      </c>
      <c r="M15" s="61">
        <v>367696290</v>
      </c>
      <c r="N15" s="61">
        <v>50204</v>
      </c>
      <c r="O15" s="59">
        <v>14</v>
      </c>
    </row>
    <row r="16" spans="1:15" ht="27" x14ac:dyDescent="0.3">
      <c r="A16" s="58">
        <v>43597</v>
      </c>
      <c r="B16" s="59">
        <v>45</v>
      </c>
      <c r="C16" s="60">
        <v>8.0000000000000002E-3</v>
      </c>
      <c r="D16" s="59">
        <v>47</v>
      </c>
      <c r="E16" s="60">
        <v>3.0000000000000001E-3</v>
      </c>
      <c r="F16" s="61">
        <v>3502</v>
      </c>
      <c r="G16" s="60">
        <v>1E-3</v>
      </c>
      <c r="H16" s="60">
        <v>0.17499999999999999</v>
      </c>
      <c r="I16" s="61">
        <v>4356100</v>
      </c>
      <c r="J16" s="59" t="s">
        <v>8146</v>
      </c>
      <c r="K16" s="59">
        <v>612</v>
      </c>
      <c r="L16" s="59" t="s">
        <v>8147</v>
      </c>
      <c r="M16" s="61">
        <v>372052390</v>
      </c>
      <c r="N16" s="61">
        <v>50816</v>
      </c>
      <c r="O16" s="59">
        <v>15</v>
      </c>
    </row>
    <row r="17" spans="1:15" ht="27" x14ac:dyDescent="0.3">
      <c r="A17" s="58">
        <v>43598</v>
      </c>
      <c r="B17" s="59">
        <v>13</v>
      </c>
      <c r="C17" s="60">
        <v>3.0000000000000001E-3</v>
      </c>
      <c r="D17" s="59">
        <v>13</v>
      </c>
      <c r="E17" s="60">
        <v>1E-3</v>
      </c>
      <c r="F17" s="61">
        <v>1118</v>
      </c>
      <c r="G17" s="60">
        <v>0</v>
      </c>
      <c r="H17" s="60">
        <v>0.13</v>
      </c>
      <c r="I17" s="61">
        <v>799480</v>
      </c>
      <c r="J17" s="59" t="s">
        <v>8148</v>
      </c>
      <c r="K17" s="59">
        <v>145</v>
      </c>
      <c r="L17" s="59" t="s">
        <v>8149</v>
      </c>
      <c r="M17" s="61">
        <v>372851870</v>
      </c>
      <c r="N17" s="61">
        <v>50961</v>
      </c>
      <c r="O17" s="59">
        <v>32</v>
      </c>
    </row>
    <row r="18" spans="1:15" ht="27" x14ac:dyDescent="0.3">
      <c r="A18" s="58">
        <v>43599</v>
      </c>
      <c r="B18" s="59">
        <v>18</v>
      </c>
      <c r="C18" s="60">
        <v>4.0000000000000001E-3</v>
      </c>
      <c r="D18" s="59">
        <v>18</v>
      </c>
      <c r="E18" s="60">
        <v>1E-3</v>
      </c>
      <c r="F18" s="61">
        <v>1501</v>
      </c>
      <c r="G18" s="60">
        <v>1E-3</v>
      </c>
      <c r="H18" s="60">
        <v>0.11700000000000001</v>
      </c>
      <c r="I18" s="61">
        <v>1020000</v>
      </c>
      <c r="J18" s="59" t="s">
        <v>8150</v>
      </c>
      <c r="K18" s="59">
        <v>175</v>
      </c>
      <c r="L18" s="59" t="s">
        <v>8151</v>
      </c>
      <c r="M18" s="61">
        <v>373871870</v>
      </c>
      <c r="N18" s="61">
        <v>51136</v>
      </c>
      <c r="O18" s="59">
        <v>27</v>
      </c>
    </row>
    <row r="19" spans="1:15" ht="27" x14ac:dyDescent="0.3">
      <c r="A19" s="58">
        <v>43600</v>
      </c>
      <c r="B19" s="59">
        <v>7</v>
      </c>
      <c r="C19" s="60">
        <v>1E-3</v>
      </c>
      <c r="D19" s="59">
        <v>7</v>
      </c>
      <c r="E19" s="60">
        <v>0</v>
      </c>
      <c r="F19" s="59">
        <v>383</v>
      </c>
      <c r="G19" s="60">
        <v>0</v>
      </c>
      <c r="H19" s="60">
        <v>0.42</v>
      </c>
      <c r="I19" s="61">
        <v>961000</v>
      </c>
      <c r="J19" s="59" t="s">
        <v>8152</v>
      </c>
      <c r="K19" s="59">
        <v>161</v>
      </c>
      <c r="L19" s="59" t="s">
        <v>8153</v>
      </c>
      <c r="M19" s="61">
        <v>374832870</v>
      </c>
      <c r="N19" s="61">
        <v>51297</v>
      </c>
      <c r="O19" s="59">
        <v>30</v>
      </c>
    </row>
    <row r="20" spans="1:15" ht="27" x14ac:dyDescent="0.3">
      <c r="A20" s="58">
        <v>43601</v>
      </c>
      <c r="B20" s="59">
        <v>5</v>
      </c>
      <c r="C20" s="60">
        <v>1E-3</v>
      </c>
      <c r="D20" s="59">
        <v>6</v>
      </c>
      <c r="E20" s="60">
        <v>0</v>
      </c>
      <c r="F20" s="59">
        <v>340</v>
      </c>
      <c r="G20" s="60">
        <v>0</v>
      </c>
      <c r="H20" s="60">
        <v>0.44400000000000001</v>
      </c>
      <c r="I20" s="61">
        <v>914000</v>
      </c>
      <c r="J20" s="59" t="s">
        <v>8154</v>
      </c>
      <c r="K20" s="59">
        <v>151</v>
      </c>
      <c r="L20" s="59" t="s">
        <v>8155</v>
      </c>
      <c r="M20" s="61">
        <v>375746870</v>
      </c>
      <c r="N20" s="61">
        <v>51448</v>
      </c>
      <c r="O20" s="59">
        <v>43</v>
      </c>
    </row>
    <row r="21" spans="1:15" ht="27" x14ac:dyDescent="0.3">
      <c r="A21" s="58">
        <v>43602</v>
      </c>
      <c r="B21" s="59">
        <v>7</v>
      </c>
      <c r="C21" s="60">
        <v>1E-3</v>
      </c>
      <c r="D21" s="59">
        <v>7</v>
      </c>
      <c r="E21" s="60">
        <v>0</v>
      </c>
      <c r="F21" s="59">
        <v>696</v>
      </c>
      <c r="G21" s="60">
        <v>0</v>
      </c>
      <c r="H21" s="60">
        <v>0.46300000000000002</v>
      </c>
      <c r="I21" s="61">
        <v>1787000</v>
      </c>
      <c r="J21" s="59" t="s">
        <v>8156</v>
      </c>
      <c r="K21" s="59">
        <v>322</v>
      </c>
      <c r="L21" s="59" t="s">
        <v>8157</v>
      </c>
      <c r="M21" s="61">
        <v>377533870</v>
      </c>
      <c r="N21" s="61">
        <v>51770</v>
      </c>
      <c r="O21" s="59">
        <v>22</v>
      </c>
    </row>
    <row r="22" spans="1:15" ht="27" x14ac:dyDescent="0.3">
      <c r="A22" s="58">
        <v>43603</v>
      </c>
      <c r="B22" s="59">
        <v>7</v>
      </c>
      <c r="C22" s="60">
        <v>1E-3</v>
      </c>
      <c r="D22" s="59">
        <v>9</v>
      </c>
      <c r="E22" s="60">
        <v>0</v>
      </c>
      <c r="F22" s="59">
        <v>379</v>
      </c>
      <c r="G22" s="60">
        <v>0</v>
      </c>
      <c r="H22" s="60">
        <v>0.309</v>
      </c>
      <c r="I22" s="61">
        <v>769000</v>
      </c>
      <c r="J22" s="59" t="s">
        <v>8158</v>
      </c>
      <c r="K22" s="59">
        <v>117</v>
      </c>
      <c r="L22" s="59" t="s">
        <v>8159</v>
      </c>
      <c r="M22" s="61">
        <v>378302870</v>
      </c>
      <c r="N22" s="61">
        <v>51887</v>
      </c>
      <c r="O22" s="59">
        <v>42</v>
      </c>
    </row>
    <row r="23" spans="1:15" ht="27" x14ac:dyDescent="0.3">
      <c r="A23" s="58">
        <v>43604</v>
      </c>
      <c r="B23" s="59">
        <v>6</v>
      </c>
      <c r="C23" s="60">
        <v>1E-3</v>
      </c>
      <c r="D23" s="59">
        <v>8</v>
      </c>
      <c r="E23" s="60">
        <v>0</v>
      </c>
      <c r="F23" s="59">
        <v>373</v>
      </c>
      <c r="G23" s="60">
        <v>0</v>
      </c>
      <c r="H23" s="60">
        <v>0.33800000000000002</v>
      </c>
      <c r="I23" s="61">
        <v>922000</v>
      </c>
      <c r="J23" s="59" t="s">
        <v>8160</v>
      </c>
      <c r="K23" s="59">
        <v>126</v>
      </c>
      <c r="L23" s="59" t="s">
        <v>8161</v>
      </c>
      <c r="M23" s="61">
        <v>379224870</v>
      </c>
      <c r="N23" s="61">
        <v>52013</v>
      </c>
      <c r="O23" s="59">
        <v>30</v>
      </c>
    </row>
    <row r="24" spans="1:15" ht="27" x14ac:dyDescent="0.3">
      <c r="A24" s="58">
        <v>43605</v>
      </c>
      <c r="B24" s="59">
        <v>3</v>
      </c>
      <c r="C24" s="60">
        <v>1E-3</v>
      </c>
      <c r="D24" s="59">
        <v>4</v>
      </c>
      <c r="E24" s="60">
        <v>0</v>
      </c>
      <c r="F24" s="59">
        <v>220</v>
      </c>
      <c r="G24" s="60">
        <v>0</v>
      </c>
      <c r="H24" s="60">
        <v>0.186</v>
      </c>
      <c r="I24" s="61">
        <v>230000</v>
      </c>
      <c r="J24" s="59" t="s">
        <v>8162</v>
      </c>
      <c r="K24" s="59">
        <v>41</v>
      </c>
      <c r="L24" s="59" t="s">
        <v>8163</v>
      </c>
      <c r="M24" s="61">
        <v>379454870</v>
      </c>
      <c r="N24" s="61">
        <v>52054</v>
      </c>
      <c r="O24" s="59">
        <v>50</v>
      </c>
    </row>
    <row r="25" spans="1:15" ht="27" x14ac:dyDescent="0.3">
      <c r="A25" s="58">
        <v>43606</v>
      </c>
      <c r="B25" s="59">
        <v>4</v>
      </c>
      <c r="C25" s="60">
        <v>1E-3</v>
      </c>
      <c r="D25" s="59">
        <v>4</v>
      </c>
      <c r="E25" s="60">
        <v>0</v>
      </c>
      <c r="F25" s="59">
        <v>250</v>
      </c>
      <c r="G25" s="60">
        <v>0</v>
      </c>
      <c r="H25" s="60">
        <v>0.14799999999999999</v>
      </c>
      <c r="I25" s="61">
        <v>208000</v>
      </c>
      <c r="J25" s="59" t="s">
        <v>8164</v>
      </c>
      <c r="K25" s="59">
        <v>37</v>
      </c>
      <c r="L25" s="59" t="s">
        <v>8165</v>
      </c>
      <c r="M25" s="61">
        <v>379662870</v>
      </c>
      <c r="N25" s="61">
        <v>52091</v>
      </c>
      <c r="O25" s="59">
        <v>59</v>
      </c>
    </row>
    <row r="26" spans="1:15" ht="27" x14ac:dyDescent="0.3">
      <c r="A26" s="58">
        <v>43607</v>
      </c>
      <c r="B26" s="59">
        <v>6</v>
      </c>
      <c r="C26" s="60">
        <v>1E-3</v>
      </c>
      <c r="D26" s="59">
        <v>6</v>
      </c>
      <c r="E26" s="60">
        <v>0</v>
      </c>
      <c r="F26" s="59">
        <v>339</v>
      </c>
      <c r="G26" s="60">
        <v>0</v>
      </c>
      <c r="H26" s="60">
        <v>0.35399999999999998</v>
      </c>
      <c r="I26" s="61">
        <v>727000</v>
      </c>
      <c r="J26" s="59" t="s">
        <v>8166</v>
      </c>
      <c r="K26" s="59">
        <v>120</v>
      </c>
      <c r="L26" s="59" t="s">
        <v>8167</v>
      </c>
      <c r="M26" s="61">
        <v>380389870</v>
      </c>
      <c r="N26" s="61">
        <v>52211</v>
      </c>
      <c r="O26" s="59">
        <v>38</v>
      </c>
    </row>
    <row r="27" spans="1:15" ht="27" x14ac:dyDescent="0.3">
      <c r="A27" s="58">
        <v>43608</v>
      </c>
      <c r="B27" s="59">
        <v>2</v>
      </c>
      <c r="C27" s="60">
        <v>0</v>
      </c>
      <c r="D27" s="59">
        <v>2</v>
      </c>
      <c r="E27" s="60">
        <v>0</v>
      </c>
      <c r="F27" s="59">
        <v>118</v>
      </c>
      <c r="G27" s="60">
        <v>0</v>
      </c>
      <c r="H27" s="60">
        <v>0.22</v>
      </c>
      <c r="I27" s="61">
        <v>140000</v>
      </c>
      <c r="J27" s="59" t="s">
        <v>8168</v>
      </c>
      <c r="K27" s="59">
        <v>26</v>
      </c>
      <c r="L27" s="59" t="s">
        <v>8169</v>
      </c>
      <c r="M27" s="61">
        <v>380529870</v>
      </c>
      <c r="N27" s="61">
        <v>52237</v>
      </c>
      <c r="O27" s="59">
        <v>59</v>
      </c>
    </row>
    <row r="28" spans="1:15" ht="27" x14ac:dyDescent="0.3">
      <c r="A28" s="58">
        <v>43609</v>
      </c>
      <c r="B28" s="59">
        <v>2</v>
      </c>
      <c r="C28" s="60">
        <v>0</v>
      </c>
      <c r="D28" s="59">
        <v>2</v>
      </c>
      <c r="E28" s="60">
        <v>0</v>
      </c>
      <c r="F28" s="59">
        <v>169</v>
      </c>
      <c r="G28" s="60">
        <v>0</v>
      </c>
      <c r="H28" s="60">
        <v>0.46200000000000002</v>
      </c>
      <c r="I28" s="61">
        <v>488000</v>
      </c>
      <c r="J28" s="59" t="s">
        <v>8170</v>
      </c>
      <c r="K28" s="59">
        <v>78</v>
      </c>
      <c r="L28" s="59" t="s">
        <v>8171</v>
      </c>
      <c r="M28" s="61">
        <v>381017870</v>
      </c>
      <c r="N28" s="61">
        <v>52315</v>
      </c>
      <c r="O28" s="59">
        <v>47</v>
      </c>
    </row>
    <row r="29" spans="1:15" ht="27" x14ac:dyDescent="0.3">
      <c r="A29" s="58">
        <v>43611</v>
      </c>
      <c r="B29" s="59">
        <v>1</v>
      </c>
      <c r="C29" s="60">
        <v>0</v>
      </c>
      <c r="D29" s="59">
        <v>1</v>
      </c>
      <c r="E29" s="60">
        <v>0</v>
      </c>
      <c r="F29" s="59">
        <v>70</v>
      </c>
      <c r="G29" s="60">
        <v>0</v>
      </c>
      <c r="H29" s="60">
        <v>8.5999999999999993E-2</v>
      </c>
      <c r="I29" s="61">
        <v>42000</v>
      </c>
      <c r="J29" s="59" t="s">
        <v>4351</v>
      </c>
      <c r="K29" s="59">
        <v>6</v>
      </c>
      <c r="L29" s="59" t="s">
        <v>2341</v>
      </c>
      <c r="M29" s="61">
        <v>381059870</v>
      </c>
      <c r="N29" s="61">
        <v>52321</v>
      </c>
      <c r="O29" s="59">
        <v>90</v>
      </c>
    </row>
    <row r="30" spans="1:15" ht="27" x14ac:dyDescent="0.3">
      <c r="A30" s="58">
        <v>43612</v>
      </c>
      <c r="B30" s="59">
        <v>1</v>
      </c>
      <c r="C30" s="60">
        <v>0</v>
      </c>
      <c r="D30" s="59">
        <v>1</v>
      </c>
      <c r="E30" s="60">
        <v>0</v>
      </c>
      <c r="F30" s="59">
        <v>118</v>
      </c>
      <c r="G30" s="60">
        <v>0</v>
      </c>
      <c r="H30" s="60">
        <v>0.27100000000000002</v>
      </c>
      <c r="I30" s="61">
        <v>160000</v>
      </c>
      <c r="J30" s="59" t="s">
        <v>8172</v>
      </c>
      <c r="K30" s="59">
        <v>32</v>
      </c>
      <c r="L30" s="59" t="s">
        <v>8173</v>
      </c>
      <c r="M30" s="61">
        <v>381219870</v>
      </c>
      <c r="N30" s="61">
        <v>52353</v>
      </c>
      <c r="O30" s="59">
        <v>52</v>
      </c>
    </row>
    <row r="31" spans="1:15" ht="27" x14ac:dyDescent="0.3">
      <c r="A31" s="58">
        <v>43615</v>
      </c>
      <c r="B31" s="59">
        <v>1</v>
      </c>
      <c r="C31" s="60">
        <v>0</v>
      </c>
      <c r="D31" s="59">
        <v>1</v>
      </c>
      <c r="E31" s="60">
        <v>0</v>
      </c>
      <c r="F31" s="59">
        <v>31</v>
      </c>
      <c r="G31" s="60">
        <v>0</v>
      </c>
      <c r="H31" s="60">
        <v>0.96799999999999997</v>
      </c>
      <c r="I31" s="61">
        <v>180000</v>
      </c>
      <c r="J31" s="59" t="s">
        <v>8174</v>
      </c>
      <c r="K31" s="59">
        <v>30</v>
      </c>
      <c r="L31" s="59" t="s">
        <v>8175</v>
      </c>
      <c r="M31" s="61">
        <v>381399870</v>
      </c>
      <c r="N31" s="61">
        <v>52383</v>
      </c>
      <c r="O31" s="59">
        <v>62</v>
      </c>
    </row>
    <row r="32" spans="1:15" ht="27" x14ac:dyDescent="0.3">
      <c r="A32" s="58">
        <v>43616</v>
      </c>
      <c r="B32" s="59">
        <v>1</v>
      </c>
      <c r="C32" s="60">
        <v>0</v>
      </c>
      <c r="D32" s="59">
        <v>1</v>
      </c>
      <c r="E32" s="60">
        <v>0</v>
      </c>
      <c r="F32" s="59">
        <v>42</v>
      </c>
      <c r="G32" s="60">
        <v>0</v>
      </c>
      <c r="H32" s="60">
        <v>0.38100000000000001</v>
      </c>
      <c r="I32" s="61">
        <v>80000</v>
      </c>
      <c r="J32" s="59" t="s">
        <v>8176</v>
      </c>
      <c r="K32" s="59">
        <v>16</v>
      </c>
      <c r="L32" s="59" t="s">
        <v>8177</v>
      </c>
      <c r="M32" s="61">
        <v>381479870</v>
      </c>
      <c r="N32" s="61">
        <v>52399</v>
      </c>
      <c r="O32" s="59">
        <v>60</v>
      </c>
    </row>
    <row r="33" spans="1:15" ht="27" x14ac:dyDescent="0.3">
      <c r="A33" s="58">
        <v>43620</v>
      </c>
      <c r="B33" s="59">
        <v>1</v>
      </c>
      <c r="C33" s="60">
        <v>0</v>
      </c>
      <c r="D33" s="59">
        <v>1</v>
      </c>
      <c r="E33" s="60">
        <v>0</v>
      </c>
      <c r="F33" s="59">
        <v>96</v>
      </c>
      <c r="G33" s="60">
        <v>0</v>
      </c>
      <c r="H33" s="60">
        <v>0.219</v>
      </c>
      <c r="I33" s="61">
        <v>128000</v>
      </c>
      <c r="J33" s="59" t="s">
        <v>8178</v>
      </c>
      <c r="K33" s="59">
        <v>21</v>
      </c>
      <c r="L33" s="59" t="s">
        <v>1489</v>
      </c>
      <c r="M33" s="61">
        <v>381607870</v>
      </c>
      <c r="N33" s="61">
        <v>52420</v>
      </c>
      <c r="O33" s="59">
        <v>67</v>
      </c>
    </row>
    <row r="34" spans="1:15" ht="27" x14ac:dyDescent="0.3">
      <c r="A34" s="58">
        <v>43621</v>
      </c>
      <c r="B34" s="59">
        <v>1</v>
      </c>
      <c r="C34" s="60">
        <v>0</v>
      </c>
      <c r="D34" s="59">
        <v>1</v>
      </c>
      <c r="E34" s="60">
        <v>0</v>
      </c>
      <c r="F34" s="59">
        <v>55</v>
      </c>
      <c r="G34" s="60">
        <v>0</v>
      </c>
      <c r="H34" s="60">
        <v>0.89100000000000001</v>
      </c>
      <c r="I34" s="61">
        <v>248000</v>
      </c>
      <c r="J34" s="59" t="s">
        <v>8179</v>
      </c>
      <c r="K34" s="59">
        <v>49</v>
      </c>
      <c r="L34" s="59" t="s">
        <v>8180</v>
      </c>
      <c r="M34" s="61">
        <v>381855870</v>
      </c>
      <c r="N34" s="61">
        <v>52469</v>
      </c>
      <c r="O34" s="59">
        <v>60</v>
      </c>
    </row>
    <row r="35" spans="1:15" ht="27" x14ac:dyDescent="0.3">
      <c r="A35" s="58">
        <v>43628</v>
      </c>
      <c r="B35" s="59">
        <v>1</v>
      </c>
      <c r="C35" s="60">
        <v>0</v>
      </c>
      <c r="D35" s="59">
        <v>1</v>
      </c>
      <c r="E35" s="60">
        <v>0</v>
      </c>
      <c r="F35" s="59">
        <v>102</v>
      </c>
      <c r="G35" s="60">
        <v>0</v>
      </c>
      <c r="H35" s="60">
        <v>0.35299999999999998</v>
      </c>
      <c r="I35" s="61">
        <v>184000</v>
      </c>
      <c r="J35" s="59" t="s">
        <v>8181</v>
      </c>
      <c r="K35" s="59">
        <v>36</v>
      </c>
      <c r="L35" s="59" t="s">
        <v>8182</v>
      </c>
      <c r="M35" s="61">
        <v>382039870</v>
      </c>
      <c r="N35" s="61">
        <v>52505</v>
      </c>
      <c r="O35" s="59">
        <v>59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57CBC-3D1E-4441-A009-C1DC68490C39}">
  <dimension ref="A1:O54"/>
  <sheetViews>
    <sheetView workbookViewId="0">
      <selection activeCell="A5" sqref="A5:O9"/>
    </sheetView>
  </sheetViews>
  <sheetFormatPr defaultRowHeight="16.5" x14ac:dyDescent="0.3"/>
  <sheetData>
    <row r="1" spans="1:15" ht="19.5" x14ac:dyDescent="0.3">
      <c r="A1" s="197" t="s">
        <v>8183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69" t="s">
        <v>111</v>
      </c>
      <c r="B4" s="64" t="s">
        <v>112</v>
      </c>
      <c r="C4" s="64" t="s">
        <v>113</v>
      </c>
      <c r="D4" s="64" t="s">
        <v>114</v>
      </c>
      <c r="E4" s="64" t="s">
        <v>115</v>
      </c>
      <c r="F4" s="64" t="s">
        <v>116</v>
      </c>
      <c r="G4" s="64" t="s">
        <v>117</v>
      </c>
      <c r="H4" s="64" t="s">
        <v>118</v>
      </c>
      <c r="I4" s="64" t="s">
        <v>119</v>
      </c>
      <c r="J4" s="64" t="s">
        <v>120</v>
      </c>
      <c r="K4" s="64" t="s">
        <v>121</v>
      </c>
      <c r="L4" s="64" t="s">
        <v>122</v>
      </c>
      <c r="M4" s="64" t="s">
        <v>123</v>
      </c>
      <c r="N4" s="64" t="s">
        <v>124</v>
      </c>
      <c r="O4" s="70" t="s">
        <v>125</v>
      </c>
    </row>
    <row r="5" spans="1:15" ht="27" x14ac:dyDescent="0.3">
      <c r="A5" s="65">
        <v>43601</v>
      </c>
      <c r="B5" s="66">
        <v>257</v>
      </c>
      <c r="C5" s="67">
        <v>4.4999999999999998E-2</v>
      </c>
      <c r="D5" s="66">
        <v>476</v>
      </c>
      <c r="E5" s="67">
        <v>2.7E-2</v>
      </c>
      <c r="F5" s="68">
        <v>61587</v>
      </c>
      <c r="G5" s="67">
        <v>2.3E-2</v>
      </c>
      <c r="H5" s="67">
        <v>7.0000000000000007E-2</v>
      </c>
      <c r="I5" s="68">
        <v>37529150</v>
      </c>
      <c r="J5" s="66" t="s">
        <v>8184</v>
      </c>
      <c r="K5" s="68">
        <v>4335</v>
      </c>
      <c r="L5" s="66" t="s">
        <v>8185</v>
      </c>
      <c r="M5" s="68">
        <v>55920950</v>
      </c>
      <c r="N5" s="68">
        <v>6226</v>
      </c>
      <c r="O5" s="66">
        <v>7</v>
      </c>
    </row>
    <row r="6" spans="1:15" ht="27" x14ac:dyDescent="0.3">
      <c r="A6" s="65">
        <v>43602</v>
      </c>
      <c r="B6" s="66">
        <v>238</v>
      </c>
      <c r="C6" s="67">
        <v>4.1000000000000002E-2</v>
      </c>
      <c r="D6" s="66">
        <v>439</v>
      </c>
      <c r="E6" s="67">
        <v>2.4E-2</v>
      </c>
      <c r="F6" s="68">
        <v>56318</v>
      </c>
      <c r="G6" s="67">
        <v>0.02</v>
      </c>
      <c r="H6" s="67">
        <v>7.2999999999999995E-2</v>
      </c>
      <c r="I6" s="68">
        <v>39887750</v>
      </c>
      <c r="J6" s="66" t="s">
        <v>8186</v>
      </c>
      <c r="K6" s="68">
        <v>4095</v>
      </c>
      <c r="L6" s="66" t="s">
        <v>8187</v>
      </c>
      <c r="M6" s="68">
        <v>95808700</v>
      </c>
      <c r="N6" s="68">
        <v>10321</v>
      </c>
      <c r="O6" s="66">
        <v>7</v>
      </c>
    </row>
    <row r="7" spans="1:15" ht="27" x14ac:dyDescent="0.3">
      <c r="A7" s="65">
        <v>43603</v>
      </c>
      <c r="B7" s="66">
        <v>238</v>
      </c>
      <c r="C7" s="67">
        <v>3.6999999999999998E-2</v>
      </c>
      <c r="D7" s="66">
        <v>379</v>
      </c>
      <c r="E7" s="67">
        <v>0.02</v>
      </c>
      <c r="F7" s="68">
        <v>46097</v>
      </c>
      <c r="G7" s="67">
        <v>1.4999999999999999E-2</v>
      </c>
      <c r="H7" s="67">
        <v>0.11600000000000001</v>
      </c>
      <c r="I7" s="68">
        <v>51625310</v>
      </c>
      <c r="J7" s="66" t="s">
        <v>8188</v>
      </c>
      <c r="K7" s="68">
        <v>5361</v>
      </c>
      <c r="L7" s="66" t="s">
        <v>8189</v>
      </c>
      <c r="M7" s="68">
        <v>147434010</v>
      </c>
      <c r="N7" s="68">
        <v>15682</v>
      </c>
      <c r="O7" s="66">
        <v>8</v>
      </c>
    </row>
    <row r="8" spans="1:15" ht="27" x14ac:dyDescent="0.3">
      <c r="A8" s="65">
        <v>43604</v>
      </c>
      <c r="B8" s="66">
        <v>231</v>
      </c>
      <c r="C8" s="67">
        <v>3.5999999999999997E-2</v>
      </c>
      <c r="D8" s="66">
        <v>337</v>
      </c>
      <c r="E8" s="67">
        <v>1.7999999999999999E-2</v>
      </c>
      <c r="F8" s="68">
        <v>41857</v>
      </c>
      <c r="G8" s="67">
        <v>1.4E-2</v>
      </c>
      <c r="H8" s="67">
        <v>9.6000000000000002E-2</v>
      </c>
      <c r="I8" s="68">
        <v>37757760</v>
      </c>
      <c r="J8" s="66" t="s">
        <v>8190</v>
      </c>
      <c r="K8" s="68">
        <v>4002</v>
      </c>
      <c r="L8" s="66" t="s">
        <v>8191</v>
      </c>
      <c r="M8" s="68">
        <v>185191770</v>
      </c>
      <c r="N8" s="68">
        <v>19684</v>
      </c>
      <c r="O8" s="66">
        <v>10</v>
      </c>
    </row>
    <row r="9" spans="1:15" ht="27" x14ac:dyDescent="0.3">
      <c r="A9" s="65">
        <v>43605</v>
      </c>
      <c r="B9" s="66">
        <v>216</v>
      </c>
      <c r="C9" s="67">
        <v>3.9E-2</v>
      </c>
      <c r="D9" s="66">
        <v>332</v>
      </c>
      <c r="E9" s="67">
        <v>1.9E-2</v>
      </c>
      <c r="F9" s="68">
        <v>41978</v>
      </c>
      <c r="G9" s="67">
        <v>1.4999999999999999E-2</v>
      </c>
      <c r="H9" s="67">
        <v>5.3999999999999999E-2</v>
      </c>
      <c r="I9" s="68">
        <v>19269640</v>
      </c>
      <c r="J9" s="66" t="s">
        <v>8192</v>
      </c>
      <c r="K9" s="68">
        <v>2277</v>
      </c>
      <c r="L9" s="66" t="s">
        <v>8193</v>
      </c>
      <c r="M9" s="68">
        <v>204461410</v>
      </c>
      <c r="N9" s="68">
        <v>21961</v>
      </c>
      <c r="O9" s="66">
        <v>9</v>
      </c>
    </row>
    <row r="10" spans="1:15" ht="27" x14ac:dyDescent="0.3">
      <c r="A10" s="65">
        <v>43606</v>
      </c>
      <c r="B10" s="66">
        <v>221</v>
      </c>
      <c r="C10" s="67">
        <v>0.04</v>
      </c>
      <c r="D10" s="66">
        <v>325</v>
      </c>
      <c r="E10" s="67">
        <v>1.9E-2</v>
      </c>
      <c r="F10" s="68">
        <v>41560</v>
      </c>
      <c r="G10" s="67">
        <v>1.4999999999999999E-2</v>
      </c>
      <c r="H10" s="67">
        <v>5.3999999999999999E-2</v>
      </c>
      <c r="I10" s="68">
        <v>19123330</v>
      </c>
      <c r="J10" s="66" t="s">
        <v>8194</v>
      </c>
      <c r="K10" s="68">
        <v>2256</v>
      </c>
      <c r="L10" s="66" t="s">
        <v>8195</v>
      </c>
      <c r="M10" s="68">
        <v>223584740</v>
      </c>
      <c r="N10" s="68">
        <v>24217</v>
      </c>
      <c r="O10" s="66">
        <v>9</v>
      </c>
    </row>
    <row r="11" spans="1:15" ht="27" x14ac:dyDescent="0.3">
      <c r="A11" s="65">
        <v>43607</v>
      </c>
      <c r="B11" s="66">
        <v>130</v>
      </c>
      <c r="C11" s="67">
        <v>2.5000000000000001E-2</v>
      </c>
      <c r="D11" s="66">
        <v>152</v>
      </c>
      <c r="E11" s="67">
        <v>8.9999999999999993E-3</v>
      </c>
      <c r="F11" s="68">
        <v>20379</v>
      </c>
      <c r="G11" s="67">
        <v>7.0000000000000001E-3</v>
      </c>
      <c r="H11" s="67">
        <v>6.8000000000000005E-2</v>
      </c>
      <c r="I11" s="68">
        <v>11611190</v>
      </c>
      <c r="J11" s="66" t="s">
        <v>8196</v>
      </c>
      <c r="K11" s="68">
        <v>1387</v>
      </c>
      <c r="L11" s="66" t="s">
        <v>8197</v>
      </c>
      <c r="M11" s="68">
        <v>235195930</v>
      </c>
      <c r="N11" s="68">
        <v>25604</v>
      </c>
      <c r="O11" s="66">
        <v>11</v>
      </c>
    </row>
    <row r="12" spans="1:15" ht="27" x14ac:dyDescent="0.3">
      <c r="A12" s="65">
        <v>43608</v>
      </c>
      <c r="B12" s="66">
        <v>32</v>
      </c>
      <c r="C12" s="67">
        <v>6.0000000000000001E-3</v>
      </c>
      <c r="D12" s="66">
        <v>36</v>
      </c>
      <c r="E12" s="67">
        <v>2E-3</v>
      </c>
      <c r="F12" s="68">
        <v>5224</v>
      </c>
      <c r="G12" s="67">
        <v>2E-3</v>
      </c>
      <c r="H12" s="67">
        <v>8.4000000000000005E-2</v>
      </c>
      <c r="I12" s="68">
        <v>3640500</v>
      </c>
      <c r="J12" s="66" t="s">
        <v>8198</v>
      </c>
      <c r="K12" s="66">
        <v>437</v>
      </c>
      <c r="L12" s="66" t="s">
        <v>8199</v>
      </c>
      <c r="M12" s="68">
        <v>238836430</v>
      </c>
      <c r="N12" s="68">
        <v>26041</v>
      </c>
      <c r="O12" s="66">
        <v>21</v>
      </c>
    </row>
    <row r="13" spans="1:15" ht="27" x14ac:dyDescent="0.3">
      <c r="A13" s="65">
        <v>43609</v>
      </c>
      <c r="B13" s="66">
        <v>33</v>
      </c>
      <c r="C13" s="67">
        <v>5.0000000000000001E-3</v>
      </c>
      <c r="D13" s="66">
        <v>37</v>
      </c>
      <c r="E13" s="67">
        <v>2E-3</v>
      </c>
      <c r="F13" s="68">
        <v>5326</v>
      </c>
      <c r="G13" s="67">
        <v>2E-3</v>
      </c>
      <c r="H13" s="67">
        <v>0.127</v>
      </c>
      <c r="I13" s="68">
        <v>6187600</v>
      </c>
      <c r="J13" s="66" t="s">
        <v>8200</v>
      </c>
      <c r="K13" s="66">
        <v>674</v>
      </c>
      <c r="L13" s="66" t="s">
        <v>8201</v>
      </c>
      <c r="M13" s="68">
        <v>245024030</v>
      </c>
      <c r="N13" s="68">
        <v>26715</v>
      </c>
      <c r="O13" s="66">
        <v>17</v>
      </c>
    </row>
    <row r="14" spans="1:15" ht="27" x14ac:dyDescent="0.3">
      <c r="A14" s="65">
        <v>43610</v>
      </c>
      <c r="B14" s="66">
        <v>33</v>
      </c>
      <c r="C14" s="67">
        <v>5.0000000000000001E-3</v>
      </c>
      <c r="D14" s="66">
        <v>37</v>
      </c>
      <c r="E14" s="67">
        <v>2E-3</v>
      </c>
      <c r="F14" s="68">
        <v>4343</v>
      </c>
      <c r="G14" s="67">
        <v>1E-3</v>
      </c>
      <c r="H14" s="67">
        <v>0.251</v>
      </c>
      <c r="I14" s="68">
        <v>10621480</v>
      </c>
      <c r="J14" s="66" t="s">
        <v>8202</v>
      </c>
      <c r="K14" s="68">
        <v>1091</v>
      </c>
      <c r="L14" s="66" t="s">
        <v>8203</v>
      </c>
      <c r="M14" s="68">
        <v>255645510</v>
      </c>
      <c r="N14" s="68">
        <v>27806</v>
      </c>
      <c r="O14" s="66">
        <v>18</v>
      </c>
    </row>
    <row r="15" spans="1:15" ht="27" x14ac:dyDescent="0.3">
      <c r="A15" s="65">
        <v>43611</v>
      </c>
      <c r="B15" s="66">
        <v>35</v>
      </c>
      <c r="C15" s="67">
        <v>5.0000000000000001E-3</v>
      </c>
      <c r="D15" s="66">
        <v>38</v>
      </c>
      <c r="E15" s="67">
        <v>2E-3</v>
      </c>
      <c r="F15" s="68">
        <v>4990</v>
      </c>
      <c r="G15" s="67">
        <v>2E-3</v>
      </c>
      <c r="H15" s="67">
        <v>0.214</v>
      </c>
      <c r="I15" s="68">
        <v>10229900</v>
      </c>
      <c r="J15" s="66" t="s">
        <v>8204</v>
      </c>
      <c r="K15" s="68">
        <v>1066</v>
      </c>
      <c r="L15" s="66" t="s">
        <v>8205</v>
      </c>
      <c r="M15" s="68">
        <v>265875410</v>
      </c>
      <c r="N15" s="68">
        <v>28872</v>
      </c>
      <c r="O15" s="66">
        <v>18</v>
      </c>
    </row>
    <row r="16" spans="1:15" ht="27" x14ac:dyDescent="0.3">
      <c r="A16" s="65">
        <v>43612</v>
      </c>
      <c r="B16" s="66">
        <v>32</v>
      </c>
      <c r="C16" s="67">
        <v>6.0000000000000001E-3</v>
      </c>
      <c r="D16" s="66">
        <v>37</v>
      </c>
      <c r="E16" s="67">
        <v>2E-3</v>
      </c>
      <c r="F16" s="68">
        <v>5124</v>
      </c>
      <c r="G16" s="67">
        <v>2E-3</v>
      </c>
      <c r="H16" s="67">
        <v>8.4000000000000005E-2</v>
      </c>
      <c r="I16" s="68">
        <v>3538080</v>
      </c>
      <c r="J16" s="66" t="s">
        <v>8206</v>
      </c>
      <c r="K16" s="66">
        <v>432</v>
      </c>
      <c r="L16" s="66" t="s">
        <v>8207</v>
      </c>
      <c r="M16" s="68">
        <v>269413490</v>
      </c>
      <c r="N16" s="68">
        <v>29304</v>
      </c>
      <c r="O16" s="66">
        <v>17</v>
      </c>
    </row>
    <row r="17" spans="1:15" ht="27" x14ac:dyDescent="0.3">
      <c r="A17" s="65">
        <v>43613</v>
      </c>
      <c r="B17" s="66">
        <v>37</v>
      </c>
      <c r="C17" s="67">
        <v>6.0000000000000001E-3</v>
      </c>
      <c r="D17" s="66">
        <v>41</v>
      </c>
      <c r="E17" s="67">
        <v>2E-3</v>
      </c>
      <c r="F17" s="68">
        <v>5555</v>
      </c>
      <c r="G17" s="67">
        <v>2E-3</v>
      </c>
      <c r="H17" s="67">
        <v>7.6999999999999999E-2</v>
      </c>
      <c r="I17" s="68">
        <v>3514700</v>
      </c>
      <c r="J17" s="66" t="s">
        <v>8208</v>
      </c>
      <c r="K17" s="66">
        <v>425</v>
      </c>
      <c r="L17" s="66" t="s">
        <v>8209</v>
      </c>
      <c r="M17" s="68">
        <v>272928190</v>
      </c>
      <c r="N17" s="68">
        <v>29729</v>
      </c>
      <c r="O17" s="66">
        <v>23</v>
      </c>
    </row>
    <row r="18" spans="1:15" ht="27" x14ac:dyDescent="0.3">
      <c r="A18" s="65">
        <v>43614</v>
      </c>
      <c r="B18" s="66">
        <v>22</v>
      </c>
      <c r="C18" s="67">
        <v>4.0000000000000001E-3</v>
      </c>
      <c r="D18" s="66">
        <v>24</v>
      </c>
      <c r="E18" s="67">
        <v>1E-3</v>
      </c>
      <c r="F18" s="68">
        <v>3769</v>
      </c>
      <c r="G18" s="67">
        <v>1E-3</v>
      </c>
      <c r="H18" s="67">
        <v>6.6000000000000003E-2</v>
      </c>
      <c r="I18" s="68">
        <v>1858980</v>
      </c>
      <c r="J18" s="66" t="s">
        <v>8210</v>
      </c>
      <c r="K18" s="66">
        <v>248</v>
      </c>
      <c r="L18" s="66" t="s">
        <v>8211</v>
      </c>
      <c r="M18" s="68">
        <v>274787170</v>
      </c>
      <c r="N18" s="68">
        <v>29977</v>
      </c>
      <c r="O18" s="66">
        <v>30</v>
      </c>
    </row>
    <row r="19" spans="1:15" ht="27" x14ac:dyDescent="0.3">
      <c r="A19" s="65">
        <v>43615</v>
      </c>
      <c r="B19" s="66">
        <v>14</v>
      </c>
      <c r="C19" s="67">
        <v>2E-3</v>
      </c>
      <c r="D19" s="66">
        <v>14</v>
      </c>
      <c r="E19" s="67">
        <v>1E-3</v>
      </c>
      <c r="F19" s="68">
        <v>1745</v>
      </c>
      <c r="G19" s="67">
        <v>1E-3</v>
      </c>
      <c r="H19" s="67">
        <v>6.9000000000000006E-2</v>
      </c>
      <c r="I19" s="68">
        <v>997500</v>
      </c>
      <c r="J19" s="66" t="s">
        <v>8212</v>
      </c>
      <c r="K19" s="66">
        <v>120</v>
      </c>
      <c r="L19" s="66" t="s">
        <v>8213</v>
      </c>
      <c r="M19" s="68">
        <v>275784670</v>
      </c>
      <c r="N19" s="68">
        <v>30097</v>
      </c>
      <c r="O19" s="66">
        <v>43</v>
      </c>
    </row>
    <row r="20" spans="1:15" ht="27" x14ac:dyDescent="0.3">
      <c r="A20" s="65">
        <v>43616</v>
      </c>
      <c r="B20" s="66">
        <v>17</v>
      </c>
      <c r="C20" s="67">
        <v>3.0000000000000001E-3</v>
      </c>
      <c r="D20" s="66">
        <v>17</v>
      </c>
      <c r="E20" s="67">
        <v>1E-3</v>
      </c>
      <c r="F20" s="68">
        <v>2080</v>
      </c>
      <c r="G20" s="67">
        <v>1E-3</v>
      </c>
      <c r="H20" s="67">
        <v>9.1999999999999998E-2</v>
      </c>
      <c r="I20" s="68">
        <v>1866115</v>
      </c>
      <c r="J20" s="66" t="s">
        <v>8214</v>
      </c>
      <c r="K20" s="66">
        <v>192</v>
      </c>
      <c r="L20" s="66" t="s">
        <v>8215</v>
      </c>
      <c r="M20" s="68">
        <v>277650785</v>
      </c>
      <c r="N20" s="68">
        <v>30289</v>
      </c>
      <c r="O20" s="66">
        <v>26</v>
      </c>
    </row>
    <row r="21" spans="1:15" ht="27" x14ac:dyDescent="0.3">
      <c r="A21" s="65">
        <v>43617</v>
      </c>
      <c r="B21" s="66">
        <v>19</v>
      </c>
      <c r="C21" s="67">
        <v>3.0000000000000001E-3</v>
      </c>
      <c r="D21" s="66">
        <v>19</v>
      </c>
      <c r="E21" s="67">
        <v>1E-3</v>
      </c>
      <c r="F21" s="68">
        <v>2201</v>
      </c>
      <c r="G21" s="67">
        <v>1E-3</v>
      </c>
      <c r="H21" s="67">
        <v>0.159</v>
      </c>
      <c r="I21" s="68">
        <v>3369100</v>
      </c>
      <c r="J21" s="66" t="s">
        <v>8216</v>
      </c>
      <c r="K21" s="66">
        <v>349</v>
      </c>
      <c r="L21" s="66" t="s">
        <v>8217</v>
      </c>
      <c r="M21" s="68">
        <v>281019885</v>
      </c>
      <c r="N21" s="68">
        <v>30638</v>
      </c>
      <c r="O21" s="66">
        <v>23</v>
      </c>
    </row>
    <row r="22" spans="1:15" ht="27" x14ac:dyDescent="0.3">
      <c r="A22" s="65">
        <v>43618</v>
      </c>
      <c r="B22" s="66">
        <v>18</v>
      </c>
      <c r="C22" s="67">
        <v>3.0000000000000001E-3</v>
      </c>
      <c r="D22" s="66">
        <v>18</v>
      </c>
      <c r="E22" s="67">
        <v>1E-3</v>
      </c>
      <c r="F22" s="68">
        <v>2345</v>
      </c>
      <c r="G22" s="67">
        <v>1E-3</v>
      </c>
      <c r="H22" s="67">
        <v>0.107</v>
      </c>
      <c r="I22" s="68">
        <v>2377580</v>
      </c>
      <c r="J22" s="66" t="s">
        <v>8218</v>
      </c>
      <c r="K22" s="66">
        <v>252</v>
      </c>
      <c r="L22" s="66" t="s">
        <v>8219</v>
      </c>
      <c r="M22" s="68">
        <v>283397465</v>
      </c>
      <c r="N22" s="68">
        <v>30890</v>
      </c>
      <c r="O22" s="66">
        <v>22</v>
      </c>
    </row>
    <row r="23" spans="1:15" ht="27" x14ac:dyDescent="0.3">
      <c r="A23" s="65">
        <v>43619</v>
      </c>
      <c r="B23" s="66">
        <v>10</v>
      </c>
      <c r="C23" s="67">
        <v>2E-3</v>
      </c>
      <c r="D23" s="66">
        <v>10</v>
      </c>
      <c r="E23" s="67">
        <v>1E-3</v>
      </c>
      <c r="F23" s="68">
        <v>1325</v>
      </c>
      <c r="G23" s="67">
        <v>0</v>
      </c>
      <c r="H23" s="67">
        <v>6.6000000000000003E-2</v>
      </c>
      <c r="I23" s="68">
        <v>692000</v>
      </c>
      <c r="J23" s="66" t="s">
        <v>8220</v>
      </c>
      <c r="K23" s="66">
        <v>87</v>
      </c>
      <c r="L23" s="66" t="s">
        <v>8221</v>
      </c>
      <c r="M23" s="68">
        <v>284089465</v>
      </c>
      <c r="N23" s="68">
        <v>30977</v>
      </c>
      <c r="O23" s="66">
        <v>39</v>
      </c>
    </row>
    <row r="24" spans="1:15" ht="27" x14ac:dyDescent="0.3">
      <c r="A24" s="65">
        <v>43620</v>
      </c>
      <c r="B24" s="66">
        <v>44</v>
      </c>
      <c r="C24" s="67">
        <v>8.0000000000000002E-3</v>
      </c>
      <c r="D24" s="66">
        <v>44</v>
      </c>
      <c r="E24" s="67">
        <v>3.0000000000000001E-3</v>
      </c>
      <c r="F24" s="68">
        <v>5340</v>
      </c>
      <c r="G24" s="67">
        <v>2E-3</v>
      </c>
      <c r="H24" s="67">
        <v>0.127</v>
      </c>
      <c r="I24" s="68">
        <v>4798500</v>
      </c>
      <c r="J24" s="66" t="s">
        <v>8222</v>
      </c>
      <c r="K24" s="66">
        <v>680</v>
      </c>
      <c r="L24" s="66" t="s">
        <v>8223</v>
      </c>
      <c r="M24" s="68">
        <v>288887965</v>
      </c>
      <c r="N24" s="68">
        <v>31657</v>
      </c>
      <c r="O24" s="66">
        <v>14</v>
      </c>
    </row>
    <row r="25" spans="1:15" ht="27" x14ac:dyDescent="0.3">
      <c r="A25" s="65">
        <v>43621</v>
      </c>
      <c r="B25" s="66">
        <v>12</v>
      </c>
      <c r="C25" s="67">
        <v>2E-3</v>
      </c>
      <c r="D25" s="66">
        <v>12</v>
      </c>
      <c r="E25" s="67">
        <v>1E-3</v>
      </c>
      <c r="F25" s="68">
        <v>1536</v>
      </c>
      <c r="G25" s="67">
        <v>1E-3</v>
      </c>
      <c r="H25" s="67">
        <v>0.24299999999999999</v>
      </c>
      <c r="I25" s="68">
        <v>3744200</v>
      </c>
      <c r="J25" s="66" t="s">
        <v>8224</v>
      </c>
      <c r="K25" s="66">
        <v>373</v>
      </c>
      <c r="L25" s="66" t="s">
        <v>8225</v>
      </c>
      <c r="M25" s="68">
        <v>292632165</v>
      </c>
      <c r="N25" s="68">
        <v>32030</v>
      </c>
      <c r="O25" s="66">
        <v>19</v>
      </c>
    </row>
    <row r="26" spans="1:15" ht="27" x14ac:dyDescent="0.3">
      <c r="A26" s="65">
        <v>43622</v>
      </c>
      <c r="B26" s="66">
        <v>4</v>
      </c>
      <c r="C26" s="67">
        <v>1E-3</v>
      </c>
      <c r="D26" s="66">
        <v>5</v>
      </c>
      <c r="E26" s="67">
        <v>0</v>
      </c>
      <c r="F26" s="66">
        <v>631</v>
      </c>
      <c r="G26" s="67">
        <v>0</v>
      </c>
      <c r="H26" s="67">
        <v>0.19700000000000001</v>
      </c>
      <c r="I26" s="68">
        <v>1573000</v>
      </c>
      <c r="J26" s="66" t="s">
        <v>8226</v>
      </c>
      <c r="K26" s="66">
        <v>124</v>
      </c>
      <c r="L26" s="66" t="s">
        <v>8227</v>
      </c>
      <c r="M26" s="68">
        <v>294205165</v>
      </c>
      <c r="N26" s="68">
        <v>32154</v>
      </c>
      <c r="O26" s="66">
        <v>40</v>
      </c>
    </row>
    <row r="27" spans="1:15" ht="27" x14ac:dyDescent="0.3">
      <c r="A27" s="65">
        <v>43623</v>
      </c>
      <c r="B27" s="66">
        <v>3</v>
      </c>
      <c r="C27" s="67">
        <v>1E-3</v>
      </c>
      <c r="D27" s="66">
        <v>3</v>
      </c>
      <c r="E27" s="67">
        <v>0</v>
      </c>
      <c r="F27" s="66">
        <v>336</v>
      </c>
      <c r="G27" s="67">
        <v>0</v>
      </c>
      <c r="H27" s="67">
        <v>8.5999999999999993E-2</v>
      </c>
      <c r="I27" s="68">
        <v>266000</v>
      </c>
      <c r="J27" s="66" t="s">
        <v>8228</v>
      </c>
      <c r="K27" s="66">
        <v>29</v>
      </c>
      <c r="L27" s="66" t="s">
        <v>8229</v>
      </c>
      <c r="M27" s="68">
        <v>294471165</v>
      </c>
      <c r="N27" s="68">
        <v>32183</v>
      </c>
      <c r="O27" s="66">
        <v>65</v>
      </c>
    </row>
    <row r="28" spans="1:15" ht="27" x14ac:dyDescent="0.3">
      <c r="A28" s="65">
        <v>43624</v>
      </c>
      <c r="B28" s="66">
        <v>4</v>
      </c>
      <c r="C28" s="67">
        <v>1E-3</v>
      </c>
      <c r="D28" s="66">
        <v>4</v>
      </c>
      <c r="E28" s="67">
        <v>0</v>
      </c>
      <c r="F28" s="66">
        <v>251</v>
      </c>
      <c r="G28" s="67">
        <v>0</v>
      </c>
      <c r="H28" s="67">
        <v>0.311</v>
      </c>
      <c r="I28" s="68">
        <v>799000</v>
      </c>
      <c r="J28" s="66" t="s">
        <v>8230</v>
      </c>
      <c r="K28" s="66">
        <v>78</v>
      </c>
      <c r="L28" s="66" t="s">
        <v>8231</v>
      </c>
      <c r="M28" s="68">
        <v>295270165</v>
      </c>
      <c r="N28" s="68">
        <v>32261</v>
      </c>
      <c r="O28" s="66">
        <v>44</v>
      </c>
    </row>
    <row r="29" spans="1:15" ht="27" x14ac:dyDescent="0.3">
      <c r="A29" s="65">
        <v>43625</v>
      </c>
      <c r="B29" s="66">
        <v>6</v>
      </c>
      <c r="C29" s="67">
        <v>1E-3</v>
      </c>
      <c r="D29" s="66">
        <v>6</v>
      </c>
      <c r="E29" s="67">
        <v>0</v>
      </c>
      <c r="F29" s="66">
        <v>617</v>
      </c>
      <c r="G29" s="67">
        <v>0</v>
      </c>
      <c r="H29" s="67">
        <v>0.19600000000000001</v>
      </c>
      <c r="I29" s="68">
        <v>1180000</v>
      </c>
      <c r="J29" s="66" t="s">
        <v>8232</v>
      </c>
      <c r="K29" s="66">
        <v>121</v>
      </c>
      <c r="L29" s="66" t="s">
        <v>8233</v>
      </c>
      <c r="M29" s="68">
        <v>296450165</v>
      </c>
      <c r="N29" s="68">
        <v>32382</v>
      </c>
      <c r="O29" s="66">
        <v>32</v>
      </c>
    </row>
    <row r="30" spans="1:15" ht="27" x14ac:dyDescent="0.3">
      <c r="A30" s="65">
        <v>43626</v>
      </c>
      <c r="B30" s="66">
        <v>5</v>
      </c>
      <c r="C30" s="67">
        <v>1E-3</v>
      </c>
      <c r="D30" s="66">
        <v>5</v>
      </c>
      <c r="E30" s="67">
        <v>0</v>
      </c>
      <c r="F30" s="66">
        <v>675</v>
      </c>
      <c r="G30" s="67">
        <v>0</v>
      </c>
      <c r="H30" s="67">
        <v>4.1000000000000002E-2</v>
      </c>
      <c r="I30" s="68">
        <v>230000</v>
      </c>
      <c r="J30" s="66" t="s">
        <v>8234</v>
      </c>
      <c r="K30" s="66">
        <v>28</v>
      </c>
      <c r="L30" s="66" t="s">
        <v>8235</v>
      </c>
      <c r="M30" s="68">
        <v>296680165</v>
      </c>
      <c r="N30" s="68">
        <v>32410</v>
      </c>
      <c r="O30" s="66">
        <v>52</v>
      </c>
    </row>
    <row r="31" spans="1:15" ht="27" x14ac:dyDescent="0.3">
      <c r="A31" s="65">
        <v>43627</v>
      </c>
      <c r="B31" s="66">
        <v>1</v>
      </c>
      <c r="C31" s="67">
        <v>0</v>
      </c>
      <c r="D31" s="66">
        <v>1</v>
      </c>
      <c r="E31" s="67">
        <v>0</v>
      </c>
      <c r="F31" s="66">
        <v>81</v>
      </c>
      <c r="G31" s="67">
        <v>0</v>
      </c>
      <c r="H31" s="67">
        <v>0.21</v>
      </c>
      <c r="I31" s="68">
        <v>147000</v>
      </c>
      <c r="J31" s="66" t="s">
        <v>8236</v>
      </c>
      <c r="K31" s="66">
        <v>17</v>
      </c>
      <c r="L31" s="66" t="s">
        <v>8237</v>
      </c>
      <c r="M31" s="68">
        <v>296827165</v>
      </c>
      <c r="N31" s="68">
        <v>32427</v>
      </c>
      <c r="O31" s="66">
        <v>75</v>
      </c>
    </row>
    <row r="32" spans="1:15" ht="27" x14ac:dyDescent="0.3">
      <c r="A32" s="65">
        <v>43628</v>
      </c>
      <c r="B32" s="66">
        <v>4</v>
      </c>
      <c r="C32" s="67">
        <v>1E-3</v>
      </c>
      <c r="D32" s="66">
        <v>4</v>
      </c>
      <c r="E32" s="67">
        <v>0</v>
      </c>
      <c r="F32" s="66">
        <v>363</v>
      </c>
      <c r="G32" s="67">
        <v>0</v>
      </c>
      <c r="H32" s="67">
        <v>0.113</v>
      </c>
      <c r="I32" s="68">
        <v>351000</v>
      </c>
      <c r="J32" s="66" t="s">
        <v>8238</v>
      </c>
      <c r="K32" s="66">
        <v>41</v>
      </c>
      <c r="L32" s="66" t="s">
        <v>8239</v>
      </c>
      <c r="M32" s="68">
        <v>297178165</v>
      </c>
      <c r="N32" s="68">
        <v>32468</v>
      </c>
      <c r="O32" s="66">
        <v>57</v>
      </c>
    </row>
    <row r="33" spans="1:15" ht="27" x14ac:dyDescent="0.3">
      <c r="A33" s="65">
        <v>43629</v>
      </c>
      <c r="B33" s="66">
        <v>1</v>
      </c>
      <c r="C33" s="67">
        <v>0</v>
      </c>
      <c r="D33" s="66">
        <v>1</v>
      </c>
      <c r="E33" s="67">
        <v>0</v>
      </c>
      <c r="F33" s="66">
        <v>52</v>
      </c>
      <c r="G33" s="67">
        <v>0</v>
      </c>
      <c r="H33" s="67">
        <v>5.8000000000000003E-2</v>
      </c>
      <c r="I33" s="68">
        <v>18000</v>
      </c>
      <c r="J33" s="66" t="s">
        <v>8240</v>
      </c>
      <c r="K33" s="66">
        <v>3</v>
      </c>
      <c r="L33" s="66" t="s">
        <v>8241</v>
      </c>
      <c r="M33" s="68">
        <v>297196165</v>
      </c>
      <c r="N33" s="68">
        <v>32471</v>
      </c>
      <c r="O33" s="66">
        <v>88</v>
      </c>
    </row>
    <row r="34" spans="1:15" ht="27" x14ac:dyDescent="0.3">
      <c r="A34" s="65">
        <v>43630</v>
      </c>
      <c r="B34" s="66">
        <v>4</v>
      </c>
      <c r="C34" s="67">
        <v>1E-3</v>
      </c>
      <c r="D34" s="66">
        <v>4</v>
      </c>
      <c r="E34" s="67">
        <v>0</v>
      </c>
      <c r="F34" s="66">
        <v>479</v>
      </c>
      <c r="G34" s="67">
        <v>0</v>
      </c>
      <c r="H34" s="67">
        <v>0.10199999999999999</v>
      </c>
      <c r="I34" s="68">
        <v>393000</v>
      </c>
      <c r="J34" s="66" t="s">
        <v>8242</v>
      </c>
      <c r="K34" s="66">
        <v>49</v>
      </c>
      <c r="L34" s="66" t="s">
        <v>8243</v>
      </c>
      <c r="M34" s="68">
        <v>297589165</v>
      </c>
      <c r="N34" s="68">
        <v>32520</v>
      </c>
      <c r="O34" s="66">
        <v>61</v>
      </c>
    </row>
    <row r="35" spans="1:15" ht="27" x14ac:dyDescent="0.3">
      <c r="A35" s="65">
        <v>43631</v>
      </c>
      <c r="B35" s="66">
        <v>3</v>
      </c>
      <c r="C35" s="67">
        <v>0</v>
      </c>
      <c r="D35" s="66">
        <v>3</v>
      </c>
      <c r="E35" s="67">
        <v>0</v>
      </c>
      <c r="F35" s="66">
        <v>367</v>
      </c>
      <c r="G35" s="67">
        <v>0</v>
      </c>
      <c r="H35" s="67">
        <v>0.14699999999999999</v>
      </c>
      <c r="I35" s="68">
        <v>545000</v>
      </c>
      <c r="J35" s="66" t="s">
        <v>8244</v>
      </c>
      <c r="K35" s="66">
        <v>54</v>
      </c>
      <c r="L35" s="66" t="s">
        <v>8245</v>
      </c>
      <c r="M35" s="68">
        <v>298134165</v>
      </c>
      <c r="N35" s="68">
        <v>32574</v>
      </c>
      <c r="O35" s="66">
        <v>50</v>
      </c>
    </row>
    <row r="36" spans="1:15" ht="27" x14ac:dyDescent="0.3">
      <c r="A36" s="65">
        <v>43632</v>
      </c>
      <c r="B36" s="66">
        <v>4</v>
      </c>
      <c r="C36" s="67">
        <v>1E-3</v>
      </c>
      <c r="D36" s="66">
        <v>4</v>
      </c>
      <c r="E36" s="67">
        <v>0</v>
      </c>
      <c r="F36" s="66">
        <v>479</v>
      </c>
      <c r="G36" s="67">
        <v>0</v>
      </c>
      <c r="H36" s="67">
        <v>0.09</v>
      </c>
      <c r="I36" s="68">
        <v>352000</v>
      </c>
      <c r="J36" s="66" t="s">
        <v>8246</v>
      </c>
      <c r="K36" s="66">
        <v>43</v>
      </c>
      <c r="L36" s="66" t="s">
        <v>8247</v>
      </c>
      <c r="M36" s="68">
        <v>298486165</v>
      </c>
      <c r="N36" s="68">
        <v>32617</v>
      </c>
      <c r="O36" s="66">
        <v>58</v>
      </c>
    </row>
    <row r="37" spans="1:15" ht="27" x14ac:dyDescent="0.3">
      <c r="A37" s="65">
        <v>43634</v>
      </c>
      <c r="B37" s="66">
        <v>3</v>
      </c>
      <c r="C37" s="67">
        <v>1E-3</v>
      </c>
      <c r="D37" s="66">
        <v>3</v>
      </c>
      <c r="E37" s="67">
        <v>0</v>
      </c>
      <c r="F37" s="66">
        <v>502</v>
      </c>
      <c r="G37" s="67">
        <v>0</v>
      </c>
      <c r="H37" s="67">
        <v>6.4000000000000001E-2</v>
      </c>
      <c r="I37" s="68">
        <v>245000</v>
      </c>
      <c r="J37" s="66" t="s">
        <v>8248</v>
      </c>
      <c r="K37" s="66">
        <v>32</v>
      </c>
      <c r="L37" s="66" t="s">
        <v>1383</v>
      </c>
      <c r="M37" s="68">
        <v>298731165</v>
      </c>
      <c r="N37" s="68">
        <v>32649</v>
      </c>
      <c r="O37" s="66">
        <v>61</v>
      </c>
    </row>
    <row r="38" spans="1:15" ht="27" x14ac:dyDescent="0.3">
      <c r="A38" s="65">
        <v>43636</v>
      </c>
      <c r="B38" s="66">
        <v>1</v>
      </c>
      <c r="C38" s="67">
        <v>0</v>
      </c>
      <c r="D38" s="66">
        <v>1</v>
      </c>
      <c r="E38" s="67">
        <v>0</v>
      </c>
      <c r="F38" s="66">
        <v>77</v>
      </c>
      <c r="G38" s="67">
        <v>0</v>
      </c>
      <c r="H38" s="67">
        <v>0.156</v>
      </c>
      <c r="I38" s="68">
        <v>106200</v>
      </c>
      <c r="J38" s="66" t="s">
        <v>8249</v>
      </c>
      <c r="K38" s="66">
        <v>12</v>
      </c>
      <c r="L38" s="66" t="s">
        <v>1393</v>
      </c>
      <c r="M38" s="68">
        <v>298837365</v>
      </c>
      <c r="N38" s="68">
        <v>32661</v>
      </c>
      <c r="O38" s="66">
        <v>72</v>
      </c>
    </row>
    <row r="39" spans="1:15" ht="27" x14ac:dyDescent="0.3">
      <c r="A39" s="65">
        <v>43637</v>
      </c>
      <c r="B39" s="66">
        <v>1</v>
      </c>
      <c r="C39" s="67">
        <v>0</v>
      </c>
      <c r="D39" s="66">
        <v>1</v>
      </c>
      <c r="E39" s="67">
        <v>0</v>
      </c>
      <c r="F39" s="66">
        <v>77</v>
      </c>
      <c r="G39" s="67">
        <v>0</v>
      </c>
      <c r="H39" s="67">
        <v>0.182</v>
      </c>
      <c r="I39" s="68">
        <v>86400</v>
      </c>
      <c r="J39" s="66" t="s">
        <v>8250</v>
      </c>
      <c r="K39" s="66">
        <v>14</v>
      </c>
      <c r="L39" s="66" t="s">
        <v>8251</v>
      </c>
      <c r="M39" s="68">
        <v>298923765</v>
      </c>
      <c r="N39" s="68">
        <v>32675</v>
      </c>
      <c r="O39" s="66">
        <v>76</v>
      </c>
    </row>
    <row r="40" spans="1:15" ht="27" x14ac:dyDescent="0.3">
      <c r="A40" s="65">
        <v>43638</v>
      </c>
      <c r="B40" s="66">
        <v>1</v>
      </c>
      <c r="C40" s="67">
        <v>0</v>
      </c>
      <c r="D40" s="66">
        <v>1</v>
      </c>
      <c r="E40" s="67">
        <v>0</v>
      </c>
      <c r="F40" s="66">
        <v>77</v>
      </c>
      <c r="G40" s="67">
        <v>0</v>
      </c>
      <c r="H40" s="67">
        <v>0.32500000000000001</v>
      </c>
      <c r="I40" s="68">
        <v>250000</v>
      </c>
      <c r="J40" s="66" t="s">
        <v>8252</v>
      </c>
      <c r="K40" s="66">
        <v>25</v>
      </c>
      <c r="L40" s="66" t="s">
        <v>8253</v>
      </c>
      <c r="M40" s="68">
        <v>299173765</v>
      </c>
      <c r="N40" s="68">
        <v>32700</v>
      </c>
      <c r="O40" s="66">
        <v>79</v>
      </c>
    </row>
    <row r="41" spans="1:15" ht="27" x14ac:dyDescent="0.3">
      <c r="A41" s="65">
        <v>43639</v>
      </c>
      <c r="B41" s="66">
        <v>3</v>
      </c>
      <c r="C41" s="67">
        <v>0</v>
      </c>
      <c r="D41" s="66">
        <v>3</v>
      </c>
      <c r="E41" s="67">
        <v>0</v>
      </c>
      <c r="F41" s="66">
        <v>266</v>
      </c>
      <c r="G41" s="67">
        <v>0</v>
      </c>
      <c r="H41" s="67">
        <v>0.109</v>
      </c>
      <c r="I41" s="68">
        <v>239000</v>
      </c>
      <c r="J41" s="66" t="s">
        <v>8254</v>
      </c>
      <c r="K41" s="66">
        <v>29</v>
      </c>
      <c r="L41" s="66" t="s">
        <v>1988</v>
      </c>
      <c r="M41" s="68">
        <v>299412765</v>
      </c>
      <c r="N41" s="68">
        <v>32729</v>
      </c>
      <c r="O41" s="66">
        <v>64</v>
      </c>
    </row>
    <row r="42" spans="1:15" ht="27" x14ac:dyDescent="0.3">
      <c r="A42" s="65">
        <v>43640</v>
      </c>
      <c r="B42" s="66">
        <v>1</v>
      </c>
      <c r="C42" s="67">
        <v>0</v>
      </c>
      <c r="D42" s="66">
        <v>1</v>
      </c>
      <c r="E42" s="67">
        <v>0</v>
      </c>
      <c r="F42" s="66">
        <v>77</v>
      </c>
      <c r="G42" s="67">
        <v>0</v>
      </c>
      <c r="H42" s="67">
        <v>0.19500000000000001</v>
      </c>
      <c r="I42" s="68">
        <v>135000</v>
      </c>
      <c r="J42" s="66" t="s">
        <v>8255</v>
      </c>
      <c r="K42" s="66">
        <v>15</v>
      </c>
      <c r="L42" s="66" t="s">
        <v>8256</v>
      </c>
      <c r="M42" s="68">
        <v>299547765</v>
      </c>
      <c r="N42" s="68">
        <v>32744</v>
      </c>
      <c r="O42" s="66">
        <v>64</v>
      </c>
    </row>
    <row r="43" spans="1:15" ht="27" x14ac:dyDescent="0.3">
      <c r="A43" s="65">
        <v>43643</v>
      </c>
      <c r="B43" s="66">
        <v>1</v>
      </c>
      <c r="C43" s="67">
        <v>0</v>
      </c>
      <c r="D43" s="66">
        <v>1</v>
      </c>
      <c r="E43" s="67">
        <v>0</v>
      </c>
      <c r="F43" s="66">
        <v>77</v>
      </c>
      <c r="G43" s="67">
        <v>0</v>
      </c>
      <c r="H43" s="67">
        <v>0.23400000000000001</v>
      </c>
      <c r="I43" s="68">
        <v>108000</v>
      </c>
      <c r="J43" s="66" t="s">
        <v>8257</v>
      </c>
      <c r="K43" s="66">
        <v>18</v>
      </c>
      <c r="L43" s="66" t="s">
        <v>2519</v>
      </c>
      <c r="M43" s="68">
        <v>299655765</v>
      </c>
      <c r="N43" s="68">
        <v>32762</v>
      </c>
      <c r="O43" s="66">
        <v>68</v>
      </c>
    </row>
    <row r="44" spans="1:15" ht="27" x14ac:dyDescent="0.3">
      <c r="A44" s="65">
        <v>43644</v>
      </c>
      <c r="B44" s="66">
        <v>1</v>
      </c>
      <c r="C44" s="67">
        <v>0</v>
      </c>
      <c r="D44" s="66">
        <v>1</v>
      </c>
      <c r="E44" s="67">
        <v>0</v>
      </c>
      <c r="F44" s="66">
        <v>77</v>
      </c>
      <c r="G44" s="67">
        <v>0</v>
      </c>
      <c r="H44" s="67">
        <v>0.26</v>
      </c>
      <c r="I44" s="68">
        <v>320000</v>
      </c>
      <c r="J44" s="66" t="s">
        <v>8258</v>
      </c>
      <c r="K44" s="66">
        <v>20</v>
      </c>
      <c r="L44" s="66" t="s">
        <v>8259</v>
      </c>
      <c r="M44" s="68">
        <v>299975765</v>
      </c>
      <c r="N44" s="68">
        <v>32782</v>
      </c>
      <c r="O44" s="66">
        <v>79</v>
      </c>
    </row>
    <row r="45" spans="1:15" ht="27" x14ac:dyDescent="0.3">
      <c r="A45" s="65">
        <v>43645</v>
      </c>
      <c r="B45" s="66">
        <v>2</v>
      </c>
      <c r="C45" s="67">
        <v>0</v>
      </c>
      <c r="D45" s="66">
        <v>2</v>
      </c>
      <c r="E45" s="67">
        <v>0</v>
      </c>
      <c r="F45" s="66">
        <v>215</v>
      </c>
      <c r="G45" s="67">
        <v>0</v>
      </c>
      <c r="H45" s="67">
        <v>0.14399999999999999</v>
      </c>
      <c r="I45" s="68">
        <v>309000</v>
      </c>
      <c r="J45" s="66" t="s">
        <v>8260</v>
      </c>
      <c r="K45" s="66">
        <v>31</v>
      </c>
      <c r="L45" s="66" t="s">
        <v>8261</v>
      </c>
      <c r="M45" s="68">
        <v>300284765</v>
      </c>
      <c r="N45" s="68">
        <v>32813</v>
      </c>
      <c r="O45" s="66">
        <v>68</v>
      </c>
    </row>
    <row r="46" spans="1:15" ht="27" x14ac:dyDescent="0.3">
      <c r="A46" s="65">
        <v>43646</v>
      </c>
      <c r="B46" s="66">
        <v>1</v>
      </c>
      <c r="C46" s="67">
        <v>0</v>
      </c>
      <c r="D46" s="66">
        <v>1</v>
      </c>
      <c r="E46" s="67">
        <v>0</v>
      </c>
      <c r="F46" s="66">
        <v>77</v>
      </c>
      <c r="G46" s="67">
        <v>0</v>
      </c>
      <c r="H46" s="67">
        <v>0.156</v>
      </c>
      <c r="I46" s="68">
        <v>119000</v>
      </c>
      <c r="J46" s="66" t="s">
        <v>8262</v>
      </c>
      <c r="K46" s="66">
        <v>12</v>
      </c>
      <c r="L46" s="66" t="s">
        <v>8263</v>
      </c>
      <c r="M46" s="68">
        <v>300403765</v>
      </c>
      <c r="N46" s="68">
        <v>32825</v>
      </c>
      <c r="O46" s="66">
        <v>77</v>
      </c>
    </row>
    <row r="47" spans="1:15" ht="27" x14ac:dyDescent="0.3">
      <c r="A47" s="65">
        <v>43649</v>
      </c>
      <c r="B47" s="66">
        <v>1</v>
      </c>
      <c r="C47" s="67">
        <v>0</v>
      </c>
      <c r="D47" s="66">
        <v>1</v>
      </c>
      <c r="E47" s="67">
        <v>0</v>
      </c>
      <c r="F47" s="66">
        <v>138</v>
      </c>
      <c r="G47" s="67">
        <v>0</v>
      </c>
      <c r="H47" s="67">
        <v>0.13800000000000001</v>
      </c>
      <c r="I47" s="68">
        <v>160000</v>
      </c>
      <c r="J47" s="66" t="s">
        <v>6271</v>
      </c>
      <c r="K47" s="66">
        <v>19</v>
      </c>
      <c r="L47" s="66" t="s">
        <v>2347</v>
      </c>
      <c r="M47" s="68">
        <v>300563765</v>
      </c>
      <c r="N47" s="68">
        <v>32844</v>
      </c>
      <c r="O47" s="66">
        <v>67</v>
      </c>
    </row>
    <row r="48" spans="1:15" ht="27" x14ac:dyDescent="0.3">
      <c r="A48" s="65">
        <v>43651</v>
      </c>
      <c r="B48" s="66">
        <v>1</v>
      </c>
      <c r="C48" s="67">
        <v>0</v>
      </c>
      <c r="D48" s="66">
        <v>1</v>
      </c>
      <c r="E48" s="67">
        <v>0</v>
      </c>
      <c r="F48" s="66">
        <v>77</v>
      </c>
      <c r="G48" s="67">
        <v>0</v>
      </c>
      <c r="H48" s="67">
        <v>0.182</v>
      </c>
      <c r="I48" s="68">
        <v>125000</v>
      </c>
      <c r="J48" s="66" t="s">
        <v>8264</v>
      </c>
      <c r="K48" s="66">
        <v>14</v>
      </c>
      <c r="L48" s="66" t="s">
        <v>8265</v>
      </c>
      <c r="M48" s="68">
        <v>300688765</v>
      </c>
      <c r="N48" s="68">
        <v>32858</v>
      </c>
      <c r="O48" s="66">
        <v>62</v>
      </c>
    </row>
    <row r="49" spans="1:15" ht="27" x14ac:dyDescent="0.3">
      <c r="A49" s="65">
        <v>43652</v>
      </c>
      <c r="B49" s="66">
        <v>2</v>
      </c>
      <c r="C49" s="67">
        <v>0</v>
      </c>
      <c r="D49" s="66">
        <v>2</v>
      </c>
      <c r="E49" s="67">
        <v>0</v>
      </c>
      <c r="F49" s="66">
        <v>215</v>
      </c>
      <c r="G49" s="67">
        <v>0</v>
      </c>
      <c r="H49" s="67">
        <v>0.107</v>
      </c>
      <c r="I49" s="68">
        <v>230000</v>
      </c>
      <c r="J49" s="66" t="s">
        <v>8266</v>
      </c>
      <c r="K49" s="66">
        <v>23</v>
      </c>
      <c r="L49" s="66" t="s">
        <v>8267</v>
      </c>
      <c r="M49" s="68">
        <v>300918765</v>
      </c>
      <c r="N49" s="68">
        <v>32881</v>
      </c>
      <c r="O49" s="66">
        <v>65</v>
      </c>
    </row>
    <row r="50" spans="1:15" ht="27" x14ac:dyDescent="0.3">
      <c r="A50" s="65">
        <v>43653</v>
      </c>
      <c r="B50" s="66">
        <v>2</v>
      </c>
      <c r="C50" s="67">
        <v>0</v>
      </c>
      <c r="D50" s="66">
        <v>2</v>
      </c>
      <c r="E50" s="67">
        <v>0</v>
      </c>
      <c r="F50" s="66">
        <v>215</v>
      </c>
      <c r="G50" s="67">
        <v>0</v>
      </c>
      <c r="H50" s="67">
        <v>0.14000000000000001</v>
      </c>
      <c r="I50" s="68">
        <v>270000</v>
      </c>
      <c r="J50" s="66" t="s">
        <v>8268</v>
      </c>
      <c r="K50" s="66">
        <v>30</v>
      </c>
      <c r="L50" s="66" t="s">
        <v>8269</v>
      </c>
      <c r="M50" s="68">
        <v>301188765</v>
      </c>
      <c r="N50" s="68">
        <v>32911</v>
      </c>
      <c r="O50" s="66">
        <v>49</v>
      </c>
    </row>
    <row r="51" spans="1:15" ht="27" x14ac:dyDescent="0.3">
      <c r="A51" s="65">
        <v>43654</v>
      </c>
      <c r="B51" s="66">
        <v>1</v>
      </c>
      <c r="C51" s="67">
        <v>0</v>
      </c>
      <c r="D51" s="66">
        <v>1</v>
      </c>
      <c r="E51" s="67">
        <v>0</v>
      </c>
      <c r="F51" s="66">
        <v>77</v>
      </c>
      <c r="G51" s="67">
        <v>0</v>
      </c>
      <c r="H51" s="67">
        <v>5.1999999999999998E-2</v>
      </c>
      <c r="I51" s="68">
        <v>36000</v>
      </c>
      <c r="J51" s="66" t="s">
        <v>8270</v>
      </c>
      <c r="K51" s="66">
        <v>4</v>
      </c>
      <c r="L51" s="66" t="s">
        <v>8271</v>
      </c>
      <c r="M51" s="68">
        <v>301224765</v>
      </c>
      <c r="N51" s="68">
        <v>32915</v>
      </c>
      <c r="O51" s="66">
        <v>67</v>
      </c>
    </row>
    <row r="52" spans="1:15" ht="27" x14ac:dyDescent="0.3">
      <c r="A52" s="65">
        <v>43656</v>
      </c>
      <c r="B52" s="66">
        <v>2</v>
      </c>
      <c r="C52" s="67">
        <v>0</v>
      </c>
      <c r="D52" s="66">
        <v>2</v>
      </c>
      <c r="E52" s="67">
        <v>0</v>
      </c>
      <c r="F52" s="66">
        <v>215</v>
      </c>
      <c r="G52" s="67">
        <v>0</v>
      </c>
      <c r="H52" s="67">
        <v>7.3999999999999996E-2</v>
      </c>
      <c r="I52" s="68">
        <v>123000</v>
      </c>
      <c r="J52" s="66" t="s">
        <v>8272</v>
      </c>
      <c r="K52" s="66">
        <v>16</v>
      </c>
      <c r="L52" s="66" t="s">
        <v>453</v>
      </c>
      <c r="M52" s="68">
        <v>301347765</v>
      </c>
      <c r="N52" s="68">
        <v>32931</v>
      </c>
      <c r="O52" s="66">
        <v>67</v>
      </c>
    </row>
    <row r="53" spans="1:15" ht="27" x14ac:dyDescent="0.3">
      <c r="A53" s="65">
        <v>43659</v>
      </c>
      <c r="B53" s="66">
        <v>1</v>
      </c>
      <c r="C53" s="67">
        <v>0</v>
      </c>
      <c r="D53" s="66">
        <v>1</v>
      </c>
      <c r="E53" s="67">
        <v>0</v>
      </c>
      <c r="F53" s="66">
        <v>138</v>
      </c>
      <c r="G53" s="67">
        <v>0</v>
      </c>
      <c r="H53" s="67">
        <v>8.6999999999999994E-2</v>
      </c>
      <c r="I53" s="68">
        <v>71000</v>
      </c>
      <c r="J53" s="66" t="s">
        <v>8273</v>
      </c>
      <c r="K53" s="66">
        <v>12</v>
      </c>
      <c r="L53" s="66" t="s">
        <v>1393</v>
      </c>
      <c r="M53" s="68">
        <v>301418765</v>
      </c>
      <c r="N53" s="68">
        <v>32943</v>
      </c>
      <c r="O53" s="66">
        <v>86</v>
      </c>
    </row>
    <row r="54" spans="1:15" ht="27" x14ac:dyDescent="0.3">
      <c r="A54" s="65">
        <v>43663</v>
      </c>
      <c r="B54" s="66">
        <v>1</v>
      </c>
      <c r="C54" s="67">
        <v>0</v>
      </c>
      <c r="D54" s="66">
        <v>1</v>
      </c>
      <c r="E54" s="67">
        <v>0</v>
      </c>
      <c r="F54" s="66">
        <v>77</v>
      </c>
      <c r="G54" s="67">
        <v>0</v>
      </c>
      <c r="H54" s="67">
        <v>0.63600000000000001</v>
      </c>
      <c r="I54" s="68">
        <v>441000</v>
      </c>
      <c r="J54" s="66" t="s">
        <v>8274</v>
      </c>
      <c r="K54" s="66">
        <v>49</v>
      </c>
      <c r="L54" s="66" t="s">
        <v>448</v>
      </c>
      <c r="M54" s="68">
        <v>301859765</v>
      </c>
      <c r="N54" s="68">
        <v>32992</v>
      </c>
      <c r="O54" s="66">
        <v>61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5A62-7C42-4B96-9EE1-17786C98F1B5}">
  <dimension ref="A1:O68"/>
  <sheetViews>
    <sheetView workbookViewId="0">
      <selection activeCell="A5" sqref="A5:O13"/>
    </sheetView>
  </sheetViews>
  <sheetFormatPr defaultRowHeight="16.5" x14ac:dyDescent="0.3"/>
  <sheetData>
    <row r="1" spans="1:15" ht="19.5" x14ac:dyDescent="0.3">
      <c r="A1" s="197" t="s">
        <v>8275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76" t="s">
        <v>111</v>
      </c>
      <c r="B4" s="71" t="s">
        <v>112</v>
      </c>
      <c r="C4" s="71" t="s">
        <v>113</v>
      </c>
      <c r="D4" s="71" t="s">
        <v>114</v>
      </c>
      <c r="E4" s="71" t="s">
        <v>115</v>
      </c>
      <c r="F4" s="71" t="s">
        <v>116</v>
      </c>
      <c r="G4" s="71" t="s">
        <v>117</v>
      </c>
      <c r="H4" s="71" t="s">
        <v>118</v>
      </c>
      <c r="I4" s="71" t="s">
        <v>119</v>
      </c>
      <c r="J4" s="71" t="s">
        <v>120</v>
      </c>
      <c r="K4" s="71" t="s">
        <v>121</v>
      </c>
      <c r="L4" s="71" t="s">
        <v>122</v>
      </c>
      <c r="M4" s="71" t="s">
        <v>123</v>
      </c>
      <c r="N4" s="71" t="s">
        <v>124</v>
      </c>
      <c r="O4" s="77" t="s">
        <v>125</v>
      </c>
    </row>
    <row r="5" spans="1:15" ht="27" x14ac:dyDescent="0.3">
      <c r="A5" s="72">
        <v>43580</v>
      </c>
      <c r="B5" s="73">
        <v>43</v>
      </c>
      <c r="C5" s="74">
        <v>8.9999999999999993E-3</v>
      </c>
      <c r="D5" s="73">
        <v>55</v>
      </c>
      <c r="E5" s="74">
        <v>3.0000000000000001E-3</v>
      </c>
      <c r="F5" s="75">
        <v>7152</v>
      </c>
      <c r="G5" s="74">
        <v>3.0000000000000001E-3</v>
      </c>
      <c r="H5" s="74">
        <v>0.14399999999999999</v>
      </c>
      <c r="I5" s="75">
        <v>8281000</v>
      </c>
      <c r="J5" s="73" t="s">
        <v>8276</v>
      </c>
      <c r="K5" s="75">
        <v>1032</v>
      </c>
      <c r="L5" s="73" t="s">
        <v>8277</v>
      </c>
      <c r="M5" s="75">
        <v>17546200</v>
      </c>
      <c r="N5" s="75">
        <v>2357</v>
      </c>
      <c r="O5" s="73">
        <v>9</v>
      </c>
    </row>
    <row r="6" spans="1:15" ht="27" x14ac:dyDescent="0.3">
      <c r="A6" s="72">
        <v>43581</v>
      </c>
      <c r="B6" s="73">
        <v>44</v>
      </c>
      <c r="C6" s="74">
        <v>8.9999999999999993E-3</v>
      </c>
      <c r="D6" s="73">
        <v>58</v>
      </c>
      <c r="E6" s="74">
        <v>4.0000000000000001E-3</v>
      </c>
      <c r="F6" s="75">
        <v>7943</v>
      </c>
      <c r="G6" s="74">
        <v>3.0000000000000001E-3</v>
      </c>
      <c r="H6" s="74">
        <v>0.17899999999999999</v>
      </c>
      <c r="I6" s="75">
        <v>12580200</v>
      </c>
      <c r="J6" s="73" t="s">
        <v>8278</v>
      </c>
      <c r="K6" s="75">
        <v>1423</v>
      </c>
      <c r="L6" s="73" t="s">
        <v>8279</v>
      </c>
      <c r="M6" s="75">
        <v>30126400</v>
      </c>
      <c r="N6" s="75">
        <v>3780</v>
      </c>
      <c r="O6" s="73">
        <v>9</v>
      </c>
    </row>
    <row r="7" spans="1:15" ht="27" x14ac:dyDescent="0.3">
      <c r="A7" s="72">
        <v>43582</v>
      </c>
      <c r="B7" s="73">
        <v>48</v>
      </c>
      <c r="C7" s="74">
        <v>8.9999999999999993E-3</v>
      </c>
      <c r="D7" s="73">
        <v>64</v>
      </c>
      <c r="E7" s="74">
        <v>4.0000000000000001E-3</v>
      </c>
      <c r="F7" s="75">
        <v>8131</v>
      </c>
      <c r="G7" s="74">
        <v>3.0000000000000001E-3</v>
      </c>
      <c r="H7" s="74">
        <v>0.22900000000000001</v>
      </c>
      <c r="I7" s="75">
        <v>17363050</v>
      </c>
      <c r="J7" s="73" t="s">
        <v>8280</v>
      </c>
      <c r="K7" s="75">
        <v>1861</v>
      </c>
      <c r="L7" s="73" t="s">
        <v>8281</v>
      </c>
      <c r="M7" s="75">
        <v>47489450</v>
      </c>
      <c r="N7" s="75">
        <v>5641</v>
      </c>
      <c r="O7" s="73">
        <v>8</v>
      </c>
    </row>
    <row r="8" spans="1:15" ht="27" x14ac:dyDescent="0.3">
      <c r="A8" s="72">
        <v>43583</v>
      </c>
      <c r="B8" s="73">
        <v>47</v>
      </c>
      <c r="C8" s="74">
        <v>8.9999999999999993E-3</v>
      </c>
      <c r="D8" s="73">
        <v>61</v>
      </c>
      <c r="E8" s="74">
        <v>4.0000000000000001E-3</v>
      </c>
      <c r="F8" s="75">
        <v>7646</v>
      </c>
      <c r="G8" s="74">
        <v>3.0000000000000001E-3</v>
      </c>
      <c r="H8" s="74">
        <v>0.28599999999999998</v>
      </c>
      <c r="I8" s="75">
        <v>19277980</v>
      </c>
      <c r="J8" s="73" t="s">
        <v>8282</v>
      </c>
      <c r="K8" s="75">
        <v>2183</v>
      </c>
      <c r="L8" s="73" t="s">
        <v>8283</v>
      </c>
      <c r="M8" s="75">
        <v>66767430</v>
      </c>
      <c r="N8" s="75">
        <v>7824</v>
      </c>
      <c r="O8" s="73">
        <v>6</v>
      </c>
    </row>
    <row r="9" spans="1:15" ht="27" x14ac:dyDescent="0.3">
      <c r="A9" s="72">
        <v>43584</v>
      </c>
      <c r="B9" s="73">
        <v>39</v>
      </c>
      <c r="C9" s="74">
        <v>8.0000000000000002E-3</v>
      </c>
      <c r="D9" s="73">
        <v>58</v>
      </c>
      <c r="E9" s="74">
        <v>4.0000000000000001E-3</v>
      </c>
      <c r="F9" s="75">
        <v>7769</v>
      </c>
      <c r="G9" s="74">
        <v>3.0000000000000001E-3</v>
      </c>
      <c r="H9" s="74">
        <v>0.12</v>
      </c>
      <c r="I9" s="75">
        <v>7372300</v>
      </c>
      <c r="J9" s="73" t="s">
        <v>8284</v>
      </c>
      <c r="K9" s="73">
        <v>930</v>
      </c>
      <c r="L9" s="73" t="s">
        <v>8285</v>
      </c>
      <c r="M9" s="75">
        <v>74139730</v>
      </c>
      <c r="N9" s="75">
        <v>8754</v>
      </c>
      <c r="O9" s="73">
        <v>12</v>
      </c>
    </row>
    <row r="10" spans="1:15" ht="27" x14ac:dyDescent="0.3">
      <c r="A10" s="72">
        <v>43585</v>
      </c>
      <c r="B10" s="73">
        <v>43</v>
      </c>
      <c r="C10" s="74">
        <v>8.9999999999999993E-3</v>
      </c>
      <c r="D10" s="73">
        <v>64</v>
      </c>
      <c r="E10" s="74">
        <v>4.0000000000000001E-3</v>
      </c>
      <c r="F10" s="75">
        <v>8459</v>
      </c>
      <c r="G10" s="74">
        <v>4.0000000000000001E-3</v>
      </c>
      <c r="H10" s="74">
        <v>0.158</v>
      </c>
      <c r="I10" s="75">
        <v>10221530</v>
      </c>
      <c r="J10" s="73" t="s">
        <v>8286</v>
      </c>
      <c r="K10" s="75">
        <v>1334</v>
      </c>
      <c r="L10" s="73" t="s">
        <v>8287</v>
      </c>
      <c r="M10" s="75">
        <v>84361260</v>
      </c>
      <c r="N10" s="75">
        <v>10088</v>
      </c>
      <c r="O10" s="73">
        <v>10</v>
      </c>
    </row>
    <row r="11" spans="1:15" ht="27" x14ac:dyDescent="0.3">
      <c r="A11" s="72">
        <v>43586</v>
      </c>
      <c r="B11" s="73">
        <v>49</v>
      </c>
      <c r="C11" s="74">
        <v>8.9999999999999993E-3</v>
      </c>
      <c r="D11" s="73">
        <v>69</v>
      </c>
      <c r="E11" s="74">
        <v>4.0000000000000001E-3</v>
      </c>
      <c r="F11" s="75">
        <v>8894</v>
      </c>
      <c r="G11" s="74">
        <v>3.0000000000000001E-3</v>
      </c>
      <c r="H11" s="74">
        <v>0.246</v>
      </c>
      <c r="I11" s="75">
        <v>16788330</v>
      </c>
      <c r="J11" s="73" t="s">
        <v>8288</v>
      </c>
      <c r="K11" s="75">
        <v>2188</v>
      </c>
      <c r="L11" s="73" t="s">
        <v>8289</v>
      </c>
      <c r="M11" s="75">
        <v>101149590</v>
      </c>
      <c r="N11" s="75">
        <v>12276</v>
      </c>
      <c r="O11" s="73">
        <v>8</v>
      </c>
    </row>
    <row r="12" spans="1:15" ht="27" x14ac:dyDescent="0.3">
      <c r="A12" s="72">
        <v>43587</v>
      </c>
      <c r="B12" s="73">
        <v>55</v>
      </c>
      <c r="C12" s="74">
        <v>1.0999999999999999E-2</v>
      </c>
      <c r="D12" s="73">
        <v>85</v>
      </c>
      <c r="E12" s="74">
        <v>5.0000000000000001E-3</v>
      </c>
      <c r="F12" s="75">
        <v>10073</v>
      </c>
      <c r="G12" s="74">
        <v>4.0000000000000001E-3</v>
      </c>
      <c r="H12" s="74">
        <v>0.11799999999999999</v>
      </c>
      <c r="I12" s="75">
        <v>8708680</v>
      </c>
      <c r="J12" s="73" t="s">
        <v>8290</v>
      </c>
      <c r="K12" s="75">
        <v>1188</v>
      </c>
      <c r="L12" s="73" t="s">
        <v>8291</v>
      </c>
      <c r="M12" s="75">
        <v>109858270</v>
      </c>
      <c r="N12" s="75">
        <v>13464</v>
      </c>
      <c r="O12" s="73">
        <v>13</v>
      </c>
    </row>
    <row r="13" spans="1:15" ht="27" x14ac:dyDescent="0.3">
      <c r="A13" s="72">
        <v>43588</v>
      </c>
      <c r="B13" s="73">
        <v>51</v>
      </c>
      <c r="C13" s="74">
        <v>0.01</v>
      </c>
      <c r="D13" s="73">
        <v>81</v>
      </c>
      <c r="E13" s="74">
        <v>5.0000000000000001E-3</v>
      </c>
      <c r="F13" s="75">
        <v>9482</v>
      </c>
      <c r="G13" s="74">
        <v>4.0000000000000001E-3</v>
      </c>
      <c r="H13" s="74">
        <v>0.11700000000000001</v>
      </c>
      <c r="I13" s="75">
        <v>9644000</v>
      </c>
      <c r="J13" s="73" t="s">
        <v>8292</v>
      </c>
      <c r="K13" s="75">
        <v>1114</v>
      </c>
      <c r="L13" s="73" t="s">
        <v>8293</v>
      </c>
      <c r="M13" s="75">
        <v>119502270</v>
      </c>
      <c r="N13" s="75">
        <v>14578</v>
      </c>
      <c r="O13" s="73">
        <v>10</v>
      </c>
    </row>
    <row r="14" spans="1:15" ht="27" x14ac:dyDescent="0.3">
      <c r="A14" s="72">
        <v>43589</v>
      </c>
      <c r="B14" s="73">
        <v>53</v>
      </c>
      <c r="C14" s="74">
        <v>8.9999999999999993E-3</v>
      </c>
      <c r="D14" s="73">
        <v>80</v>
      </c>
      <c r="E14" s="74">
        <v>4.0000000000000001E-3</v>
      </c>
      <c r="F14" s="75">
        <v>9583</v>
      </c>
      <c r="G14" s="74">
        <v>4.0000000000000001E-3</v>
      </c>
      <c r="H14" s="74">
        <v>0.18099999999999999</v>
      </c>
      <c r="I14" s="75">
        <v>14976650</v>
      </c>
      <c r="J14" s="73" t="s">
        <v>8294</v>
      </c>
      <c r="K14" s="75">
        <v>1733</v>
      </c>
      <c r="L14" s="73" t="s">
        <v>8295</v>
      </c>
      <c r="M14" s="75">
        <v>134478920</v>
      </c>
      <c r="N14" s="75">
        <v>16311</v>
      </c>
      <c r="O14" s="73">
        <v>9</v>
      </c>
    </row>
    <row r="15" spans="1:15" ht="27" x14ac:dyDescent="0.3">
      <c r="A15" s="72">
        <v>43590</v>
      </c>
      <c r="B15" s="73">
        <v>53</v>
      </c>
      <c r="C15" s="74">
        <v>8.9999999999999993E-3</v>
      </c>
      <c r="D15" s="73">
        <v>79</v>
      </c>
      <c r="E15" s="74">
        <v>4.0000000000000001E-3</v>
      </c>
      <c r="F15" s="75">
        <v>9429</v>
      </c>
      <c r="G15" s="74">
        <v>3.0000000000000001E-3</v>
      </c>
      <c r="H15" s="74">
        <v>0.19</v>
      </c>
      <c r="I15" s="75">
        <v>15592950</v>
      </c>
      <c r="J15" s="73" t="s">
        <v>8296</v>
      </c>
      <c r="K15" s="75">
        <v>1789</v>
      </c>
      <c r="L15" s="73" t="s">
        <v>8297</v>
      </c>
      <c r="M15" s="75">
        <v>150071870</v>
      </c>
      <c r="N15" s="75">
        <v>18100</v>
      </c>
      <c r="O15" s="73">
        <v>8</v>
      </c>
    </row>
    <row r="16" spans="1:15" ht="27" x14ac:dyDescent="0.3">
      <c r="A16" s="72">
        <v>43591</v>
      </c>
      <c r="B16" s="73">
        <v>45</v>
      </c>
      <c r="C16" s="74">
        <v>8.0000000000000002E-3</v>
      </c>
      <c r="D16" s="73">
        <v>66</v>
      </c>
      <c r="E16" s="74">
        <v>4.0000000000000001E-3</v>
      </c>
      <c r="F16" s="75">
        <v>7742</v>
      </c>
      <c r="G16" s="74">
        <v>3.0000000000000001E-3</v>
      </c>
      <c r="H16" s="74">
        <v>0.219</v>
      </c>
      <c r="I16" s="75">
        <v>14478530</v>
      </c>
      <c r="J16" s="73" t="s">
        <v>8298</v>
      </c>
      <c r="K16" s="75">
        <v>1694</v>
      </c>
      <c r="L16" s="73" t="s">
        <v>8299</v>
      </c>
      <c r="M16" s="75">
        <v>164550400</v>
      </c>
      <c r="N16" s="75">
        <v>19794</v>
      </c>
      <c r="O16" s="73">
        <v>9</v>
      </c>
    </row>
    <row r="17" spans="1:15" ht="27" x14ac:dyDescent="0.3">
      <c r="A17" s="72">
        <v>43592</v>
      </c>
      <c r="B17" s="73">
        <v>75</v>
      </c>
      <c r="C17" s="74">
        <v>1.4999999999999999E-2</v>
      </c>
      <c r="D17" s="73">
        <v>95</v>
      </c>
      <c r="E17" s="74">
        <v>6.0000000000000001E-3</v>
      </c>
      <c r="F17" s="75">
        <v>11566</v>
      </c>
      <c r="G17" s="74">
        <v>5.0000000000000001E-3</v>
      </c>
      <c r="H17" s="74">
        <v>0.12</v>
      </c>
      <c r="I17" s="75">
        <v>10118600</v>
      </c>
      <c r="J17" s="73" t="s">
        <v>8300</v>
      </c>
      <c r="K17" s="75">
        <v>1392</v>
      </c>
      <c r="L17" s="73" t="s">
        <v>8301</v>
      </c>
      <c r="M17" s="75">
        <v>174669000</v>
      </c>
      <c r="N17" s="75">
        <v>21186</v>
      </c>
      <c r="O17" s="73">
        <v>7</v>
      </c>
    </row>
    <row r="18" spans="1:15" ht="27" x14ac:dyDescent="0.3">
      <c r="A18" s="72">
        <v>43593</v>
      </c>
      <c r="B18" s="73">
        <v>44</v>
      </c>
      <c r="C18" s="74">
        <v>0.01</v>
      </c>
      <c r="D18" s="73">
        <v>71</v>
      </c>
      <c r="E18" s="74">
        <v>5.0000000000000001E-3</v>
      </c>
      <c r="F18" s="75">
        <v>8567</v>
      </c>
      <c r="G18" s="74">
        <v>4.0000000000000001E-3</v>
      </c>
      <c r="H18" s="74">
        <v>8.6999999999999994E-2</v>
      </c>
      <c r="I18" s="75">
        <v>5731380</v>
      </c>
      <c r="J18" s="73" t="s">
        <v>8302</v>
      </c>
      <c r="K18" s="73">
        <v>742</v>
      </c>
      <c r="L18" s="73" t="s">
        <v>8303</v>
      </c>
      <c r="M18" s="75">
        <v>180400380</v>
      </c>
      <c r="N18" s="75">
        <v>21928</v>
      </c>
      <c r="O18" s="73">
        <v>12</v>
      </c>
    </row>
    <row r="19" spans="1:15" ht="27" x14ac:dyDescent="0.3">
      <c r="A19" s="72">
        <v>43594</v>
      </c>
      <c r="B19" s="73">
        <v>33</v>
      </c>
      <c r="C19" s="74">
        <v>6.0000000000000001E-3</v>
      </c>
      <c r="D19" s="73">
        <v>47</v>
      </c>
      <c r="E19" s="74">
        <v>3.0000000000000001E-3</v>
      </c>
      <c r="F19" s="75">
        <v>5158</v>
      </c>
      <c r="G19" s="74">
        <v>2E-3</v>
      </c>
      <c r="H19" s="74">
        <v>0.11700000000000001</v>
      </c>
      <c r="I19" s="75">
        <v>5015500</v>
      </c>
      <c r="J19" s="73" t="s">
        <v>8304</v>
      </c>
      <c r="K19" s="73">
        <v>603</v>
      </c>
      <c r="L19" s="73" t="s">
        <v>8305</v>
      </c>
      <c r="M19" s="75">
        <v>185415880</v>
      </c>
      <c r="N19" s="75">
        <v>22531</v>
      </c>
      <c r="O19" s="73">
        <v>15</v>
      </c>
    </row>
    <row r="20" spans="1:15" ht="27" x14ac:dyDescent="0.3">
      <c r="A20" s="72">
        <v>43595</v>
      </c>
      <c r="B20" s="73">
        <v>32</v>
      </c>
      <c r="C20" s="74">
        <v>6.0000000000000001E-3</v>
      </c>
      <c r="D20" s="73">
        <v>51</v>
      </c>
      <c r="E20" s="74">
        <v>3.0000000000000001E-3</v>
      </c>
      <c r="F20" s="75">
        <v>5430</v>
      </c>
      <c r="G20" s="74">
        <v>2E-3</v>
      </c>
      <c r="H20" s="74">
        <v>0.13600000000000001</v>
      </c>
      <c r="I20" s="75">
        <v>6324660</v>
      </c>
      <c r="J20" s="73" t="s">
        <v>8306</v>
      </c>
      <c r="K20" s="73">
        <v>738</v>
      </c>
      <c r="L20" s="73" t="s">
        <v>8307</v>
      </c>
      <c r="M20" s="75">
        <v>191740540</v>
      </c>
      <c r="N20" s="75">
        <v>23269</v>
      </c>
      <c r="O20" s="73">
        <v>11</v>
      </c>
    </row>
    <row r="21" spans="1:15" ht="27" x14ac:dyDescent="0.3">
      <c r="A21" s="72">
        <v>43596</v>
      </c>
      <c r="B21" s="73">
        <v>33</v>
      </c>
      <c r="C21" s="74">
        <v>6.0000000000000001E-3</v>
      </c>
      <c r="D21" s="73">
        <v>53</v>
      </c>
      <c r="E21" s="74">
        <v>3.0000000000000001E-3</v>
      </c>
      <c r="F21" s="75">
        <v>5923</v>
      </c>
      <c r="G21" s="74">
        <v>2E-3</v>
      </c>
      <c r="H21" s="74">
        <v>0.184</v>
      </c>
      <c r="I21" s="75">
        <v>9596900</v>
      </c>
      <c r="J21" s="73" t="s">
        <v>8308</v>
      </c>
      <c r="K21" s="75">
        <v>1087</v>
      </c>
      <c r="L21" s="73" t="s">
        <v>8309</v>
      </c>
      <c r="M21" s="75">
        <v>201337440</v>
      </c>
      <c r="N21" s="75">
        <v>24356</v>
      </c>
      <c r="O21" s="73">
        <v>12</v>
      </c>
    </row>
    <row r="22" spans="1:15" ht="27" x14ac:dyDescent="0.3">
      <c r="A22" s="72">
        <v>43597</v>
      </c>
      <c r="B22" s="73">
        <v>32</v>
      </c>
      <c r="C22" s="74">
        <v>6.0000000000000001E-3</v>
      </c>
      <c r="D22" s="73">
        <v>51</v>
      </c>
      <c r="E22" s="74">
        <v>3.0000000000000001E-3</v>
      </c>
      <c r="F22" s="75">
        <v>5937</v>
      </c>
      <c r="G22" s="74">
        <v>2E-3</v>
      </c>
      <c r="H22" s="74">
        <v>0.19900000000000001</v>
      </c>
      <c r="I22" s="75">
        <v>9940700</v>
      </c>
      <c r="J22" s="73" t="s">
        <v>8310</v>
      </c>
      <c r="K22" s="75">
        <v>1184</v>
      </c>
      <c r="L22" s="73" t="s">
        <v>8311</v>
      </c>
      <c r="M22" s="75">
        <v>211278140</v>
      </c>
      <c r="N22" s="75">
        <v>25540</v>
      </c>
      <c r="O22" s="73">
        <v>11</v>
      </c>
    </row>
    <row r="23" spans="1:15" ht="27" x14ac:dyDescent="0.3">
      <c r="A23" s="72">
        <v>43598</v>
      </c>
      <c r="B23" s="73">
        <v>29</v>
      </c>
      <c r="C23" s="74">
        <v>6.0000000000000001E-3</v>
      </c>
      <c r="D23" s="73">
        <v>41</v>
      </c>
      <c r="E23" s="74">
        <v>3.0000000000000001E-3</v>
      </c>
      <c r="F23" s="75">
        <v>4762</v>
      </c>
      <c r="G23" s="74">
        <v>2E-3</v>
      </c>
      <c r="H23" s="74">
        <v>9.2999999999999999E-2</v>
      </c>
      <c r="I23" s="75">
        <v>3396100</v>
      </c>
      <c r="J23" s="73" t="s">
        <v>8312</v>
      </c>
      <c r="K23" s="73">
        <v>445</v>
      </c>
      <c r="L23" s="73" t="s">
        <v>8313</v>
      </c>
      <c r="M23" s="75">
        <v>214674240</v>
      </c>
      <c r="N23" s="75">
        <v>25985</v>
      </c>
      <c r="O23" s="73">
        <v>12</v>
      </c>
    </row>
    <row r="24" spans="1:15" ht="27" x14ac:dyDescent="0.3">
      <c r="A24" s="72">
        <v>43599</v>
      </c>
      <c r="B24" s="73">
        <v>32</v>
      </c>
      <c r="C24" s="74">
        <v>6.0000000000000001E-3</v>
      </c>
      <c r="D24" s="73">
        <v>47</v>
      </c>
      <c r="E24" s="74">
        <v>3.0000000000000001E-3</v>
      </c>
      <c r="F24" s="75">
        <v>5601</v>
      </c>
      <c r="G24" s="74">
        <v>2E-3</v>
      </c>
      <c r="H24" s="74">
        <v>0.104</v>
      </c>
      <c r="I24" s="75">
        <v>4564000</v>
      </c>
      <c r="J24" s="73" t="s">
        <v>8314</v>
      </c>
      <c r="K24" s="73">
        <v>583</v>
      </c>
      <c r="L24" s="73" t="s">
        <v>8315</v>
      </c>
      <c r="M24" s="75">
        <v>219238240</v>
      </c>
      <c r="N24" s="75">
        <v>26568</v>
      </c>
      <c r="O24" s="73">
        <v>12</v>
      </c>
    </row>
    <row r="25" spans="1:15" ht="27" x14ac:dyDescent="0.3">
      <c r="A25" s="72">
        <v>43600</v>
      </c>
      <c r="B25" s="73">
        <v>29</v>
      </c>
      <c r="C25" s="74">
        <v>5.0000000000000001E-3</v>
      </c>
      <c r="D25" s="73">
        <v>42</v>
      </c>
      <c r="E25" s="74">
        <v>2E-3</v>
      </c>
      <c r="F25" s="75">
        <v>5339</v>
      </c>
      <c r="G25" s="74">
        <v>2E-3</v>
      </c>
      <c r="H25" s="74">
        <v>9.2999999999999999E-2</v>
      </c>
      <c r="I25" s="75">
        <v>3729300</v>
      </c>
      <c r="J25" s="73" t="s">
        <v>8316</v>
      </c>
      <c r="K25" s="73">
        <v>497</v>
      </c>
      <c r="L25" s="73" t="s">
        <v>8317</v>
      </c>
      <c r="M25" s="75">
        <v>222967540</v>
      </c>
      <c r="N25" s="75">
        <v>27065</v>
      </c>
      <c r="O25" s="73">
        <v>16</v>
      </c>
    </row>
    <row r="26" spans="1:15" ht="27" x14ac:dyDescent="0.3">
      <c r="A26" s="72">
        <v>43601</v>
      </c>
      <c r="B26" s="73">
        <v>24</v>
      </c>
      <c r="C26" s="74">
        <v>4.0000000000000001E-3</v>
      </c>
      <c r="D26" s="73">
        <v>35</v>
      </c>
      <c r="E26" s="74">
        <v>2E-3</v>
      </c>
      <c r="F26" s="75">
        <v>4594</v>
      </c>
      <c r="G26" s="74">
        <v>2E-3</v>
      </c>
      <c r="H26" s="74">
        <v>8.3000000000000004E-2</v>
      </c>
      <c r="I26" s="75">
        <v>2993500</v>
      </c>
      <c r="J26" s="73" t="s">
        <v>8318</v>
      </c>
      <c r="K26" s="73">
        <v>380</v>
      </c>
      <c r="L26" s="73" t="s">
        <v>8319</v>
      </c>
      <c r="M26" s="75">
        <v>225961040</v>
      </c>
      <c r="N26" s="75">
        <v>27445</v>
      </c>
      <c r="O26" s="73">
        <v>19</v>
      </c>
    </row>
    <row r="27" spans="1:15" ht="27" x14ac:dyDescent="0.3">
      <c r="A27" s="72">
        <v>43602</v>
      </c>
      <c r="B27" s="73">
        <v>24</v>
      </c>
      <c r="C27" s="74">
        <v>4.0000000000000001E-3</v>
      </c>
      <c r="D27" s="73">
        <v>33</v>
      </c>
      <c r="E27" s="74">
        <v>2E-3</v>
      </c>
      <c r="F27" s="75">
        <v>4119</v>
      </c>
      <c r="G27" s="74">
        <v>1E-3</v>
      </c>
      <c r="H27" s="74">
        <v>0.122</v>
      </c>
      <c r="I27" s="75">
        <v>4230980</v>
      </c>
      <c r="J27" s="73" t="s">
        <v>8320</v>
      </c>
      <c r="K27" s="73">
        <v>504</v>
      </c>
      <c r="L27" s="73" t="s">
        <v>8321</v>
      </c>
      <c r="M27" s="75">
        <v>230192020</v>
      </c>
      <c r="N27" s="75">
        <v>27949</v>
      </c>
      <c r="O27" s="73">
        <v>14</v>
      </c>
    </row>
    <row r="28" spans="1:15" ht="27" x14ac:dyDescent="0.3">
      <c r="A28" s="72">
        <v>43603</v>
      </c>
      <c r="B28" s="73">
        <v>27</v>
      </c>
      <c r="C28" s="74">
        <v>4.0000000000000001E-3</v>
      </c>
      <c r="D28" s="73">
        <v>37</v>
      </c>
      <c r="E28" s="74">
        <v>2E-3</v>
      </c>
      <c r="F28" s="75">
        <v>3652</v>
      </c>
      <c r="G28" s="74">
        <v>1E-3</v>
      </c>
      <c r="H28" s="74">
        <v>0.22600000000000001</v>
      </c>
      <c r="I28" s="75">
        <v>6711500</v>
      </c>
      <c r="J28" s="73" t="s">
        <v>8322</v>
      </c>
      <c r="K28" s="73">
        <v>827</v>
      </c>
      <c r="L28" s="73" t="s">
        <v>8323</v>
      </c>
      <c r="M28" s="75">
        <v>236903520</v>
      </c>
      <c r="N28" s="75">
        <v>28776</v>
      </c>
      <c r="O28" s="73">
        <v>15</v>
      </c>
    </row>
    <row r="29" spans="1:15" ht="27" x14ac:dyDescent="0.3">
      <c r="A29" s="72">
        <v>43604</v>
      </c>
      <c r="B29" s="73">
        <v>25</v>
      </c>
      <c r="C29" s="74">
        <v>4.0000000000000001E-3</v>
      </c>
      <c r="D29" s="73">
        <v>34</v>
      </c>
      <c r="E29" s="74">
        <v>2E-3</v>
      </c>
      <c r="F29" s="75">
        <v>4502</v>
      </c>
      <c r="G29" s="74">
        <v>2E-3</v>
      </c>
      <c r="H29" s="74">
        <v>0.16500000000000001</v>
      </c>
      <c r="I29" s="75">
        <v>6202000</v>
      </c>
      <c r="J29" s="73" t="s">
        <v>8324</v>
      </c>
      <c r="K29" s="73">
        <v>744</v>
      </c>
      <c r="L29" s="73" t="s">
        <v>8325</v>
      </c>
      <c r="M29" s="75">
        <v>243105520</v>
      </c>
      <c r="N29" s="75">
        <v>29520</v>
      </c>
      <c r="O29" s="73">
        <v>15</v>
      </c>
    </row>
    <row r="30" spans="1:15" ht="27" x14ac:dyDescent="0.3">
      <c r="A30" s="72">
        <v>43605</v>
      </c>
      <c r="B30" s="73">
        <v>20</v>
      </c>
      <c r="C30" s="74">
        <v>4.0000000000000001E-3</v>
      </c>
      <c r="D30" s="73">
        <v>25</v>
      </c>
      <c r="E30" s="74">
        <v>1E-3</v>
      </c>
      <c r="F30" s="75">
        <v>3056</v>
      </c>
      <c r="G30" s="74">
        <v>1E-3</v>
      </c>
      <c r="H30" s="74">
        <v>9.6000000000000002E-2</v>
      </c>
      <c r="I30" s="75">
        <v>2297980</v>
      </c>
      <c r="J30" s="73" t="s">
        <v>8326</v>
      </c>
      <c r="K30" s="73">
        <v>293</v>
      </c>
      <c r="L30" s="73" t="s">
        <v>8327</v>
      </c>
      <c r="M30" s="75">
        <v>245403500</v>
      </c>
      <c r="N30" s="75">
        <v>29813</v>
      </c>
      <c r="O30" s="73">
        <v>22</v>
      </c>
    </row>
    <row r="31" spans="1:15" ht="27" x14ac:dyDescent="0.3">
      <c r="A31" s="72">
        <v>43606</v>
      </c>
      <c r="B31" s="73">
        <v>25</v>
      </c>
      <c r="C31" s="74">
        <v>5.0000000000000001E-3</v>
      </c>
      <c r="D31" s="73">
        <v>33</v>
      </c>
      <c r="E31" s="74">
        <v>2E-3</v>
      </c>
      <c r="F31" s="75">
        <v>4123</v>
      </c>
      <c r="G31" s="74">
        <v>2E-3</v>
      </c>
      <c r="H31" s="74">
        <v>0.104</v>
      </c>
      <c r="I31" s="75">
        <v>2969000</v>
      </c>
      <c r="J31" s="73" t="s">
        <v>8328</v>
      </c>
      <c r="K31" s="73">
        <v>429</v>
      </c>
      <c r="L31" s="73" t="s">
        <v>8329</v>
      </c>
      <c r="M31" s="75">
        <v>248372500</v>
      </c>
      <c r="N31" s="75">
        <v>30242</v>
      </c>
      <c r="O31" s="73">
        <v>20</v>
      </c>
    </row>
    <row r="32" spans="1:15" ht="27" x14ac:dyDescent="0.3">
      <c r="A32" s="72">
        <v>43607</v>
      </c>
      <c r="B32" s="73">
        <v>21</v>
      </c>
      <c r="C32" s="74">
        <v>4.0000000000000001E-3</v>
      </c>
      <c r="D32" s="73">
        <v>30</v>
      </c>
      <c r="E32" s="74">
        <v>2E-3</v>
      </c>
      <c r="F32" s="75">
        <v>3362</v>
      </c>
      <c r="G32" s="74">
        <v>1E-3</v>
      </c>
      <c r="H32" s="74">
        <v>0.13200000000000001</v>
      </c>
      <c r="I32" s="75">
        <v>3194650</v>
      </c>
      <c r="J32" s="73" t="s">
        <v>8330</v>
      </c>
      <c r="K32" s="73">
        <v>443</v>
      </c>
      <c r="L32" s="73" t="s">
        <v>8331</v>
      </c>
      <c r="M32" s="75">
        <v>251567150</v>
      </c>
      <c r="N32" s="75">
        <v>30685</v>
      </c>
      <c r="O32" s="73">
        <v>17</v>
      </c>
    </row>
    <row r="33" spans="1:15" ht="27" x14ac:dyDescent="0.3">
      <c r="A33" s="72">
        <v>43608</v>
      </c>
      <c r="B33" s="73">
        <v>16</v>
      </c>
      <c r="C33" s="74">
        <v>3.0000000000000001E-3</v>
      </c>
      <c r="D33" s="73">
        <v>21</v>
      </c>
      <c r="E33" s="74">
        <v>1E-3</v>
      </c>
      <c r="F33" s="75">
        <v>2127</v>
      </c>
      <c r="G33" s="74">
        <v>1E-3</v>
      </c>
      <c r="H33" s="74">
        <v>0.10199999999999999</v>
      </c>
      <c r="I33" s="75">
        <v>1654000</v>
      </c>
      <c r="J33" s="73" t="s">
        <v>8332</v>
      </c>
      <c r="K33" s="73">
        <v>216</v>
      </c>
      <c r="L33" s="73" t="s">
        <v>8333</v>
      </c>
      <c r="M33" s="75">
        <v>253221150</v>
      </c>
      <c r="N33" s="75">
        <v>30901</v>
      </c>
      <c r="O33" s="73">
        <v>28</v>
      </c>
    </row>
    <row r="34" spans="1:15" ht="27" x14ac:dyDescent="0.3">
      <c r="A34" s="72">
        <v>43609</v>
      </c>
      <c r="B34" s="73">
        <v>15</v>
      </c>
      <c r="C34" s="74">
        <v>2E-3</v>
      </c>
      <c r="D34" s="73">
        <v>22</v>
      </c>
      <c r="E34" s="74">
        <v>1E-3</v>
      </c>
      <c r="F34" s="75">
        <v>2067</v>
      </c>
      <c r="G34" s="74">
        <v>1E-3</v>
      </c>
      <c r="H34" s="74">
        <v>0.17499999999999999</v>
      </c>
      <c r="I34" s="75">
        <v>2884000</v>
      </c>
      <c r="J34" s="73" t="s">
        <v>8334</v>
      </c>
      <c r="K34" s="73">
        <v>362</v>
      </c>
      <c r="L34" s="73" t="s">
        <v>8335</v>
      </c>
      <c r="M34" s="75">
        <v>256105150</v>
      </c>
      <c r="N34" s="75">
        <v>31263</v>
      </c>
      <c r="O34" s="73">
        <v>23</v>
      </c>
    </row>
    <row r="35" spans="1:15" ht="27" x14ac:dyDescent="0.3">
      <c r="A35" s="72">
        <v>43610</v>
      </c>
      <c r="B35" s="73">
        <v>17</v>
      </c>
      <c r="C35" s="74">
        <v>3.0000000000000001E-3</v>
      </c>
      <c r="D35" s="73">
        <v>22</v>
      </c>
      <c r="E35" s="74">
        <v>1E-3</v>
      </c>
      <c r="F35" s="75">
        <v>2275</v>
      </c>
      <c r="G35" s="74">
        <v>1E-3</v>
      </c>
      <c r="H35" s="74">
        <v>0.20100000000000001</v>
      </c>
      <c r="I35" s="75">
        <v>3896480</v>
      </c>
      <c r="J35" s="73" t="s">
        <v>8336</v>
      </c>
      <c r="K35" s="73">
        <v>457</v>
      </c>
      <c r="L35" s="73" t="s">
        <v>8337</v>
      </c>
      <c r="M35" s="75">
        <v>260001630</v>
      </c>
      <c r="N35" s="75">
        <v>31720</v>
      </c>
      <c r="O35" s="73">
        <v>25</v>
      </c>
    </row>
    <row r="36" spans="1:15" ht="27" x14ac:dyDescent="0.3">
      <c r="A36" s="72">
        <v>43611</v>
      </c>
      <c r="B36" s="73">
        <v>16</v>
      </c>
      <c r="C36" s="74">
        <v>2E-3</v>
      </c>
      <c r="D36" s="73">
        <v>23</v>
      </c>
      <c r="E36" s="74">
        <v>1E-3</v>
      </c>
      <c r="F36" s="75">
        <v>2397</v>
      </c>
      <c r="G36" s="74">
        <v>1E-3</v>
      </c>
      <c r="H36" s="74">
        <v>0.221</v>
      </c>
      <c r="I36" s="75">
        <v>4489500</v>
      </c>
      <c r="J36" s="73" t="s">
        <v>8338</v>
      </c>
      <c r="K36" s="73">
        <v>529</v>
      </c>
      <c r="L36" s="73" t="s">
        <v>8339</v>
      </c>
      <c r="M36" s="75">
        <v>264491130</v>
      </c>
      <c r="N36" s="75">
        <v>32249</v>
      </c>
      <c r="O36" s="73">
        <v>21</v>
      </c>
    </row>
    <row r="37" spans="1:15" ht="27" x14ac:dyDescent="0.3">
      <c r="A37" s="72">
        <v>43612</v>
      </c>
      <c r="B37" s="73">
        <v>8</v>
      </c>
      <c r="C37" s="74">
        <v>1E-3</v>
      </c>
      <c r="D37" s="73">
        <v>14</v>
      </c>
      <c r="E37" s="74">
        <v>1E-3</v>
      </c>
      <c r="F37" s="75">
        <v>1384</v>
      </c>
      <c r="G37" s="74">
        <v>0</v>
      </c>
      <c r="H37" s="74">
        <v>9.8000000000000004E-2</v>
      </c>
      <c r="I37" s="75">
        <v>1112500</v>
      </c>
      <c r="J37" s="73" t="s">
        <v>8340</v>
      </c>
      <c r="K37" s="73">
        <v>135</v>
      </c>
      <c r="L37" s="73" t="s">
        <v>8341</v>
      </c>
      <c r="M37" s="75">
        <v>265603630</v>
      </c>
      <c r="N37" s="75">
        <v>32384</v>
      </c>
      <c r="O37" s="73">
        <v>30</v>
      </c>
    </row>
    <row r="38" spans="1:15" ht="27" x14ac:dyDescent="0.3">
      <c r="A38" s="72">
        <v>43613</v>
      </c>
      <c r="B38" s="73">
        <v>15</v>
      </c>
      <c r="C38" s="74">
        <v>3.0000000000000001E-3</v>
      </c>
      <c r="D38" s="73">
        <v>19</v>
      </c>
      <c r="E38" s="74">
        <v>1E-3</v>
      </c>
      <c r="F38" s="75">
        <v>2003</v>
      </c>
      <c r="G38" s="74">
        <v>1E-3</v>
      </c>
      <c r="H38" s="74">
        <v>0.10199999999999999</v>
      </c>
      <c r="I38" s="75">
        <v>1501000</v>
      </c>
      <c r="J38" s="73" t="s">
        <v>8342</v>
      </c>
      <c r="K38" s="73">
        <v>204</v>
      </c>
      <c r="L38" s="73" t="s">
        <v>8343</v>
      </c>
      <c r="M38" s="75">
        <v>267104630</v>
      </c>
      <c r="N38" s="75">
        <v>32588</v>
      </c>
      <c r="O38" s="73">
        <v>32</v>
      </c>
    </row>
    <row r="39" spans="1:15" ht="27" x14ac:dyDescent="0.3">
      <c r="A39" s="72">
        <v>43614</v>
      </c>
      <c r="B39" s="73">
        <v>13</v>
      </c>
      <c r="C39" s="74">
        <v>2E-3</v>
      </c>
      <c r="D39" s="73">
        <v>15</v>
      </c>
      <c r="E39" s="74">
        <v>1E-3</v>
      </c>
      <c r="F39" s="75">
        <v>1831</v>
      </c>
      <c r="G39" s="74">
        <v>1E-3</v>
      </c>
      <c r="H39" s="74">
        <v>0.128</v>
      </c>
      <c r="I39" s="75">
        <v>1460000</v>
      </c>
      <c r="J39" s="73" t="s">
        <v>8344</v>
      </c>
      <c r="K39" s="73">
        <v>234</v>
      </c>
      <c r="L39" s="73" t="s">
        <v>8345</v>
      </c>
      <c r="M39" s="75">
        <v>268564630</v>
      </c>
      <c r="N39" s="75">
        <v>32822</v>
      </c>
      <c r="O39" s="73">
        <v>33</v>
      </c>
    </row>
    <row r="40" spans="1:15" ht="27" x14ac:dyDescent="0.3">
      <c r="A40" s="72">
        <v>43615</v>
      </c>
      <c r="B40" s="73">
        <v>6</v>
      </c>
      <c r="C40" s="74">
        <v>1E-3</v>
      </c>
      <c r="D40" s="73">
        <v>7</v>
      </c>
      <c r="E40" s="74">
        <v>0</v>
      </c>
      <c r="F40" s="73">
        <v>494</v>
      </c>
      <c r="G40" s="74">
        <v>0</v>
      </c>
      <c r="H40" s="74">
        <v>0.184</v>
      </c>
      <c r="I40" s="75">
        <v>698000</v>
      </c>
      <c r="J40" s="73" t="s">
        <v>8346</v>
      </c>
      <c r="K40" s="73">
        <v>91</v>
      </c>
      <c r="L40" s="73" t="s">
        <v>8347</v>
      </c>
      <c r="M40" s="75">
        <v>269262630</v>
      </c>
      <c r="N40" s="75">
        <v>32913</v>
      </c>
      <c r="O40" s="73">
        <v>49</v>
      </c>
    </row>
    <row r="41" spans="1:15" ht="27" x14ac:dyDescent="0.3">
      <c r="A41" s="72">
        <v>43616</v>
      </c>
      <c r="B41" s="73">
        <v>8</v>
      </c>
      <c r="C41" s="74">
        <v>1E-3</v>
      </c>
      <c r="D41" s="73">
        <v>10</v>
      </c>
      <c r="E41" s="74">
        <v>1E-3</v>
      </c>
      <c r="F41" s="73">
        <v>634</v>
      </c>
      <c r="G41" s="74">
        <v>0</v>
      </c>
      <c r="H41" s="74">
        <v>0.16900000000000001</v>
      </c>
      <c r="I41" s="75">
        <v>911985</v>
      </c>
      <c r="J41" s="73" t="s">
        <v>8348</v>
      </c>
      <c r="K41" s="73">
        <v>107</v>
      </c>
      <c r="L41" s="73" t="s">
        <v>8349</v>
      </c>
      <c r="M41" s="75">
        <v>270174615</v>
      </c>
      <c r="N41" s="75">
        <v>33020</v>
      </c>
      <c r="O41" s="73">
        <v>37</v>
      </c>
    </row>
    <row r="42" spans="1:15" ht="27" x14ac:dyDescent="0.3">
      <c r="A42" s="72">
        <v>43617</v>
      </c>
      <c r="B42" s="73">
        <v>11</v>
      </c>
      <c r="C42" s="74">
        <v>2E-3</v>
      </c>
      <c r="D42" s="73">
        <v>13</v>
      </c>
      <c r="E42" s="74">
        <v>1E-3</v>
      </c>
      <c r="F42" s="73">
        <v>848</v>
      </c>
      <c r="G42" s="74">
        <v>0</v>
      </c>
      <c r="H42" s="74">
        <v>0.32400000000000001</v>
      </c>
      <c r="I42" s="75">
        <v>2148500</v>
      </c>
      <c r="J42" s="73" t="s">
        <v>8350</v>
      </c>
      <c r="K42" s="73">
        <v>275</v>
      </c>
      <c r="L42" s="73" t="s">
        <v>8351</v>
      </c>
      <c r="M42" s="75">
        <v>272323115</v>
      </c>
      <c r="N42" s="75">
        <v>33295</v>
      </c>
      <c r="O42" s="73">
        <v>27</v>
      </c>
    </row>
    <row r="43" spans="1:15" ht="27" x14ac:dyDescent="0.3">
      <c r="A43" s="72">
        <v>43618</v>
      </c>
      <c r="B43" s="73">
        <v>8</v>
      </c>
      <c r="C43" s="74">
        <v>1E-3</v>
      </c>
      <c r="D43" s="73">
        <v>11</v>
      </c>
      <c r="E43" s="74">
        <v>1E-3</v>
      </c>
      <c r="F43" s="73">
        <v>751</v>
      </c>
      <c r="G43" s="74">
        <v>0</v>
      </c>
      <c r="H43" s="74">
        <v>0.21299999999999999</v>
      </c>
      <c r="I43" s="75">
        <v>1432000</v>
      </c>
      <c r="J43" s="73" t="s">
        <v>8352</v>
      </c>
      <c r="K43" s="73">
        <v>160</v>
      </c>
      <c r="L43" s="73" t="s">
        <v>8353</v>
      </c>
      <c r="M43" s="75">
        <v>273755115</v>
      </c>
      <c r="N43" s="75">
        <v>33455</v>
      </c>
      <c r="O43" s="73">
        <v>31</v>
      </c>
    </row>
    <row r="44" spans="1:15" ht="27" x14ac:dyDescent="0.3">
      <c r="A44" s="72">
        <v>43619</v>
      </c>
      <c r="B44" s="73">
        <v>7</v>
      </c>
      <c r="C44" s="74">
        <v>1E-3</v>
      </c>
      <c r="D44" s="73">
        <v>8</v>
      </c>
      <c r="E44" s="74">
        <v>0</v>
      </c>
      <c r="F44" s="73">
        <v>681</v>
      </c>
      <c r="G44" s="74">
        <v>0</v>
      </c>
      <c r="H44" s="74">
        <v>0.11600000000000001</v>
      </c>
      <c r="I44" s="75">
        <v>650150</v>
      </c>
      <c r="J44" s="73" t="s">
        <v>8354</v>
      </c>
      <c r="K44" s="73">
        <v>79</v>
      </c>
      <c r="L44" s="73" t="s">
        <v>8355</v>
      </c>
      <c r="M44" s="75">
        <v>274405265</v>
      </c>
      <c r="N44" s="75">
        <v>33534</v>
      </c>
      <c r="O44" s="73">
        <v>43</v>
      </c>
    </row>
    <row r="45" spans="1:15" ht="27" x14ac:dyDescent="0.3">
      <c r="A45" s="72">
        <v>43620</v>
      </c>
      <c r="B45" s="73">
        <v>6</v>
      </c>
      <c r="C45" s="74">
        <v>1E-3</v>
      </c>
      <c r="D45" s="73">
        <v>7</v>
      </c>
      <c r="E45" s="74">
        <v>0</v>
      </c>
      <c r="F45" s="73">
        <v>654</v>
      </c>
      <c r="G45" s="74">
        <v>0</v>
      </c>
      <c r="H45" s="74">
        <v>0.124</v>
      </c>
      <c r="I45" s="75">
        <v>655500</v>
      </c>
      <c r="J45" s="73" t="s">
        <v>8356</v>
      </c>
      <c r="K45" s="73">
        <v>81</v>
      </c>
      <c r="L45" s="73" t="s">
        <v>3672</v>
      </c>
      <c r="M45" s="75">
        <v>275060765</v>
      </c>
      <c r="N45" s="75">
        <v>33615</v>
      </c>
      <c r="O45" s="73">
        <v>43</v>
      </c>
    </row>
    <row r="46" spans="1:15" ht="27" x14ac:dyDescent="0.3">
      <c r="A46" s="72">
        <v>43621</v>
      </c>
      <c r="B46" s="73">
        <v>9</v>
      </c>
      <c r="C46" s="74">
        <v>2E-3</v>
      </c>
      <c r="D46" s="73">
        <v>10</v>
      </c>
      <c r="E46" s="74">
        <v>1E-3</v>
      </c>
      <c r="F46" s="73">
        <v>823</v>
      </c>
      <c r="G46" s="74">
        <v>0</v>
      </c>
      <c r="H46" s="74">
        <v>0.14899999999999999</v>
      </c>
      <c r="I46" s="75">
        <v>952000</v>
      </c>
      <c r="J46" s="73" t="s">
        <v>8357</v>
      </c>
      <c r="K46" s="73">
        <v>123</v>
      </c>
      <c r="L46" s="73" t="s">
        <v>8358</v>
      </c>
      <c r="M46" s="75">
        <v>276012765</v>
      </c>
      <c r="N46" s="75">
        <v>33738</v>
      </c>
      <c r="O46" s="73">
        <v>43</v>
      </c>
    </row>
    <row r="47" spans="1:15" ht="27" x14ac:dyDescent="0.3">
      <c r="A47" s="72">
        <v>43622</v>
      </c>
      <c r="B47" s="73">
        <v>3</v>
      </c>
      <c r="C47" s="74">
        <v>1E-3</v>
      </c>
      <c r="D47" s="73">
        <v>4</v>
      </c>
      <c r="E47" s="74">
        <v>0</v>
      </c>
      <c r="F47" s="73">
        <v>190</v>
      </c>
      <c r="G47" s="74">
        <v>0</v>
      </c>
      <c r="H47" s="74">
        <v>0.68899999999999995</v>
      </c>
      <c r="I47" s="75">
        <v>1262500</v>
      </c>
      <c r="J47" s="73" t="s">
        <v>8359</v>
      </c>
      <c r="K47" s="73">
        <v>131</v>
      </c>
      <c r="L47" s="73" t="s">
        <v>8360</v>
      </c>
      <c r="M47" s="75">
        <v>277275265</v>
      </c>
      <c r="N47" s="75">
        <v>33869</v>
      </c>
      <c r="O47" s="73">
        <v>38</v>
      </c>
    </row>
    <row r="48" spans="1:15" ht="27" x14ac:dyDescent="0.3">
      <c r="A48" s="72">
        <v>43623</v>
      </c>
      <c r="B48" s="73">
        <v>4</v>
      </c>
      <c r="C48" s="74">
        <v>1E-3</v>
      </c>
      <c r="D48" s="73">
        <v>5</v>
      </c>
      <c r="E48" s="74">
        <v>0</v>
      </c>
      <c r="F48" s="73">
        <v>240</v>
      </c>
      <c r="G48" s="74">
        <v>0</v>
      </c>
      <c r="H48" s="74">
        <v>0.313</v>
      </c>
      <c r="I48" s="75">
        <v>667000</v>
      </c>
      <c r="J48" s="73" t="s">
        <v>8361</v>
      </c>
      <c r="K48" s="73">
        <v>75</v>
      </c>
      <c r="L48" s="73" t="s">
        <v>8362</v>
      </c>
      <c r="M48" s="75">
        <v>277942265</v>
      </c>
      <c r="N48" s="75">
        <v>33944</v>
      </c>
      <c r="O48" s="73">
        <v>40</v>
      </c>
    </row>
    <row r="49" spans="1:15" ht="27" x14ac:dyDescent="0.3">
      <c r="A49" s="72">
        <v>43624</v>
      </c>
      <c r="B49" s="73">
        <v>9</v>
      </c>
      <c r="C49" s="74">
        <v>2E-3</v>
      </c>
      <c r="D49" s="73">
        <v>10</v>
      </c>
      <c r="E49" s="74">
        <v>1E-3</v>
      </c>
      <c r="F49" s="73">
        <v>861</v>
      </c>
      <c r="G49" s="74">
        <v>0</v>
      </c>
      <c r="H49" s="74">
        <v>0.22500000000000001</v>
      </c>
      <c r="I49" s="75">
        <v>1621280</v>
      </c>
      <c r="J49" s="73" t="s">
        <v>8363</v>
      </c>
      <c r="K49" s="73">
        <v>194</v>
      </c>
      <c r="L49" s="73" t="s">
        <v>8364</v>
      </c>
      <c r="M49" s="75">
        <v>279563545</v>
      </c>
      <c r="N49" s="75">
        <v>34138</v>
      </c>
      <c r="O49" s="73">
        <v>26</v>
      </c>
    </row>
    <row r="50" spans="1:15" ht="27" x14ac:dyDescent="0.3">
      <c r="A50" s="72">
        <v>43625</v>
      </c>
      <c r="B50" s="73">
        <v>3</v>
      </c>
      <c r="C50" s="74">
        <v>1E-3</v>
      </c>
      <c r="D50" s="73">
        <v>4</v>
      </c>
      <c r="E50" s="74">
        <v>0</v>
      </c>
      <c r="F50" s="73">
        <v>161</v>
      </c>
      <c r="G50" s="74">
        <v>0</v>
      </c>
      <c r="H50" s="74">
        <v>0.39800000000000002</v>
      </c>
      <c r="I50" s="75">
        <v>605000</v>
      </c>
      <c r="J50" s="73" t="s">
        <v>8365</v>
      </c>
      <c r="K50" s="73">
        <v>64</v>
      </c>
      <c r="L50" s="73" t="s">
        <v>8366</v>
      </c>
      <c r="M50" s="75">
        <v>280168545</v>
      </c>
      <c r="N50" s="75">
        <v>34202</v>
      </c>
      <c r="O50" s="73">
        <v>43</v>
      </c>
    </row>
    <row r="51" spans="1:15" ht="27" x14ac:dyDescent="0.3">
      <c r="A51" s="72">
        <v>43626</v>
      </c>
      <c r="B51" s="73">
        <v>5</v>
      </c>
      <c r="C51" s="74">
        <v>1E-3</v>
      </c>
      <c r="D51" s="73">
        <v>7</v>
      </c>
      <c r="E51" s="74">
        <v>0</v>
      </c>
      <c r="F51" s="73">
        <v>362</v>
      </c>
      <c r="G51" s="74">
        <v>0</v>
      </c>
      <c r="H51" s="74">
        <v>0.29599999999999999</v>
      </c>
      <c r="I51" s="75">
        <v>765480</v>
      </c>
      <c r="J51" s="73" t="s">
        <v>8367</v>
      </c>
      <c r="K51" s="73">
        <v>107</v>
      </c>
      <c r="L51" s="73" t="s">
        <v>8368</v>
      </c>
      <c r="M51" s="75">
        <v>280934025</v>
      </c>
      <c r="N51" s="75">
        <v>34309</v>
      </c>
      <c r="O51" s="73">
        <v>38</v>
      </c>
    </row>
    <row r="52" spans="1:15" ht="27" x14ac:dyDescent="0.3">
      <c r="A52" s="72">
        <v>43627</v>
      </c>
      <c r="B52" s="73">
        <v>2</v>
      </c>
      <c r="C52" s="74">
        <v>0</v>
      </c>
      <c r="D52" s="73">
        <v>3</v>
      </c>
      <c r="E52" s="74">
        <v>0</v>
      </c>
      <c r="F52" s="73">
        <v>132</v>
      </c>
      <c r="G52" s="74">
        <v>0</v>
      </c>
      <c r="H52" s="74">
        <v>0.32600000000000001</v>
      </c>
      <c r="I52" s="75">
        <v>326480</v>
      </c>
      <c r="J52" s="73" t="s">
        <v>8369</v>
      </c>
      <c r="K52" s="73">
        <v>43</v>
      </c>
      <c r="L52" s="73" t="s">
        <v>8370</v>
      </c>
      <c r="M52" s="75">
        <v>281260505</v>
      </c>
      <c r="N52" s="75">
        <v>34352</v>
      </c>
      <c r="O52" s="73">
        <v>59</v>
      </c>
    </row>
    <row r="53" spans="1:15" ht="27" x14ac:dyDescent="0.3">
      <c r="A53" s="72">
        <v>43628</v>
      </c>
      <c r="B53" s="73">
        <v>6</v>
      </c>
      <c r="C53" s="74">
        <v>1E-3</v>
      </c>
      <c r="D53" s="73">
        <v>7</v>
      </c>
      <c r="E53" s="74">
        <v>0</v>
      </c>
      <c r="F53" s="73">
        <v>603</v>
      </c>
      <c r="G53" s="74">
        <v>0</v>
      </c>
      <c r="H53" s="74">
        <v>0.153</v>
      </c>
      <c r="I53" s="75">
        <v>698000</v>
      </c>
      <c r="J53" s="73" t="s">
        <v>8371</v>
      </c>
      <c r="K53" s="73">
        <v>92</v>
      </c>
      <c r="L53" s="73" t="s">
        <v>8372</v>
      </c>
      <c r="M53" s="75">
        <v>281958505</v>
      </c>
      <c r="N53" s="75">
        <v>34444</v>
      </c>
      <c r="O53" s="73">
        <v>51</v>
      </c>
    </row>
    <row r="54" spans="1:15" ht="27" x14ac:dyDescent="0.3">
      <c r="A54" s="72">
        <v>43629</v>
      </c>
      <c r="B54" s="73">
        <v>1</v>
      </c>
      <c r="C54" s="74">
        <v>0</v>
      </c>
      <c r="D54" s="73">
        <v>2</v>
      </c>
      <c r="E54" s="74">
        <v>0</v>
      </c>
      <c r="F54" s="73">
        <v>72</v>
      </c>
      <c r="G54" s="74">
        <v>0</v>
      </c>
      <c r="H54" s="74">
        <v>0.33300000000000002</v>
      </c>
      <c r="I54" s="75">
        <v>210500</v>
      </c>
      <c r="J54" s="73" t="s">
        <v>8373</v>
      </c>
      <c r="K54" s="73">
        <v>24</v>
      </c>
      <c r="L54" s="73" t="s">
        <v>8374</v>
      </c>
      <c r="M54" s="75">
        <v>282169005</v>
      </c>
      <c r="N54" s="75">
        <v>34468</v>
      </c>
      <c r="O54" s="73">
        <v>66</v>
      </c>
    </row>
    <row r="55" spans="1:15" ht="27" x14ac:dyDescent="0.3">
      <c r="A55" s="72">
        <v>43630</v>
      </c>
      <c r="B55" s="73">
        <v>3</v>
      </c>
      <c r="C55" s="74">
        <v>1E-3</v>
      </c>
      <c r="D55" s="73">
        <v>4</v>
      </c>
      <c r="E55" s="74">
        <v>0</v>
      </c>
      <c r="F55" s="73">
        <v>356</v>
      </c>
      <c r="G55" s="74">
        <v>0</v>
      </c>
      <c r="H55" s="74">
        <v>0.19900000000000001</v>
      </c>
      <c r="I55" s="75">
        <v>518000</v>
      </c>
      <c r="J55" s="73" t="s">
        <v>8375</v>
      </c>
      <c r="K55" s="73">
        <v>71</v>
      </c>
      <c r="L55" s="73" t="s">
        <v>8376</v>
      </c>
      <c r="M55" s="75">
        <v>282687005</v>
      </c>
      <c r="N55" s="75">
        <v>34539</v>
      </c>
      <c r="O55" s="73">
        <v>54</v>
      </c>
    </row>
    <row r="56" spans="1:15" ht="27" x14ac:dyDescent="0.3">
      <c r="A56" s="72">
        <v>43631</v>
      </c>
      <c r="B56" s="73">
        <v>4</v>
      </c>
      <c r="C56" s="74">
        <v>1E-3</v>
      </c>
      <c r="D56" s="73">
        <v>5</v>
      </c>
      <c r="E56" s="74">
        <v>0</v>
      </c>
      <c r="F56" s="73">
        <v>629</v>
      </c>
      <c r="G56" s="74">
        <v>0</v>
      </c>
      <c r="H56" s="74">
        <v>0.14499999999999999</v>
      </c>
      <c r="I56" s="75">
        <v>719500</v>
      </c>
      <c r="J56" s="73" t="s">
        <v>8377</v>
      </c>
      <c r="K56" s="73">
        <v>91</v>
      </c>
      <c r="L56" s="73" t="s">
        <v>8378</v>
      </c>
      <c r="M56" s="75">
        <v>283406505</v>
      </c>
      <c r="N56" s="75">
        <v>34630</v>
      </c>
      <c r="O56" s="73">
        <v>43</v>
      </c>
    </row>
    <row r="57" spans="1:15" ht="27" x14ac:dyDescent="0.3">
      <c r="A57" s="72">
        <v>43632</v>
      </c>
      <c r="B57" s="73">
        <v>4</v>
      </c>
      <c r="C57" s="74">
        <v>1E-3</v>
      </c>
      <c r="D57" s="73">
        <v>5</v>
      </c>
      <c r="E57" s="74">
        <v>0</v>
      </c>
      <c r="F57" s="73">
        <v>285</v>
      </c>
      <c r="G57" s="74">
        <v>0</v>
      </c>
      <c r="H57" s="74">
        <v>0.23499999999999999</v>
      </c>
      <c r="I57" s="75">
        <v>598000</v>
      </c>
      <c r="J57" s="73" t="s">
        <v>8379</v>
      </c>
      <c r="K57" s="73">
        <v>67</v>
      </c>
      <c r="L57" s="73" t="s">
        <v>8380</v>
      </c>
      <c r="M57" s="75">
        <v>284004505</v>
      </c>
      <c r="N57" s="75">
        <v>34697</v>
      </c>
      <c r="O57" s="73">
        <v>46</v>
      </c>
    </row>
    <row r="58" spans="1:15" ht="27" x14ac:dyDescent="0.3">
      <c r="A58" s="72">
        <v>43633</v>
      </c>
      <c r="B58" s="73">
        <v>2</v>
      </c>
      <c r="C58" s="74">
        <v>0</v>
      </c>
      <c r="D58" s="73">
        <v>3</v>
      </c>
      <c r="E58" s="74">
        <v>0</v>
      </c>
      <c r="F58" s="73">
        <v>162</v>
      </c>
      <c r="G58" s="74">
        <v>0</v>
      </c>
      <c r="H58" s="74">
        <v>0.11700000000000001</v>
      </c>
      <c r="I58" s="75">
        <v>148480</v>
      </c>
      <c r="J58" s="73" t="s">
        <v>8381</v>
      </c>
      <c r="K58" s="73">
        <v>19</v>
      </c>
      <c r="L58" s="73" t="s">
        <v>8382</v>
      </c>
      <c r="M58" s="75">
        <v>284152985</v>
      </c>
      <c r="N58" s="75">
        <v>34716</v>
      </c>
      <c r="O58" s="73">
        <v>57</v>
      </c>
    </row>
    <row r="59" spans="1:15" ht="27" x14ac:dyDescent="0.3">
      <c r="A59" s="72">
        <v>43634</v>
      </c>
      <c r="B59" s="73">
        <v>3</v>
      </c>
      <c r="C59" s="74">
        <v>1E-3</v>
      </c>
      <c r="D59" s="73">
        <v>4</v>
      </c>
      <c r="E59" s="74">
        <v>0</v>
      </c>
      <c r="F59" s="73">
        <v>577</v>
      </c>
      <c r="G59" s="74">
        <v>0</v>
      </c>
      <c r="H59" s="74">
        <v>8.5000000000000006E-2</v>
      </c>
      <c r="I59" s="75">
        <v>361000</v>
      </c>
      <c r="J59" s="73" t="s">
        <v>8383</v>
      </c>
      <c r="K59" s="73">
        <v>49</v>
      </c>
      <c r="L59" s="73" t="s">
        <v>8384</v>
      </c>
      <c r="M59" s="75">
        <v>284513985</v>
      </c>
      <c r="N59" s="75">
        <v>34765</v>
      </c>
      <c r="O59" s="73">
        <v>54</v>
      </c>
    </row>
    <row r="60" spans="1:15" ht="27" x14ac:dyDescent="0.3">
      <c r="A60" s="72">
        <v>43635</v>
      </c>
      <c r="B60" s="73">
        <v>1</v>
      </c>
      <c r="C60" s="74">
        <v>0</v>
      </c>
      <c r="D60" s="73">
        <v>2</v>
      </c>
      <c r="E60" s="74">
        <v>0</v>
      </c>
      <c r="F60" s="73">
        <v>72</v>
      </c>
      <c r="G60" s="74">
        <v>0</v>
      </c>
      <c r="H60" s="74">
        <v>0.38900000000000001</v>
      </c>
      <c r="I60" s="75">
        <v>219000</v>
      </c>
      <c r="J60" s="73" t="s">
        <v>8385</v>
      </c>
      <c r="K60" s="73">
        <v>28</v>
      </c>
      <c r="L60" s="73" t="s">
        <v>8386</v>
      </c>
      <c r="M60" s="75">
        <v>284732985</v>
      </c>
      <c r="N60" s="75">
        <v>34793</v>
      </c>
      <c r="O60" s="73">
        <v>63</v>
      </c>
    </row>
    <row r="61" spans="1:15" ht="27" x14ac:dyDescent="0.3">
      <c r="A61" s="72">
        <v>43637</v>
      </c>
      <c r="B61" s="73">
        <v>2</v>
      </c>
      <c r="C61" s="74">
        <v>0</v>
      </c>
      <c r="D61" s="73">
        <v>2</v>
      </c>
      <c r="E61" s="74">
        <v>0</v>
      </c>
      <c r="F61" s="73">
        <v>189</v>
      </c>
      <c r="G61" s="74">
        <v>0</v>
      </c>
      <c r="H61" s="74">
        <v>0.14299999999999999</v>
      </c>
      <c r="I61" s="75">
        <v>245000</v>
      </c>
      <c r="J61" s="73" t="s">
        <v>8248</v>
      </c>
      <c r="K61" s="73">
        <v>27</v>
      </c>
      <c r="L61" s="73" t="s">
        <v>6785</v>
      </c>
      <c r="M61" s="75">
        <v>284977985</v>
      </c>
      <c r="N61" s="75">
        <v>34820</v>
      </c>
      <c r="O61" s="73">
        <v>63</v>
      </c>
    </row>
    <row r="62" spans="1:15" ht="27" x14ac:dyDescent="0.3">
      <c r="A62" s="72">
        <v>43639</v>
      </c>
      <c r="B62" s="73">
        <v>1</v>
      </c>
      <c r="C62" s="74">
        <v>0</v>
      </c>
      <c r="D62" s="73">
        <v>1</v>
      </c>
      <c r="E62" s="74">
        <v>0</v>
      </c>
      <c r="F62" s="73">
        <v>72</v>
      </c>
      <c r="G62" s="74">
        <v>0</v>
      </c>
      <c r="H62" s="74">
        <v>0.72199999999999998</v>
      </c>
      <c r="I62" s="75">
        <v>499000</v>
      </c>
      <c r="J62" s="73" t="s">
        <v>8387</v>
      </c>
      <c r="K62" s="73">
        <v>52</v>
      </c>
      <c r="L62" s="73" t="s">
        <v>8388</v>
      </c>
      <c r="M62" s="75">
        <v>285476985</v>
      </c>
      <c r="N62" s="75">
        <v>34872</v>
      </c>
      <c r="O62" s="73">
        <v>44</v>
      </c>
    </row>
    <row r="63" spans="1:15" ht="27" x14ac:dyDescent="0.3">
      <c r="A63" s="72">
        <v>43641</v>
      </c>
      <c r="B63" s="73">
        <v>1</v>
      </c>
      <c r="C63" s="74">
        <v>0</v>
      </c>
      <c r="D63" s="73">
        <v>1</v>
      </c>
      <c r="E63" s="74">
        <v>0</v>
      </c>
      <c r="F63" s="73">
        <v>138</v>
      </c>
      <c r="G63" s="74">
        <v>0</v>
      </c>
      <c r="H63" s="74">
        <v>0.123</v>
      </c>
      <c r="I63" s="75">
        <v>99000</v>
      </c>
      <c r="J63" s="73" t="s">
        <v>2913</v>
      </c>
      <c r="K63" s="73">
        <v>17</v>
      </c>
      <c r="L63" s="73" t="s">
        <v>1401</v>
      </c>
      <c r="M63" s="75">
        <v>285575985</v>
      </c>
      <c r="N63" s="75">
        <v>34889</v>
      </c>
      <c r="O63" s="73">
        <v>77</v>
      </c>
    </row>
    <row r="64" spans="1:15" ht="27" x14ac:dyDescent="0.3">
      <c r="A64" s="72">
        <v>43642</v>
      </c>
      <c r="B64" s="73">
        <v>1</v>
      </c>
      <c r="C64" s="74">
        <v>0</v>
      </c>
      <c r="D64" s="73">
        <v>1</v>
      </c>
      <c r="E64" s="74">
        <v>0</v>
      </c>
      <c r="F64" s="73">
        <v>72</v>
      </c>
      <c r="G64" s="74">
        <v>0</v>
      </c>
      <c r="H64" s="74">
        <v>0.19400000000000001</v>
      </c>
      <c r="I64" s="75">
        <v>114000</v>
      </c>
      <c r="J64" s="73" t="s">
        <v>8389</v>
      </c>
      <c r="K64" s="73">
        <v>14</v>
      </c>
      <c r="L64" s="73" t="s">
        <v>4061</v>
      </c>
      <c r="M64" s="75">
        <v>285689985</v>
      </c>
      <c r="N64" s="75">
        <v>34903</v>
      </c>
      <c r="O64" s="73">
        <v>79</v>
      </c>
    </row>
    <row r="65" spans="1:15" ht="27" x14ac:dyDescent="0.3">
      <c r="A65" s="72">
        <v>43643</v>
      </c>
      <c r="B65" s="73">
        <v>2</v>
      </c>
      <c r="C65" s="74">
        <v>0</v>
      </c>
      <c r="D65" s="73">
        <v>2</v>
      </c>
      <c r="E65" s="74">
        <v>0</v>
      </c>
      <c r="F65" s="73">
        <v>284</v>
      </c>
      <c r="G65" s="74">
        <v>0</v>
      </c>
      <c r="H65" s="74">
        <v>0.158</v>
      </c>
      <c r="I65" s="75">
        <v>310000</v>
      </c>
      <c r="J65" s="73" t="s">
        <v>8390</v>
      </c>
      <c r="K65" s="73">
        <v>45</v>
      </c>
      <c r="L65" s="73" t="s">
        <v>8391</v>
      </c>
      <c r="M65" s="75">
        <v>285999985</v>
      </c>
      <c r="N65" s="75">
        <v>34948</v>
      </c>
      <c r="O65" s="73">
        <v>54</v>
      </c>
    </row>
    <row r="66" spans="1:15" ht="27" x14ac:dyDescent="0.3">
      <c r="A66" s="72">
        <v>43645</v>
      </c>
      <c r="B66" s="73">
        <v>1</v>
      </c>
      <c r="C66" s="74">
        <v>0</v>
      </c>
      <c r="D66" s="73">
        <v>1</v>
      </c>
      <c r="E66" s="74">
        <v>0</v>
      </c>
      <c r="F66" s="73">
        <v>72</v>
      </c>
      <c r="G66" s="74">
        <v>0</v>
      </c>
      <c r="H66" s="74">
        <v>0.40300000000000002</v>
      </c>
      <c r="I66" s="75">
        <v>264000</v>
      </c>
      <c r="J66" s="73" t="s">
        <v>8392</v>
      </c>
      <c r="K66" s="73">
        <v>29</v>
      </c>
      <c r="L66" s="73" t="s">
        <v>8393</v>
      </c>
      <c r="M66" s="75">
        <v>286263985</v>
      </c>
      <c r="N66" s="75">
        <v>34977</v>
      </c>
      <c r="O66" s="73">
        <v>71</v>
      </c>
    </row>
    <row r="67" spans="1:15" ht="27" x14ac:dyDescent="0.3">
      <c r="A67" s="72">
        <v>43646</v>
      </c>
      <c r="B67" s="73">
        <v>2</v>
      </c>
      <c r="C67" s="74">
        <v>0</v>
      </c>
      <c r="D67" s="73">
        <v>2</v>
      </c>
      <c r="E67" s="74">
        <v>0</v>
      </c>
      <c r="F67" s="73">
        <v>505</v>
      </c>
      <c r="G67" s="74">
        <v>0</v>
      </c>
      <c r="H67" s="74">
        <v>0.13300000000000001</v>
      </c>
      <c r="I67" s="75">
        <v>502000</v>
      </c>
      <c r="J67" s="73" t="s">
        <v>8394</v>
      </c>
      <c r="K67" s="73">
        <v>67</v>
      </c>
      <c r="L67" s="73" t="s">
        <v>8395</v>
      </c>
      <c r="M67" s="75">
        <v>286765985</v>
      </c>
      <c r="N67" s="75">
        <v>35044</v>
      </c>
      <c r="O67" s="73">
        <v>45</v>
      </c>
    </row>
    <row r="68" spans="1:15" ht="27" x14ac:dyDescent="0.3">
      <c r="A68" s="72">
        <v>43663</v>
      </c>
      <c r="B68" s="73">
        <v>1</v>
      </c>
      <c r="C68" s="74">
        <v>0</v>
      </c>
      <c r="D68" s="73">
        <v>1</v>
      </c>
      <c r="E68" s="74">
        <v>0</v>
      </c>
      <c r="F68" s="73">
        <v>212</v>
      </c>
      <c r="G68" s="74">
        <v>0</v>
      </c>
      <c r="H68" s="74">
        <v>6.0999999999999999E-2</v>
      </c>
      <c r="I68" s="75">
        <v>65000</v>
      </c>
      <c r="J68" s="73" t="s">
        <v>8396</v>
      </c>
      <c r="K68" s="73">
        <v>13</v>
      </c>
      <c r="L68" s="73" t="s">
        <v>4353</v>
      </c>
      <c r="M68" s="75">
        <v>286830985</v>
      </c>
      <c r="N68" s="75">
        <v>35057</v>
      </c>
      <c r="O68" s="73">
        <v>79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5864D-4ECA-4D36-9411-5FCB92FE36C1}">
  <dimension ref="A1:O100"/>
  <sheetViews>
    <sheetView workbookViewId="0">
      <selection activeCell="A5" sqref="A5:O5"/>
    </sheetView>
  </sheetViews>
  <sheetFormatPr defaultRowHeight="16.5" x14ac:dyDescent="0.3"/>
  <sheetData>
    <row r="1" spans="1:15" ht="19.5" x14ac:dyDescent="0.3">
      <c r="A1" s="197" t="s">
        <v>8397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83" t="s">
        <v>111</v>
      </c>
      <c r="B4" s="78" t="s">
        <v>112</v>
      </c>
      <c r="C4" s="78" t="s">
        <v>113</v>
      </c>
      <c r="D4" s="78" t="s">
        <v>114</v>
      </c>
      <c r="E4" s="78" t="s">
        <v>115</v>
      </c>
      <c r="F4" s="78" t="s">
        <v>116</v>
      </c>
      <c r="G4" s="78" t="s">
        <v>117</v>
      </c>
      <c r="H4" s="78" t="s">
        <v>118</v>
      </c>
      <c r="I4" s="78" t="s">
        <v>119</v>
      </c>
      <c r="J4" s="78" t="s">
        <v>120</v>
      </c>
      <c r="K4" s="78" t="s">
        <v>121</v>
      </c>
      <c r="L4" s="78" t="s">
        <v>122</v>
      </c>
      <c r="M4" s="78" t="s">
        <v>123</v>
      </c>
      <c r="N4" s="78" t="s">
        <v>124</v>
      </c>
      <c r="O4" s="84" t="s">
        <v>125</v>
      </c>
    </row>
    <row r="5" spans="1:15" ht="27" x14ac:dyDescent="0.3">
      <c r="A5" s="79">
        <v>39051</v>
      </c>
      <c r="B5" s="80">
        <v>131</v>
      </c>
      <c r="C5" s="81">
        <v>7.9000000000000001E-2</v>
      </c>
      <c r="D5" s="80">
        <v>784</v>
      </c>
      <c r="E5" s="81">
        <v>9.9000000000000005E-2</v>
      </c>
      <c r="F5" s="82">
        <v>157462</v>
      </c>
      <c r="G5" s="81">
        <v>0.107</v>
      </c>
      <c r="H5" s="81">
        <v>0.17199999999999999</v>
      </c>
      <c r="I5" s="82">
        <v>151450500</v>
      </c>
      <c r="J5" s="80" t="s">
        <v>8398</v>
      </c>
      <c r="K5" s="82">
        <v>27159</v>
      </c>
      <c r="L5" s="80" t="s">
        <v>8399</v>
      </c>
      <c r="M5" s="82">
        <v>151450500</v>
      </c>
      <c r="N5" s="82">
        <v>27159</v>
      </c>
      <c r="O5" s="80">
        <v>4</v>
      </c>
    </row>
    <row r="6" spans="1:15" ht="27" x14ac:dyDescent="0.3">
      <c r="A6" s="79">
        <v>39052</v>
      </c>
      <c r="B6" s="80">
        <v>149</v>
      </c>
      <c r="C6" s="81">
        <v>8.1000000000000003E-2</v>
      </c>
      <c r="D6" s="80">
        <v>866</v>
      </c>
      <c r="E6" s="81">
        <v>9.6000000000000002E-2</v>
      </c>
      <c r="F6" s="82">
        <v>174478</v>
      </c>
      <c r="G6" s="81">
        <v>0.105</v>
      </c>
      <c r="H6" s="81">
        <v>0.187</v>
      </c>
      <c r="I6" s="82">
        <v>186495000</v>
      </c>
      <c r="J6" s="80" t="s">
        <v>8400</v>
      </c>
      <c r="K6" s="82">
        <v>32630</v>
      </c>
      <c r="L6" s="80" t="s">
        <v>8401</v>
      </c>
      <c r="M6" s="82">
        <v>337945500</v>
      </c>
      <c r="N6" s="82">
        <v>59789</v>
      </c>
      <c r="O6" s="80">
        <v>3</v>
      </c>
    </row>
    <row r="7" spans="1:15" ht="27" x14ac:dyDescent="0.3">
      <c r="A7" s="79">
        <v>39053</v>
      </c>
      <c r="B7" s="80">
        <v>175</v>
      </c>
      <c r="C7" s="81">
        <v>8.6999999999999994E-2</v>
      </c>
      <c r="D7" s="80">
        <v>966</v>
      </c>
      <c r="E7" s="81">
        <v>9.7000000000000003E-2</v>
      </c>
      <c r="F7" s="82">
        <v>207556</v>
      </c>
      <c r="G7" s="81">
        <v>0.114</v>
      </c>
      <c r="H7" s="81">
        <v>0.34</v>
      </c>
      <c r="I7" s="82">
        <v>430670500</v>
      </c>
      <c r="J7" s="80" t="s">
        <v>8402</v>
      </c>
      <c r="K7" s="82">
        <v>70629</v>
      </c>
      <c r="L7" s="80" t="s">
        <v>8403</v>
      </c>
      <c r="M7" s="82">
        <v>768616000</v>
      </c>
      <c r="N7" s="82">
        <v>130418</v>
      </c>
      <c r="O7" s="80">
        <v>2</v>
      </c>
    </row>
    <row r="8" spans="1:15" ht="27" x14ac:dyDescent="0.3">
      <c r="A8" s="79">
        <v>39054</v>
      </c>
      <c r="B8" s="80">
        <v>160</v>
      </c>
      <c r="C8" s="81">
        <v>8.4000000000000005E-2</v>
      </c>
      <c r="D8" s="80">
        <v>919</v>
      </c>
      <c r="E8" s="81">
        <v>9.8000000000000004E-2</v>
      </c>
      <c r="F8" s="82">
        <v>197935</v>
      </c>
      <c r="G8" s="81">
        <v>0.114</v>
      </c>
      <c r="H8" s="81">
        <v>0.315</v>
      </c>
      <c r="I8" s="82">
        <v>393061500</v>
      </c>
      <c r="J8" s="80" t="s">
        <v>8404</v>
      </c>
      <c r="K8" s="82">
        <v>62335</v>
      </c>
      <c r="L8" s="80" t="s">
        <v>8405</v>
      </c>
      <c r="M8" s="82">
        <v>1161677500</v>
      </c>
      <c r="N8" s="82">
        <v>192753</v>
      </c>
      <c r="O8" s="80">
        <v>2</v>
      </c>
    </row>
    <row r="9" spans="1:15" ht="40.5" x14ac:dyDescent="0.3">
      <c r="A9" s="79">
        <v>39055</v>
      </c>
      <c r="B9" s="80">
        <v>146</v>
      </c>
      <c r="C9" s="81">
        <v>8.1000000000000003E-2</v>
      </c>
      <c r="D9" s="80">
        <v>837</v>
      </c>
      <c r="E9" s="81">
        <v>0.10199999999999999</v>
      </c>
      <c r="F9" s="82">
        <v>174114</v>
      </c>
      <c r="G9" s="81">
        <v>0.114</v>
      </c>
      <c r="H9" s="81">
        <v>0.11600000000000001</v>
      </c>
      <c r="I9" s="82">
        <v>114442500</v>
      </c>
      <c r="J9" s="80" t="s">
        <v>8406</v>
      </c>
      <c r="K9" s="82">
        <v>20275</v>
      </c>
      <c r="L9" s="80" t="s">
        <v>8407</v>
      </c>
      <c r="M9" s="82">
        <v>1276120000</v>
      </c>
      <c r="N9" s="82">
        <v>213028</v>
      </c>
      <c r="O9" s="80">
        <v>3</v>
      </c>
    </row>
    <row r="10" spans="1:15" ht="27" x14ac:dyDescent="0.3">
      <c r="A10" s="79">
        <v>39056</v>
      </c>
      <c r="B10" s="80">
        <v>147</v>
      </c>
      <c r="C10" s="81">
        <v>8.1000000000000003E-2</v>
      </c>
      <c r="D10" s="80">
        <v>832</v>
      </c>
      <c r="E10" s="81">
        <v>0.10100000000000001</v>
      </c>
      <c r="F10" s="82">
        <v>171649</v>
      </c>
      <c r="G10" s="81">
        <v>0.112</v>
      </c>
      <c r="H10" s="81">
        <v>0.11</v>
      </c>
      <c r="I10" s="82">
        <v>107614500</v>
      </c>
      <c r="J10" s="80" t="s">
        <v>8408</v>
      </c>
      <c r="K10" s="82">
        <v>18877</v>
      </c>
      <c r="L10" s="80" t="s">
        <v>8409</v>
      </c>
      <c r="M10" s="82">
        <v>1383734500</v>
      </c>
      <c r="N10" s="82">
        <v>231905</v>
      </c>
      <c r="O10" s="80">
        <v>3</v>
      </c>
    </row>
    <row r="11" spans="1:15" ht="27" x14ac:dyDescent="0.3">
      <c r="A11" s="79">
        <v>39057</v>
      </c>
      <c r="B11" s="80">
        <v>146</v>
      </c>
      <c r="C11" s="81">
        <v>7.5999999999999998E-2</v>
      </c>
      <c r="D11" s="80">
        <v>836</v>
      </c>
      <c r="E11" s="81">
        <v>0.1</v>
      </c>
      <c r="F11" s="82">
        <v>171194</v>
      </c>
      <c r="G11" s="81">
        <v>0.111</v>
      </c>
      <c r="H11" s="81">
        <v>0.11799999999999999</v>
      </c>
      <c r="I11" s="82">
        <v>111638000</v>
      </c>
      <c r="J11" s="80" t="s">
        <v>8410</v>
      </c>
      <c r="K11" s="82">
        <v>20217</v>
      </c>
      <c r="L11" s="80" t="s">
        <v>8411</v>
      </c>
      <c r="M11" s="82">
        <v>1495372500</v>
      </c>
      <c r="N11" s="82">
        <v>252122</v>
      </c>
      <c r="O11" s="80">
        <v>2</v>
      </c>
    </row>
    <row r="12" spans="1:15" ht="27" x14ac:dyDescent="0.3">
      <c r="A12" s="79">
        <v>39058</v>
      </c>
      <c r="B12" s="80">
        <v>146</v>
      </c>
      <c r="C12" s="81">
        <v>7.2999999999999995E-2</v>
      </c>
      <c r="D12" s="80">
        <v>687</v>
      </c>
      <c r="E12" s="81">
        <v>7.5999999999999998E-2</v>
      </c>
      <c r="F12" s="82">
        <v>117752</v>
      </c>
      <c r="G12" s="81">
        <v>7.0000000000000007E-2</v>
      </c>
      <c r="H12" s="81">
        <v>0.115</v>
      </c>
      <c r="I12" s="82">
        <v>75831000</v>
      </c>
      <c r="J12" s="80" t="s">
        <v>8412</v>
      </c>
      <c r="K12" s="82">
        <v>13579</v>
      </c>
      <c r="L12" s="80" t="s">
        <v>8413</v>
      </c>
      <c r="M12" s="82">
        <v>1571203500</v>
      </c>
      <c r="N12" s="82">
        <v>265701</v>
      </c>
      <c r="O12" s="80">
        <v>5</v>
      </c>
    </row>
    <row r="13" spans="1:15" ht="27" x14ac:dyDescent="0.3">
      <c r="A13" s="79">
        <v>39059</v>
      </c>
      <c r="B13" s="80">
        <v>144</v>
      </c>
      <c r="C13" s="81">
        <v>7.1999999999999995E-2</v>
      </c>
      <c r="D13" s="80">
        <v>736</v>
      </c>
      <c r="E13" s="81">
        <v>7.6999999999999999E-2</v>
      </c>
      <c r="F13" s="82">
        <v>127843</v>
      </c>
      <c r="G13" s="81">
        <v>7.1999999999999995E-2</v>
      </c>
      <c r="H13" s="81">
        <v>0.154</v>
      </c>
      <c r="I13" s="82">
        <v>111630500</v>
      </c>
      <c r="J13" s="80" t="s">
        <v>8414</v>
      </c>
      <c r="K13" s="82">
        <v>19646</v>
      </c>
      <c r="L13" s="80" t="s">
        <v>8415</v>
      </c>
      <c r="M13" s="82">
        <v>1682834000</v>
      </c>
      <c r="N13" s="82">
        <v>285347</v>
      </c>
      <c r="O13" s="80">
        <v>5</v>
      </c>
    </row>
    <row r="14" spans="1:15" ht="27" x14ac:dyDescent="0.3">
      <c r="A14" s="79">
        <v>39060</v>
      </c>
      <c r="B14" s="80">
        <v>141</v>
      </c>
      <c r="C14" s="81">
        <v>6.6000000000000003E-2</v>
      </c>
      <c r="D14" s="80">
        <v>763</v>
      </c>
      <c r="E14" s="81">
        <v>7.3999999999999996E-2</v>
      </c>
      <c r="F14" s="82">
        <v>131041</v>
      </c>
      <c r="G14" s="81">
        <v>6.9000000000000006E-2</v>
      </c>
      <c r="H14" s="81">
        <v>0.34799999999999998</v>
      </c>
      <c r="I14" s="82">
        <v>272224500</v>
      </c>
      <c r="J14" s="80" t="s">
        <v>8416</v>
      </c>
      <c r="K14" s="82">
        <v>45614</v>
      </c>
      <c r="L14" s="80" t="s">
        <v>8417</v>
      </c>
      <c r="M14" s="82">
        <v>1955058500</v>
      </c>
      <c r="N14" s="82">
        <v>330961</v>
      </c>
      <c r="O14" s="80">
        <v>4</v>
      </c>
    </row>
    <row r="15" spans="1:15" ht="27" x14ac:dyDescent="0.3">
      <c r="A15" s="79">
        <v>39061</v>
      </c>
      <c r="B15" s="80">
        <v>140</v>
      </c>
      <c r="C15" s="81">
        <v>7.0000000000000007E-2</v>
      </c>
      <c r="D15" s="80">
        <v>750</v>
      </c>
      <c r="E15" s="81">
        <v>7.6999999999999999E-2</v>
      </c>
      <c r="F15" s="82">
        <v>128479</v>
      </c>
      <c r="G15" s="81">
        <v>7.0999999999999994E-2</v>
      </c>
      <c r="H15" s="81">
        <v>0.31900000000000001</v>
      </c>
      <c r="I15" s="82">
        <v>253889500</v>
      </c>
      <c r="J15" s="80" t="s">
        <v>8418</v>
      </c>
      <c r="K15" s="82">
        <v>40959</v>
      </c>
      <c r="L15" s="80" t="s">
        <v>8419</v>
      </c>
      <c r="M15" s="82">
        <v>2208948000</v>
      </c>
      <c r="N15" s="82">
        <v>371920</v>
      </c>
      <c r="O15" s="80">
        <v>5</v>
      </c>
    </row>
    <row r="16" spans="1:15" ht="40.5" x14ac:dyDescent="0.3">
      <c r="A16" s="79">
        <v>39062</v>
      </c>
      <c r="B16" s="80">
        <v>140</v>
      </c>
      <c r="C16" s="81">
        <v>7.0999999999999994E-2</v>
      </c>
      <c r="D16" s="80">
        <v>694</v>
      </c>
      <c r="E16" s="81">
        <v>7.6999999999999999E-2</v>
      </c>
      <c r="F16" s="82">
        <v>118417</v>
      </c>
      <c r="G16" s="81">
        <v>7.0999999999999994E-2</v>
      </c>
      <c r="H16" s="81">
        <v>9.8000000000000004E-2</v>
      </c>
      <c r="I16" s="82">
        <v>66417000</v>
      </c>
      <c r="J16" s="80" t="s">
        <v>8420</v>
      </c>
      <c r="K16" s="82">
        <v>11661</v>
      </c>
      <c r="L16" s="80" t="s">
        <v>8421</v>
      </c>
      <c r="M16" s="82">
        <v>2275365000</v>
      </c>
      <c r="N16" s="82">
        <v>383581</v>
      </c>
      <c r="O16" s="80">
        <v>5</v>
      </c>
    </row>
    <row r="17" spans="1:15" ht="27" x14ac:dyDescent="0.3">
      <c r="A17" s="79">
        <v>39063</v>
      </c>
      <c r="B17" s="80">
        <v>140</v>
      </c>
      <c r="C17" s="81">
        <v>7.0999999999999994E-2</v>
      </c>
      <c r="D17" s="80">
        <v>680</v>
      </c>
      <c r="E17" s="81">
        <v>7.5999999999999998E-2</v>
      </c>
      <c r="F17" s="82">
        <v>114042</v>
      </c>
      <c r="G17" s="81">
        <v>6.9000000000000006E-2</v>
      </c>
      <c r="H17" s="81">
        <v>0.107</v>
      </c>
      <c r="I17" s="82">
        <v>68864000</v>
      </c>
      <c r="J17" s="80" t="s">
        <v>8422</v>
      </c>
      <c r="K17" s="82">
        <v>12189</v>
      </c>
      <c r="L17" s="80" t="s">
        <v>8423</v>
      </c>
      <c r="M17" s="82">
        <v>2344229000</v>
      </c>
      <c r="N17" s="82">
        <v>395770</v>
      </c>
      <c r="O17" s="80">
        <v>5</v>
      </c>
    </row>
    <row r="18" spans="1:15" ht="27" x14ac:dyDescent="0.3">
      <c r="A18" s="79">
        <v>39064</v>
      </c>
      <c r="B18" s="80">
        <v>112</v>
      </c>
      <c r="C18" s="81">
        <v>5.8000000000000003E-2</v>
      </c>
      <c r="D18" s="80">
        <v>402</v>
      </c>
      <c r="E18" s="81">
        <v>4.4999999999999998E-2</v>
      </c>
      <c r="F18" s="82">
        <v>58928</v>
      </c>
      <c r="G18" s="81">
        <v>3.5999999999999997E-2</v>
      </c>
      <c r="H18" s="81">
        <v>0.13600000000000001</v>
      </c>
      <c r="I18" s="82">
        <v>44273500</v>
      </c>
      <c r="J18" s="80" t="s">
        <v>8424</v>
      </c>
      <c r="K18" s="82">
        <v>8004</v>
      </c>
      <c r="L18" s="80" t="s">
        <v>8425</v>
      </c>
      <c r="M18" s="82">
        <v>2388502500</v>
      </c>
      <c r="N18" s="82">
        <v>403774</v>
      </c>
      <c r="O18" s="80">
        <v>7</v>
      </c>
    </row>
    <row r="19" spans="1:15" ht="27" x14ac:dyDescent="0.3">
      <c r="A19" s="79">
        <v>39065</v>
      </c>
      <c r="B19" s="80">
        <v>107</v>
      </c>
      <c r="C19" s="81">
        <v>5.7000000000000002E-2</v>
      </c>
      <c r="D19" s="80">
        <v>389</v>
      </c>
      <c r="E19" s="81">
        <v>4.2999999999999997E-2</v>
      </c>
      <c r="F19" s="82">
        <v>54934</v>
      </c>
      <c r="G19" s="81">
        <v>3.3000000000000002E-2</v>
      </c>
      <c r="H19" s="81">
        <v>0.13300000000000001</v>
      </c>
      <c r="I19" s="82">
        <v>41681000</v>
      </c>
      <c r="J19" s="80" t="s">
        <v>8426</v>
      </c>
      <c r="K19" s="82">
        <v>7316</v>
      </c>
      <c r="L19" s="80" t="s">
        <v>8427</v>
      </c>
      <c r="M19" s="82">
        <v>2430183500</v>
      </c>
      <c r="N19" s="82">
        <v>411090</v>
      </c>
      <c r="O19" s="80">
        <v>8</v>
      </c>
    </row>
    <row r="20" spans="1:15" ht="27" x14ac:dyDescent="0.3">
      <c r="A20" s="79">
        <v>39066</v>
      </c>
      <c r="B20" s="80">
        <v>115</v>
      </c>
      <c r="C20" s="81">
        <v>0.06</v>
      </c>
      <c r="D20" s="80">
        <v>406</v>
      </c>
      <c r="E20" s="81">
        <v>4.2000000000000003E-2</v>
      </c>
      <c r="F20" s="82">
        <v>57027</v>
      </c>
      <c r="G20" s="81">
        <v>3.3000000000000002E-2</v>
      </c>
      <c r="H20" s="81">
        <v>0.159</v>
      </c>
      <c r="I20" s="82">
        <v>50446000</v>
      </c>
      <c r="J20" s="80" t="s">
        <v>8428</v>
      </c>
      <c r="K20" s="82">
        <v>9082</v>
      </c>
      <c r="L20" s="80" t="s">
        <v>8429</v>
      </c>
      <c r="M20" s="82">
        <v>2480629500</v>
      </c>
      <c r="N20" s="82">
        <v>420172</v>
      </c>
      <c r="O20" s="80">
        <v>7</v>
      </c>
    </row>
    <row r="21" spans="1:15" ht="27" x14ac:dyDescent="0.3">
      <c r="A21" s="79">
        <v>39067</v>
      </c>
      <c r="B21" s="80">
        <v>106</v>
      </c>
      <c r="C21" s="81">
        <v>5.2999999999999999E-2</v>
      </c>
      <c r="D21" s="80">
        <v>416</v>
      </c>
      <c r="E21" s="81">
        <v>4.1000000000000002E-2</v>
      </c>
      <c r="F21" s="82">
        <v>56091</v>
      </c>
      <c r="G21" s="81">
        <v>0.03</v>
      </c>
      <c r="H21" s="81">
        <v>0.34499999999999997</v>
      </c>
      <c r="I21" s="82">
        <v>113318500</v>
      </c>
      <c r="J21" s="80" t="s">
        <v>8430</v>
      </c>
      <c r="K21" s="82">
        <v>19352</v>
      </c>
      <c r="L21" s="80" t="s">
        <v>8431</v>
      </c>
      <c r="M21" s="82">
        <v>2593948000</v>
      </c>
      <c r="N21" s="82">
        <v>439524</v>
      </c>
      <c r="O21" s="80">
        <v>7</v>
      </c>
    </row>
    <row r="22" spans="1:15" ht="27" x14ac:dyDescent="0.3">
      <c r="A22" s="79">
        <v>39068</v>
      </c>
      <c r="B22" s="80">
        <v>108</v>
      </c>
      <c r="C22" s="81">
        <v>5.6000000000000001E-2</v>
      </c>
      <c r="D22" s="80">
        <v>422</v>
      </c>
      <c r="E22" s="81">
        <v>4.2999999999999997E-2</v>
      </c>
      <c r="F22" s="82">
        <v>57709</v>
      </c>
      <c r="G22" s="81">
        <v>3.3000000000000002E-2</v>
      </c>
      <c r="H22" s="81">
        <v>0.33</v>
      </c>
      <c r="I22" s="82">
        <v>116290500</v>
      </c>
      <c r="J22" s="80" t="s">
        <v>8432</v>
      </c>
      <c r="K22" s="82">
        <v>19062</v>
      </c>
      <c r="L22" s="80" t="s">
        <v>8433</v>
      </c>
      <c r="M22" s="82">
        <v>2710238500</v>
      </c>
      <c r="N22" s="82">
        <v>458586</v>
      </c>
      <c r="O22" s="80">
        <v>7</v>
      </c>
    </row>
    <row r="23" spans="1:15" ht="27" x14ac:dyDescent="0.3">
      <c r="A23" s="79">
        <v>39069</v>
      </c>
      <c r="B23" s="80">
        <v>102</v>
      </c>
      <c r="C23" s="81">
        <v>5.5E-2</v>
      </c>
      <c r="D23" s="80">
        <v>357</v>
      </c>
      <c r="E23" s="81">
        <v>0.04</v>
      </c>
      <c r="F23" s="82">
        <v>51169</v>
      </c>
      <c r="G23" s="81">
        <v>3.2000000000000001E-2</v>
      </c>
      <c r="H23" s="81">
        <v>0.108</v>
      </c>
      <c r="I23" s="82">
        <v>32163000</v>
      </c>
      <c r="J23" s="80" t="s">
        <v>8434</v>
      </c>
      <c r="K23" s="82">
        <v>5522</v>
      </c>
      <c r="L23" s="80" t="s">
        <v>8435</v>
      </c>
      <c r="M23" s="82">
        <v>2742401500</v>
      </c>
      <c r="N23" s="82">
        <v>464108</v>
      </c>
      <c r="O23" s="80">
        <v>8</v>
      </c>
    </row>
    <row r="24" spans="1:15" ht="27" x14ac:dyDescent="0.3">
      <c r="A24" s="79">
        <v>39070</v>
      </c>
      <c r="B24" s="80">
        <v>104</v>
      </c>
      <c r="C24" s="81">
        <v>5.5E-2</v>
      </c>
      <c r="D24" s="80">
        <v>370</v>
      </c>
      <c r="E24" s="81">
        <v>4.2000000000000003E-2</v>
      </c>
      <c r="F24" s="82">
        <v>52935</v>
      </c>
      <c r="G24" s="81">
        <v>3.3000000000000002E-2</v>
      </c>
      <c r="H24" s="81">
        <v>0.105</v>
      </c>
      <c r="I24" s="82">
        <v>32219500</v>
      </c>
      <c r="J24" s="80" t="s">
        <v>8436</v>
      </c>
      <c r="K24" s="82">
        <v>5546</v>
      </c>
      <c r="L24" s="80" t="s">
        <v>8437</v>
      </c>
      <c r="M24" s="82">
        <v>2774621000</v>
      </c>
      <c r="N24" s="82">
        <v>469654</v>
      </c>
      <c r="O24" s="80">
        <v>8</v>
      </c>
    </row>
    <row r="25" spans="1:15" ht="27" x14ac:dyDescent="0.3">
      <c r="A25" s="79">
        <v>39071</v>
      </c>
      <c r="B25" s="80">
        <v>9</v>
      </c>
      <c r="C25" s="81">
        <v>4.0000000000000001E-3</v>
      </c>
      <c r="D25" s="80">
        <v>23</v>
      </c>
      <c r="E25" s="81">
        <v>2E-3</v>
      </c>
      <c r="F25" s="82">
        <v>3207</v>
      </c>
      <c r="G25" s="81">
        <v>2E-3</v>
      </c>
      <c r="H25" s="81">
        <v>0.127</v>
      </c>
      <c r="I25" s="82">
        <v>2470500</v>
      </c>
      <c r="J25" s="80" t="s">
        <v>8438</v>
      </c>
      <c r="K25" s="80">
        <v>406</v>
      </c>
      <c r="L25" s="80" t="s">
        <v>8439</v>
      </c>
      <c r="M25" s="82">
        <v>2777091500</v>
      </c>
      <c r="N25" s="82">
        <v>470060</v>
      </c>
      <c r="O25" s="80">
        <v>17</v>
      </c>
    </row>
    <row r="26" spans="1:15" ht="27" x14ac:dyDescent="0.3">
      <c r="A26" s="79">
        <v>39072</v>
      </c>
      <c r="B26" s="80">
        <v>2</v>
      </c>
      <c r="C26" s="81">
        <v>1E-3</v>
      </c>
      <c r="D26" s="80">
        <v>6</v>
      </c>
      <c r="E26" s="81">
        <v>1E-3</v>
      </c>
      <c r="F26" s="80">
        <v>497</v>
      </c>
      <c r="G26" s="81">
        <v>0</v>
      </c>
      <c r="H26" s="81">
        <v>9.0999999999999998E-2</v>
      </c>
      <c r="I26" s="82">
        <v>199000</v>
      </c>
      <c r="J26" s="80" t="s">
        <v>8440</v>
      </c>
      <c r="K26" s="80">
        <v>45</v>
      </c>
      <c r="L26" s="80" t="s">
        <v>8441</v>
      </c>
      <c r="M26" s="82">
        <v>2777290500</v>
      </c>
      <c r="N26" s="82">
        <v>470105</v>
      </c>
      <c r="O26" s="80">
        <v>25</v>
      </c>
    </row>
    <row r="27" spans="1:15" ht="27" x14ac:dyDescent="0.3">
      <c r="A27" s="79">
        <v>39073</v>
      </c>
      <c r="B27" s="80">
        <v>3</v>
      </c>
      <c r="C27" s="81">
        <v>1E-3</v>
      </c>
      <c r="D27" s="80">
        <v>8</v>
      </c>
      <c r="E27" s="81">
        <v>1E-3</v>
      </c>
      <c r="F27" s="80">
        <v>770</v>
      </c>
      <c r="G27" s="81">
        <v>0</v>
      </c>
      <c r="H27" s="81">
        <v>0.29399999999999998</v>
      </c>
      <c r="I27" s="82">
        <v>908000</v>
      </c>
      <c r="J27" s="80" t="s">
        <v>8442</v>
      </c>
      <c r="K27" s="80">
        <v>226</v>
      </c>
      <c r="L27" s="80" t="s">
        <v>8443</v>
      </c>
      <c r="M27" s="82">
        <v>2778198500</v>
      </c>
      <c r="N27" s="82">
        <v>470331</v>
      </c>
      <c r="O27" s="80">
        <v>16</v>
      </c>
    </row>
    <row r="28" spans="1:15" ht="27" x14ac:dyDescent="0.3">
      <c r="A28" s="79">
        <v>39074</v>
      </c>
      <c r="B28" s="80">
        <v>2</v>
      </c>
      <c r="C28" s="81">
        <v>1E-3</v>
      </c>
      <c r="D28" s="80">
        <v>9</v>
      </c>
      <c r="E28" s="81">
        <v>1E-3</v>
      </c>
      <c r="F28" s="80">
        <v>739</v>
      </c>
      <c r="G28" s="81">
        <v>0</v>
      </c>
      <c r="H28" s="81">
        <v>0.27500000000000002</v>
      </c>
      <c r="I28" s="82">
        <v>1091000</v>
      </c>
      <c r="J28" s="80" t="s">
        <v>8444</v>
      </c>
      <c r="K28" s="80">
        <v>203</v>
      </c>
      <c r="L28" s="80" t="s">
        <v>8445</v>
      </c>
      <c r="M28" s="82">
        <v>2779289500</v>
      </c>
      <c r="N28" s="82">
        <v>470534</v>
      </c>
      <c r="O28" s="80">
        <v>24</v>
      </c>
    </row>
    <row r="29" spans="1:15" ht="27" x14ac:dyDescent="0.3">
      <c r="A29" s="79">
        <v>39075</v>
      </c>
      <c r="B29" s="80">
        <v>2</v>
      </c>
      <c r="C29" s="81">
        <v>1E-3</v>
      </c>
      <c r="D29" s="80">
        <v>9</v>
      </c>
      <c r="E29" s="81">
        <v>1E-3</v>
      </c>
      <c r="F29" s="80">
        <v>739</v>
      </c>
      <c r="G29" s="81">
        <v>0</v>
      </c>
      <c r="H29" s="81">
        <v>0.54700000000000004</v>
      </c>
      <c r="I29" s="82">
        <v>2210000</v>
      </c>
      <c r="J29" s="80" t="s">
        <v>8446</v>
      </c>
      <c r="K29" s="80">
        <v>404</v>
      </c>
      <c r="L29" s="80" t="s">
        <v>8447</v>
      </c>
      <c r="M29" s="82">
        <v>2781499500</v>
      </c>
      <c r="N29" s="82">
        <v>470938</v>
      </c>
      <c r="O29" s="80">
        <v>20</v>
      </c>
    </row>
    <row r="30" spans="1:15" ht="27" x14ac:dyDescent="0.3">
      <c r="A30" s="79">
        <v>39076</v>
      </c>
      <c r="B30" s="80">
        <v>2</v>
      </c>
      <c r="C30" s="81">
        <v>1E-3</v>
      </c>
      <c r="D30" s="80">
        <v>9</v>
      </c>
      <c r="E30" s="81">
        <v>1E-3</v>
      </c>
      <c r="F30" s="80">
        <v>739</v>
      </c>
      <c r="G30" s="81">
        <v>0</v>
      </c>
      <c r="H30" s="81">
        <v>0.44400000000000001</v>
      </c>
      <c r="I30" s="82">
        <v>1804000</v>
      </c>
      <c r="J30" s="80" t="s">
        <v>8448</v>
      </c>
      <c r="K30" s="80">
        <v>328</v>
      </c>
      <c r="L30" s="80" t="s">
        <v>8449</v>
      </c>
      <c r="M30" s="82">
        <v>2783303500</v>
      </c>
      <c r="N30" s="82">
        <v>471266</v>
      </c>
      <c r="O30" s="80">
        <v>20</v>
      </c>
    </row>
    <row r="31" spans="1:15" ht="27" x14ac:dyDescent="0.3">
      <c r="A31" s="79">
        <v>39077</v>
      </c>
      <c r="B31" s="80">
        <v>2</v>
      </c>
      <c r="C31" s="81">
        <v>1E-3</v>
      </c>
      <c r="D31" s="80">
        <v>5</v>
      </c>
      <c r="E31" s="81">
        <v>1E-3</v>
      </c>
      <c r="F31" s="80">
        <v>412</v>
      </c>
      <c r="G31" s="81">
        <v>0</v>
      </c>
      <c r="H31" s="81">
        <v>3.2000000000000001E-2</v>
      </c>
      <c r="I31" s="82">
        <v>65000</v>
      </c>
      <c r="J31" s="80" t="s">
        <v>8450</v>
      </c>
      <c r="K31" s="80">
        <v>13</v>
      </c>
      <c r="L31" s="80" t="s">
        <v>8451</v>
      </c>
      <c r="M31" s="82">
        <v>2783368500</v>
      </c>
      <c r="N31" s="82">
        <v>471279</v>
      </c>
      <c r="O31" s="80">
        <v>31</v>
      </c>
    </row>
    <row r="32" spans="1:15" ht="27" x14ac:dyDescent="0.3">
      <c r="A32" s="79">
        <v>39078</v>
      </c>
      <c r="B32" s="80">
        <v>2</v>
      </c>
      <c r="C32" s="81">
        <v>1E-3</v>
      </c>
      <c r="D32" s="80">
        <v>6</v>
      </c>
      <c r="E32" s="81">
        <v>1E-3</v>
      </c>
      <c r="F32" s="80">
        <v>484</v>
      </c>
      <c r="G32" s="81">
        <v>0</v>
      </c>
      <c r="H32" s="81">
        <v>3.9E-2</v>
      </c>
      <c r="I32" s="82">
        <v>90000</v>
      </c>
      <c r="J32" s="80" t="s">
        <v>8452</v>
      </c>
      <c r="K32" s="80">
        <v>19</v>
      </c>
      <c r="L32" s="80" t="s">
        <v>8453</v>
      </c>
      <c r="M32" s="82">
        <v>2783458500</v>
      </c>
      <c r="N32" s="82">
        <v>471298</v>
      </c>
      <c r="O32" s="80">
        <v>31</v>
      </c>
    </row>
    <row r="33" spans="1:15" ht="27" x14ac:dyDescent="0.3">
      <c r="A33" s="79">
        <v>39127</v>
      </c>
      <c r="B33" s="80">
        <v>1</v>
      </c>
      <c r="C33" s="81">
        <v>0</v>
      </c>
      <c r="D33" s="80">
        <v>1</v>
      </c>
      <c r="E33" s="81">
        <v>0</v>
      </c>
      <c r="F33" s="80">
        <v>293</v>
      </c>
      <c r="G33" s="81">
        <v>0</v>
      </c>
      <c r="H33" s="81">
        <v>0.17100000000000001</v>
      </c>
      <c r="I33" s="82">
        <v>325000</v>
      </c>
      <c r="J33" s="80" t="s">
        <v>8454</v>
      </c>
      <c r="K33" s="80">
        <v>50</v>
      </c>
      <c r="L33" s="80" t="s">
        <v>5524</v>
      </c>
      <c r="M33" s="82">
        <v>2783783500</v>
      </c>
      <c r="N33" s="82">
        <v>471348</v>
      </c>
      <c r="O33" s="80">
        <v>33</v>
      </c>
    </row>
    <row r="34" spans="1:15" ht="27" x14ac:dyDescent="0.3">
      <c r="A34" s="79">
        <v>39142</v>
      </c>
      <c r="B34" s="80">
        <v>1</v>
      </c>
      <c r="C34" s="81">
        <v>0</v>
      </c>
      <c r="D34" s="80">
        <v>1</v>
      </c>
      <c r="E34" s="81">
        <v>0</v>
      </c>
      <c r="F34" s="80">
        <v>147</v>
      </c>
      <c r="G34" s="81">
        <v>0</v>
      </c>
      <c r="H34" s="81">
        <v>4.8000000000000001E-2</v>
      </c>
      <c r="I34" s="82">
        <v>47000</v>
      </c>
      <c r="J34" s="80" t="s">
        <v>5414</v>
      </c>
      <c r="K34" s="80">
        <v>7</v>
      </c>
      <c r="L34" s="80" t="s">
        <v>314</v>
      </c>
      <c r="M34" s="82">
        <v>2783830500</v>
      </c>
      <c r="N34" s="82">
        <v>471355</v>
      </c>
      <c r="O34" s="80">
        <v>46</v>
      </c>
    </row>
    <row r="35" spans="1:15" ht="27" x14ac:dyDescent="0.3">
      <c r="A35" s="79">
        <v>39143</v>
      </c>
      <c r="B35" s="80">
        <v>1</v>
      </c>
      <c r="C35" s="81">
        <v>0</v>
      </c>
      <c r="D35" s="80">
        <v>1</v>
      </c>
      <c r="E35" s="81">
        <v>0</v>
      </c>
      <c r="F35" s="80">
        <v>147</v>
      </c>
      <c r="G35" s="81">
        <v>0</v>
      </c>
      <c r="H35" s="81">
        <v>2.7E-2</v>
      </c>
      <c r="I35" s="82">
        <v>26000</v>
      </c>
      <c r="J35" s="80" t="s">
        <v>8455</v>
      </c>
      <c r="K35" s="80">
        <v>4</v>
      </c>
      <c r="L35" s="80" t="s">
        <v>5960</v>
      </c>
      <c r="M35" s="82">
        <v>2783856500</v>
      </c>
      <c r="N35" s="82">
        <v>471359</v>
      </c>
      <c r="O35" s="80">
        <v>47</v>
      </c>
    </row>
    <row r="36" spans="1:15" ht="27" x14ac:dyDescent="0.3">
      <c r="A36" s="79">
        <v>39144</v>
      </c>
      <c r="B36" s="80">
        <v>1</v>
      </c>
      <c r="C36" s="81">
        <v>0</v>
      </c>
      <c r="D36" s="80">
        <v>1</v>
      </c>
      <c r="E36" s="81">
        <v>0</v>
      </c>
      <c r="F36" s="80">
        <v>147</v>
      </c>
      <c r="G36" s="81">
        <v>0</v>
      </c>
      <c r="H36" s="81">
        <v>0.21099999999999999</v>
      </c>
      <c r="I36" s="82">
        <v>213800</v>
      </c>
      <c r="J36" s="80" t="s">
        <v>8456</v>
      </c>
      <c r="K36" s="80">
        <v>31</v>
      </c>
      <c r="L36" s="80" t="s">
        <v>8457</v>
      </c>
      <c r="M36" s="82">
        <v>2784070300</v>
      </c>
      <c r="N36" s="82">
        <v>471390</v>
      </c>
      <c r="O36" s="80">
        <v>40</v>
      </c>
    </row>
    <row r="37" spans="1:15" ht="27" x14ac:dyDescent="0.3">
      <c r="A37" s="79">
        <v>39145</v>
      </c>
      <c r="B37" s="80">
        <v>1</v>
      </c>
      <c r="C37" s="81">
        <v>0</v>
      </c>
      <c r="D37" s="80">
        <v>1</v>
      </c>
      <c r="E37" s="81">
        <v>0</v>
      </c>
      <c r="F37" s="80">
        <v>147</v>
      </c>
      <c r="G37" s="81">
        <v>0</v>
      </c>
      <c r="H37" s="81">
        <v>0.14299999999999999</v>
      </c>
      <c r="I37" s="82">
        <v>144000</v>
      </c>
      <c r="J37" s="80" t="s">
        <v>8458</v>
      </c>
      <c r="K37" s="80">
        <v>21</v>
      </c>
      <c r="L37" s="80" t="s">
        <v>8459</v>
      </c>
      <c r="M37" s="82">
        <v>2784214300</v>
      </c>
      <c r="N37" s="82">
        <v>471411</v>
      </c>
      <c r="O37" s="80">
        <v>46</v>
      </c>
    </row>
    <row r="38" spans="1:15" ht="27" x14ac:dyDescent="0.3">
      <c r="A38" s="79">
        <v>39146</v>
      </c>
      <c r="B38" s="80">
        <v>1</v>
      </c>
      <c r="C38" s="81">
        <v>0</v>
      </c>
      <c r="D38" s="80">
        <v>1</v>
      </c>
      <c r="E38" s="81">
        <v>0</v>
      </c>
      <c r="F38" s="80">
        <v>147</v>
      </c>
      <c r="G38" s="81">
        <v>0</v>
      </c>
      <c r="H38" s="81">
        <v>7.4999999999999997E-2</v>
      </c>
      <c r="I38" s="82">
        <v>75000</v>
      </c>
      <c r="J38" s="80" t="s">
        <v>8460</v>
      </c>
      <c r="K38" s="80">
        <v>11</v>
      </c>
      <c r="L38" s="80" t="s">
        <v>8461</v>
      </c>
      <c r="M38" s="82">
        <v>2784289300</v>
      </c>
      <c r="N38" s="82">
        <v>471422</v>
      </c>
      <c r="O38" s="80">
        <v>40</v>
      </c>
    </row>
    <row r="39" spans="1:15" ht="27" x14ac:dyDescent="0.3">
      <c r="A39" s="79">
        <v>39147</v>
      </c>
      <c r="B39" s="80">
        <v>1</v>
      </c>
      <c r="C39" s="81">
        <v>0</v>
      </c>
      <c r="D39" s="80">
        <v>1</v>
      </c>
      <c r="E39" s="81">
        <v>0</v>
      </c>
      <c r="F39" s="80">
        <v>147</v>
      </c>
      <c r="G39" s="81">
        <v>0</v>
      </c>
      <c r="H39" s="81">
        <v>0.02</v>
      </c>
      <c r="I39" s="82">
        <v>19500</v>
      </c>
      <c r="J39" s="80" t="s">
        <v>8462</v>
      </c>
      <c r="K39" s="80">
        <v>3</v>
      </c>
      <c r="L39" s="80" t="s">
        <v>8463</v>
      </c>
      <c r="M39" s="82">
        <v>2784308800</v>
      </c>
      <c r="N39" s="82">
        <v>471425</v>
      </c>
      <c r="O39" s="80">
        <v>47</v>
      </c>
    </row>
    <row r="40" spans="1:15" ht="27" x14ac:dyDescent="0.3">
      <c r="A40" s="79">
        <v>39148</v>
      </c>
      <c r="B40" s="80">
        <v>1</v>
      </c>
      <c r="C40" s="81">
        <v>0</v>
      </c>
      <c r="D40" s="80">
        <v>1</v>
      </c>
      <c r="E40" s="81">
        <v>0</v>
      </c>
      <c r="F40" s="80">
        <v>147</v>
      </c>
      <c r="G40" s="81">
        <v>0</v>
      </c>
      <c r="H40" s="81">
        <v>8.7999999999999995E-2</v>
      </c>
      <c r="I40" s="82">
        <v>89800</v>
      </c>
      <c r="J40" s="80" t="s">
        <v>8464</v>
      </c>
      <c r="K40" s="80">
        <v>13</v>
      </c>
      <c r="L40" s="80" t="s">
        <v>8465</v>
      </c>
      <c r="M40" s="82">
        <v>2784398600</v>
      </c>
      <c r="N40" s="82">
        <v>471438</v>
      </c>
      <c r="O40" s="80">
        <v>41</v>
      </c>
    </row>
    <row r="41" spans="1:15" ht="27" x14ac:dyDescent="0.3">
      <c r="A41" s="79">
        <v>39149</v>
      </c>
      <c r="B41" s="80">
        <v>2</v>
      </c>
      <c r="C41" s="81">
        <v>1E-3</v>
      </c>
      <c r="D41" s="80">
        <v>2</v>
      </c>
      <c r="E41" s="81">
        <v>0</v>
      </c>
      <c r="F41" s="80">
        <v>440</v>
      </c>
      <c r="G41" s="81">
        <v>0</v>
      </c>
      <c r="H41" s="81">
        <v>2.5000000000000001E-2</v>
      </c>
      <c r="I41" s="82">
        <v>74000</v>
      </c>
      <c r="J41" s="80" t="s">
        <v>8466</v>
      </c>
      <c r="K41" s="80">
        <v>11</v>
      </c>
      <c r="L41" s="80" t="s">
        <v>1134</v>
      </c>
      <c r="M41" s="82">
        <v>2784472600</v>
      </c>
      <c r="N41" s="82">
        <v>471449</v>
      </c>
      <c r="O41" s="80">
        <v>43</v>
      </c>
    </row>
    <row r="42" spans="1:15" ht="27" x14ac:dyDescent="0.3">
      <c r="A42" s="79">
        <v>39150</v>
      </c>
      <c r="B42" s="80">
        <v>2</v>
      </c>
      <c r="C42" s="81">
        <v>1E-3</v>
      </c>
      <c r="D42" s="80">
        <v>2</v>
      </c>
      <c r="E42" s="81">
        <v>0</v>
      </c>
      <c r="F42" s="80">
        <v>440</v>
      </c>
      <c r="G42" s="81">
        <v>0</v>
      </c>
      <c r="H42" s="81">
        <v>4.2999999999999997E-2</v>
      </c>
      <c r="I42" s="82">
        <v>130000</v>
      </c>
      <c r="J42" s="80" t="s">
        <v>8467</v>
      </c>
      <c r="K42" s="80">
        <v>19</v>
      </c>
      <c r="L42" s="80" t="s">
        <v>8468</v>
      </c>
      <c r="M42" s="82">
        <v>2784602600</v>
      </c>
      <c r="N42" s="82">
        <v>471468</v>
      </c>
      <c r="O42" s="80">
        <v>42</v>
      </c>
    </row>
    <row r="43" spans="1:15" ht="27" x14ac:dyDescent="0.3">
      <c r="A43" s="79">
        <v>39151</v>
      </c>
      <c r="B43" s="80">
        <v>1</v>
      </c>
      <c r="C43" s="81">
        <v>0</v>
      </c>
      <c r="D43" s="80">
        <v>1</v>
      </c>
      <c r="E43" s="81">
        <v>0</v>
      </c>
      <c r="F43" s="80">
        <v>293</v>
      </c>
      <c r="G43" s="81">
        <v>0</v>
      </c>
      <c r="H43" s="81">
        <v>0.154</v>
      </c>
      <c r="I43" s="82">
        <v>314000</v>
      </c>
      <c r="J43" s="80" t="s">
        <v>8469</v>
      </c>
      <c r="K43" s="80">
        <v>45</v>
      </c>
      <c r="L43" s="80" t="s">
        <v>8470</v>
      </c>
      <c r="M43" s="82">
        <v>2784916600</v>
      </c>
      <c r="N43" s="82">
        <v>471513</v>
      </c>
      <c r="O43" s="80">
        <v>41</v>
      </c>
    </row>
    <row r="44" spans="1:15" ht="27" x14ac:dyDescent="0.3">
      <c r="A44" s="79">
        <v>39152</v>
      </c>
      <c r="B44" s="80">
        <v>1</v>
      </c>
      <c r="C44" s="81">
        <v>0</v>
      </c>
      <c r="D44" s="80">
        <v>1</v>
      </c>
      <c r="E44" s="81">
        <v>0</v>
      </c>
      <c r="F44" s="80">
        <v>293</v>
      </c>
      <c r="G44" s="81">
        <v>0</v>
      </c>
      <c r="H44" s="81">
        <v>0.10199999999999999</v>
      </c>
      <c r="I44" s="82">
        <v>209000</v>
      </c>
      <c r="J44" s="80" t="s">
        <v>8471</v>
      </c>
      <c r="K44" s="80">
        <v>30</v>
      </c>
      <c r="L44" s="80" t="s">
        <v>8472</v>
      </c>
      <c r="M44" s="82">
        <v>2785125600</v>
      </c>
      <c r="N44" s="82">
        <v>471543</v>
      </c>
      <c r="O44" s="80">
        <v>44</v>
      </c>
    </row>
    <row r="45" spans="1:15" ht="27" x14ac:dyDescent="0.3">
      <c r="A45" s="79">
        <v>39153</v>
      </c>
      <c r="B45" s="80">
        <v>2</v>
      </c>
      <c r="C45" s="81">
        <v>1E-3</v>
      </c>
      <c r="D45" s="80">
        <v>2</v>
      </c>
      <c r="E45" s="81">
        <v>0</v>
      </c>
      <c r="F45" s="80">
        <v>440</v>
      </c>
      <c r="G45" s="81">
        <v>0</v>
      </c>
      <c r="H45" s="81">
        <v>5.7000000000000002E-2</v>
      </c>
      <c r="I45" s="82">
        <v>173600</v>
      </c>
      <c r="J45" s="80" t="s">
        <v>8473</v>
      </c>
      <c r="K45" s="80">
        <v>25</v>
      </c>
      <c r="L45" s="80" t="s">
        <v>8474</v>
      </c>
      <c r="M45" s="82">
        <v>2785299200</v>
      </c>
      <c r="N45" s="82">
        <v>471568</v>
      </c>
      <c r="O45" s="80">
        <v>36</v>
      </c>
    </row>
    <row r="46" spans="1:15" ht="27" x14ac:dyDescent="0.3">
      <c r="A46" s="79">
        <v>39154</v>
      </c>
      <c r="B46" s="80">
        <v>1</v>
      </c>
      <c r="C46" s="81">
        <v>1E-3</v>
      </c>
      <c r="D46" s="80">
        <v>1</v>
      </c>
      <c r="E46" s="81">
        <v>0</v>
      </c>
      <c r="F46" s="80">
        <v>293</v>
      </c>
      <c r="G46" s="81">
        <v>0</v>
      </c>
      <c r="H46" s="81">
        <v>0.11899999999999999</v>
      </c>
      <c r="I46" s="82">
        <v>245000</v>
      </c>
      <c r="J46" s="80" t="s">
        <v>8475</v>
      </c>
      <c r="K46" s="80">
        <v>35</v>
      </c>
      <c r="L46" s="80" t="s">
        <v>8476</v>
      </c>
      <c r="M46" s="82">
        <v>2785544200</v>
      </c>
      <c r="N46" s="82">
        <v>471603</v>
      </c>
      <c r="O46" s="80">
        <v>37</v>
      </c>
    </row>
    <row r="47" spans="1:15" ht="27" x14ac:dyDescent="0.3">
      <c r="A47" s="79">
        <v>39155</v>
      </c>
      <c r="B47" s="80">
        <v>1</v>
      </c>
      <c r="C47" s="81">
        <v>1E-3</v>
      </c>
      <c r="D47" s="80">
        <v>1</v>
      </c>
      <c r="E47" s="81">
        <v>0</v>
      </c>
      <c r="F47" s="80">
        <v>147</v>
      </c>
      <c r="G47" s="81">
        <v>0</v>
      </c>
      <c r="H47" s="81">
        <v>6.8000000000000005E-2</v>
      </c>
      <c r="I47" s="82">
        <v>68000</v>
      </c>
      <c r="J47" s="80" t="s">
        <v>8477</v>
      </c>
      <c r="K47" s="80">
        <v>10</v>
      </c>
      <c r="L47" s="80" t="s">
        <v>8478</v>
      </c>
      <c r="M47" s="82">
        <v>2785612200</v>
      </c>
      <c r="N47" s="82">
        <v>471613</v>
      </c>
      <c r="O47" s="80">
        <v>50</v>
      </c>
    </row>
    <row r="48" spans="1:15" ht="27" x14ac:dyDescent="0.3">
      <c r="A48" s="79">
        <v>39173</v>
      </c>
      <c r="B48" s="80">
        <v>1</v>
      </c>
      <c r="C48" s="81">
        <v>0</v>
      </c>
      <c r="D48" s="80">
        <v>2</v>
      </c>
      <c r="E48" s="81">
        <v>0</v>
      </c>
      <c r="F48" s="80">
        <v>260</v>
      </c>
      <c r="G48" s="81">
        <v>0</v>
      </c>
      <c r="H48" s="81">
        <v>0.16900000000000001</v>
      </c>
      <c r="I48" s="82">
        <v>161000</v>
      </c>
      <c r="J48" s="80" t="s">
        <v>8479</v>
      </c>
      <c r="K48" s="80">
        <v>44</v>
      </c>
      <c r="L48" s="80" t="s">
        <v>8480</v>
      </c>
      <c r="M48" s="82">
        <v>2785773200</v>
      </c>
      <c r="N48" s="82">
        <v>471657</v>
      </c>
      <c r="O48" s="80">
        <v>36</v>
      </c>
    </row>
    <row r="49" spans="1:15" ht="27" x14ac:dyDescent="0.3">
      <c r="A49" s="79">
        <v>39178</v>
      </c>
      <c r="B49" s="80">
        <v>1</v>
      </c>
      <c r="C49" s="81">
        <v>0</v>
      </c>
      <c r="D49" s="80">
        <v>1</v>
      </c>
      <c r="E49" s="81">
        <v>0</v>
      </c>
      <c r="F49" s="80">
        <v>130</v>
      </c>
      <c r="G49" s="81">
        <v>0</v>
      </c>
      <c r="H49" s="81">
        <v>8.5000000000000006E-2</v>
      </c>
      <c r="I49" s="82">
        <v>40000</v>
      </c>
      <c r="J49" s="80" t="s">
        <v>313</v>
      </c>
      <c r="K49" s="80">
        <v>11</v>
      </c>
      <c r="L49" s="80" t="s">
        <v>700</v>
      </c>
      <c r="M49" s="82">
        <v>2785813200</v>
      </c>
      <c r="N49" s="82">
        <v>471668</v>
      </c>
      <c r="O49" s="80">
        <v>46</v>
      </c>
    </row>
    <row r="50" spans="1:15" ht="27" x14ac:dyDescent="0.3">
      <c r="A50" s="79">
        <v>39864</v>
      </c>
      <c r="B50" s="80">
        <v>1</v>
      </c>
      <c r="C50" s="81">
        <v>0</v>
      </c>
      <c r="D50" s="80">
        <v>1</v>
      </c>
      <c r="E50" s="81">
        <v>0</v>
      </c>
      <c r="F50" s="80">
        <v>138</v>
      </c>
      <c r="G50" s="81">
        <v>0</v>
      </c>
      <c r="H50" s="81">
        <v>5.0999999999999997E-2</v>
      </c>
      <c r="I50" s="82">
        <v>56000</v>
      </c>
      <c r="J50" s="80" t="s">
        <v>8481</v>
      </c>
      <c r="K50" s="80">
        <v>7</v>
      </c>
      <c r="L50" s="80" t="s">
        <v>314</v>
      </c>
      <c r="M50" s="82">
        <v>2785869200</v>
      </c>
      <c r="N50" s="82">
        <v>471675</v>
      </c>
      <c r="O50" s="80">
        <v>45</v>
      </c>
    </row>
    <row r="51" spans="1:15" ht="27" x14ac:dyDescent="0.3">
      <c r="A51" s="79">
        <v>39865</v>
      </c>
      <c r="B51" s="80">
        <v>1</v>
      </c>
      <c r="C51" s="81">
        <v>0</v>
      </c>
      <c r="D51" s="80">
        <v>1</v>
      </c>
      <c r="E51" s="81">
        <v>0</v>
      </c>
      <c r="F51" s="80">
        <v>138</v>
      </c>
      <c r="G51" s="81">
        <v>0</v>
      </c>
      <c r="H51" s="81">
        <v>5.0999999999999997E-2</v>
      </c>
      <c r="I51" s="82">
        <v>54000</v>
      </c>
      <c r="J51" s="80" t="s">
        <v>8482</v>
      </c>
      <c r="K51" s="80">
        <v>7</v>
      </c>
      <c r="L51" s="80" t="s">
        <v>292</v>
      </c>
      <c r="M51" s="82">
        <v>2785923200</v>
      </c>
      <c r="N51" s="82">
        <v>471682</v>
      </c>
      <c r="O51" s="80">
        <v>52</v>
      </c>
    </row>
    <row r="52" spans="1:15" ht="27" x14ac:dyDescent="0.3">
      <c r="A52" s="79">
        <v>39866</v>
      </c>
      <c r="B52" s="80">
        <v>1</v>
      </c>
      <c r="C52" s="81">
        <v>0</v>
      </c>
      <c r="D52" s="80">
        <v>1</v>
      </c>
      <c r="E52" s="81">
        <v>0</v>
      </c>
      <c r="F52" s="80">
        <v>138</v>
      </c>
      <c r="G52" s="81">
        <v>0</v>
      </c>
      <c r="H52" s="81">
        <v>0.10100000000000001</v>
      </c>
      <c r="I52" s="82">
        <v>111000</v>
      </c>
      <c r="J52" s="80" t="s">
        <v>8483</v>
      </c>
      <c r="K52" s="80">
        <v>14</v>
      </c>
      <c r="L52" s="80" t="s">
        <v>314</v>
      </c>
      <c r="M52" s="82">
        <v>2786034200</v>
      </c>
      <c r="N52" s="82">
        <v>471696</v>
      </c>
      <c r="O52" s="80">
        <v>46</v>
      </c>
    </row>
    <row r="53" spans="1:15" ht="27" x14ac:dyDescent="0.3">
      <c r="A53" s="79">
        <v>39869</v>
      </c>
      <c r="B53" s="80">
        <v>1</v>
      </c>
      <c r="C53" s="81">
        <v>0</v>
      </c>
      <c r="D53" s="80">
        <v>1</v>
      </c>
      <c r="E53" s="81">
        <v>0</v>
      </c>
      <c r="F53" s="80">
        <v>138</v>
      </c>
      <c r="G53" s="81">
        <v>0</v>
      </c>
      <c r="H53" s="81">
        <v>3.5999999999999997E-2</v>
      </c>
      <c r="I53" s="82">
        <v>34000</v>
      </c>
      <c r="J53" s="80" t="s">
        <v>8484</v>
      </c>
      <c r="K53" s="80">
        <v>5</v>
      </c>
      <c r="L53" s="80" t="s">
        <v>1395</v>
      </c>
      <c r="M53" s="82">
        <v>2786068200</v>
      </c>
      <c r="N53" s="82">
        <v>471701</v>
      </c>
      <c r="O53" s="80">
        <v>51</v>
      </c>
    </row>
    <row r="54" spans="1:15" ht="27" x14ac:dyDescent="0.3">
      <c r="A54" s="79">
        <v>39875</v>
      </c>
      <c r="B54" s="80">
        <v>1</v>
      </c>
      <c r="C54" s="81">
        <v>0</v>
      </c>
      <c r="D54" s="80">
        <v>1</v>
      </c>
      <c r="E54" s="81">
        <v>0</v>
      </c>
      <c r="F54" s="80">
        <v>138</v>
      </c>
      <c r="G54" s="81">
        <v>0</v>
      </c>
      <c r="H54" s="81">
        <v>0.13800000000000001</v>
      </c>
      <c r="I54" s="82">
        <v>130000</v>
      </c>
      <c r="J54" s="80" t="s">
        <v>8485</v>
      </c>
      <c r="K54" s="80">
        <v>19</v>
      </c>
      <c r="L54" s="80" t="s">
        <v>2347</v>
      </c>
      <c r="M54" s="82">
        <v>2786198200</v>
      </c>
      <c r="N54" s="82">
        <v>471720</v>
      </c>
      <c r="O54" s="80">
        <v>33</v>
      </c>
    </row>
    <row r="55" spans="1:15" ht="27" x14ac:dyDescent="0.3">
      <c r="A55" s="79">
        <v>40033</v>
      </c>
      <c r="B55" s="80">
        <v>2</v>
      </c>
      <c r="C55" s="81">
        <v>1E-3</v>
      </c>
      <c r="D55" s="80">
        <v>2</v>
      </c>
      <c r="E55" s="81">
        <v>0</v>
      </c>
      <c r="F55" s="80">
        <v>371</v>
      </c>
      <c r="G55" s="81">
        <v>0</v>
      </c>
      <c r="H55" s="81">
        <v>0.17299999999999999</v>
      </c>
      <c r="I55" s="82">
        <v>455000</v>
      </c>
      <c r="J55" s="80" t="s">
        <v>8486</v>
      </c>
      <c r="K55" s="80">
        <v>64</v>
      </c>
      <c r="L55" s="80" t="s">
        <v>8487</v>
      </c>
      <c r="M55" s="82">
        <v>2786653200</v>
      </c>
      <c r="N55" s="82">
        <v>471784</v>
      </c>
      <c r="O55" s="80">
        <v>37</v>
      </c>
    </row>
    <row r="56" spans="1:15" ht="27" x14ac:dyDescent="0.3">
      <c r="A56" s="79">
        <v>40035</v>
      </c>
      <c r="B56" s="80">
        <v>2</v>
      </c>
      <c r="C56" s="81">
        <v>1E-3</v>
      </c>
      <c r="D56" s="80">
        <v>2</v>
      </c>
      <c r="E56" s="81">
        <v>0</v>
      </c>
      <c r="F56" s="80">
        <v>371</v>
      </c>
      <c r="G56" s="81">
        <v>0</v>
      </c>
      <c r="H56" s="81">
        <v>0.10199999999999999</v>
      </c>
      <c r="I56" s="82">
        <v>266000</v>
      </c>
      <c r="J56" s="80" t="s">
        <v>8488</v>
      </c>
      <c r="K56" s="80">
        <v>38</v>
      </c>
      <c r="L56" s="80" t="s">
        <v>8489</v>
      </c>
      <c r="M56" s="82">
        <v>2786919200</v>
      </c>
      <c r="N56" s="82">
        <v>471822</v>
      </c>
      <c r="O56" s="80">
        <v>39</v>
      </c>
    </row>
    <row r="57" spans="1:15" ht="27" x14ac:dyDescent="0.3">
      <c r="A57" s="79">
        <v>40037</v>
      </c>
      <c r="B57" s="80">
        <v>2</v>
      </c>
      <c r="C57" s="81">
        <v>1E-3</v>
      </c>
      <c r="D57" s="80">
        <v>2</v>
      </c>
      <c r="E57" s="81">
        <v>0</v>
      </c>
      <c r="F57" s="80">
        <v>371</v>
      </c>
      <c r="G57" s="81">
        <v>0</v>
      </c>
      <c r="H57" s="81">
        <v>0.186</v>
      </c>
      <c r="I57" s="82">
        <v>477000</v>
      </c>
      <c r="J57" s="80" t="s">
        <v>8490</v>
      </c>
      <c r="K57" s="80">
        <v>69</v>
      </c>
      <c r="L57" s="80" t="s">
        <v>3913</v>
      </c>
      <c r="M57" s="82">
        <v>2787396200</v>
      </c>
      <c r="N57" s="82">
        <v>471891</v>
      </c>
      <c r="O57" s="80">
        <v>37</v>
      </c>
    </row>
    <row r="58" spans="1:15" ht="27" x14ac:dyDescent="0.3">
      <c r="A58" s="79">
        <v>41530</v>
      </c>
      <c r="B58" s="80">
        <v>1</v>
      </c>
      <c r="C58" s="81">
        <v>0</v>
      </c>
      <c r="D58" s="80">
        <v>1</v>
      </c>
      <c r="E58" s="81">
        <v>0</v>
      </c>
      <c r="F58" s="80">
        <v>138</v>
      </c>
      <c r="G58" s="81">
        <v>0</v>
      </c>
      <c r="H58" s="81">
        <v>3.5999999999999997E-2</v>
      </c>
      <c r="I58" s="82">
        <v>38000</v>
      </c>
      <c r="J58" s="80" t="s">
        <v>5413</v>
      </c>
      <c r="K58" s="80">
        <v>5</v>
      </c>
      <c r="L58" s="80" t="s">
        <v>1395</v>
      </c>
      <c r="M58" s="82">
        <v>2787434200</v>
      </c>
      <c r="N58" s="82">
        <v>471896</v>
      </c>
      <c r="O58" s="80">
        <v>64</v>
      </c>
    </row>
    <row r="59" spans="1:15" ht="27" x14ac:dyDescent="0.3">
      <c r="A59" s="79">
        <v>41531</v>
      </c>
      <c r="B59" s="80">
        <v>1</v>
      </c>
      <c r="C59" s="81">
        <v>0</v>
      </c>
      <c r="D59" s="80">
        <v>1</v>
      </c>
      <c r="E59" s="81">
        <v>0</v>
      </c>
      <c r="F59" s="80">
        <v>138</v>
      </c>
      <c r="G59" s="81">
        <v>0</v>
      </c>
      <c r="H59" s="81">
        <v>0.17399999999999999</v>
      </c>
      <c r="I59" s="82">
        <v>212000</v>
      </c>
      <c r="J59" s="80" t="s">
        <v>8491</v>
      </c>
      <c r="K59" s="80">
        <v>24</v>
      </c>
      <c r="L59" s="80" t="s">
        <v>8492</v>
      </c>
      <c r="M59" s="82">
        <v>2787646200</v>
      </c>
      <c r="N59" s="82">
        <v>471920</v>
      </c>
      <c r="O59" s="80">
        <v>59</v>
      </c>
    </row>
    <row r="60" spans="1:15" ht="27" x14ac:dyDescent="0.3">
      <c r="A60" s="79">
        <v>41533</v>
      </c>
      <c r="B60" s="80">
        <v>1</v>
      </c>
      <c r="C60" s="81">
        <v>0</v>
      </c>
      <c r="D60" s="80">
        <v>1</v>
      </c>
      <c r="E60" s="81">
        <v>0</v>
      </c>
      <c r="F60" s="80">
        <v>138</v>
      </c>
      <c r="G60" s="81">
        <v>0</v>
      </c>
      <c r="H60" s="81">
        <v>3.5999999999999997E-2</v>
      </c>
      <c r="I60" s="82">
        <v>39000</v>
      </c>
      <c r="J60" s="80" t="s">
        <v>8493</v>
      </c>
      <c r="K60" s="80">
        <v>5</v>
      </c>
      <c r="L60" s="80" t="s">
        <v>1395</v>
      </c>
      <c r="M60" s="82">
        <v>2787685200</v>
      </c>
      <c r="N60" s="82">
        <v>471925</v>
      </c>
      <c r="O60" s="80">
        <v>59</v>
      </c>
    </row>
    <row r="61" spans="1:15" ht="27" x14ac:dyDescent="0.3">
      <c r="A61" s="79">
        <v>41534</v>
      </c>
      <c r="B61" s="80">
        <v>1</v>
      </c>
      <c r="C61" s="81">
        <v>0</v>
      </c>
      <c r="D61" s="80">
        <v>1</v>
      </c>
      <c r="E61" s="81">
        <v>0</v>
      </c>
      <c r="F61" s="80">
        <v>138</v>
      </c>
      <c r="G61" s="81">
        <v>0</v>
      </c>
      <c r="H61" s="81">
        <v>7.1999999999999995E-2</v>
      </c>
      <c r="I61" s="82">
        <v>78000</v>
      </c>
      <c r="J61" s="80" t="s">
        <v>8493</v>
      </c>
      <c r="K61" s="80">
        <v>10</v>
      </c>
      <c r="L61" s="80" t="s">
        <v>1395</v>
      </c>
      <c r="M61" s="82">
        <v>2787763200</v>
      </c>
      <c r="N61" s="82">
        <v>471935</v>
      </c>
      <c r="O61" s="80">
        <v>51</v>
      </c>
    </row>
    <row r="62" spans="1:15" ht="27" x14ac:dyDescent="0.3">
      <c r="A62" s="79">
        <v>41536</v>
      </c>
      <c r="B62" s="80">
        <v>1</v>
      </c>
      <c r="C62" s="81">
        <v>0</v>
      </c>
      <c r="D62" s="80">
        <v>1</v>
      </c>
      <c r="E62" s="81">
        <v>0</v>
      </c>
      <c r="F62" s="80">
        <v>138</v>
      </c>
      <c r="G62" s="81">
        <v>0</v>
      </c>
      <c r="H62" s="81">
        <v>0.14499999999999999</v>
      </c>
      <c r="I62" s="82">
        <v>174000</v>
      </c>
      <c r="J62" s="80" t="s">
        <v>8494</v>
      </c>
      <c r="K62" s="80">
        <v>20</v>
      </c>
      <c r="L62" s="80" t="s">
        <v>5049</v>
      </c>
      <c r="M62" s="82">
        <v>2787937200</v>
      </c>
      <c r="N62" s="82">
        <v>471955</v>
      </c>
      <c r="O62" s="80">
        <v>45</v>
      </c>
    </row>
    <row r="63" spans="1:15" ht="27" x14ac:dyDescent="0.3">
      <c r="A63" s="79">
        <v>41537</v>
      </c>
      <c r="B63" s="80">
        <v>1</v>
      </c>
      <c r="C63" s="81">
        <v>0</v>
      </c>
      <c r="D63" s="80">
        <v>1</v>
      </c>
      <c r="E63" s="81">
        <v>0</v>
      </c>
      <c r="F63" s="80">
        <v>138</v>
      </c>
      <c r="G63" s="81">
        <v>0</v>
      </c>
      <c r="H63" s="81">
        <v>0.18099999999999999</v>
      </c>
      <c r="I63" s="82">
        <v>223000</v>
      </c>
      <c r="J63" s="80" t="s">
        <v>8495</v>
      </c>
      <c r="K63" s="80">
        <v>25</v>
      </c>
      <c r="L63" s="80" t="s">
        <v>3107</v>
      </c>
      <c r="M63" s="82">
        <v>2788160200</v>
      </c>
      <c r="N63" s="82">
        <v>471980</v>
      </c>
      <c r="O63" s="80">
        <v>49</v>
      </c>
    </row>
    <row r="64" spans="1:15" ht="27" x14ac:dyDescent="0.3">
      <c r="A64" s="79">
        <v>41538</v>
      </c>
      <c r="B64" s="80">
        <v>1</v>
      </c>
      <c r="C64" s="81">
        <v>0</v>
      </c>
      <c r="D64" s="80">
        <v>1</v>
      </c>
      <c r="E64" s="81">
        <v>0</v>
      </c>
      <c r="F64" s="80">
        <v>138</v>
      </c>
      <c r="G64" s="81">
        <v>0</v>
      </c>
      <c r="H64" s="81">
        <v>0.22500000000000001</v>
      </c>
      <c r="I64" s="82">
        <v>275000</v>
      </c>
      <c r="J64" s="80" t="s">
        <v>8496</v>
      </c>
      <c r="K64" s="80">
        <v>31</v>
      </c>
      <c r="L64" s="80" t="s">
        <v>8497</v>
      </c>
      <c r="M64" s="82">
        <v>2788435200</v>
      </c>
      <c r="N64" s="82">
        <v>472011</v>
      </c>
      <c r="O64" s="80">
        <v>46</v>
      </c>
    </row>
    <row r="65" spans="1:15" ht="27" x14ac:dyDescent="0.3">
      <c r="A65" s="79">
        <v>43310</v>
      </c>
      <c r="B65" s="80">
        <v>1</v>
      </c>
      <c r="C65" s="81">
        <v>0</v>
      </c>
      <c r="D65" s="80">
        <v>1</v>
      </c>
      <c r="E65" s="81">
        <v>0</v>
      </c>
      <c r="F65" s="80">
        <v>202</v>
      </c>
      <c r="G65" s="81">
        <v>0</v>
      </c>
      <c r="H65" s="81">
        <v>0.317</v>
      </c>
      <c r="I65" s="82">
        <v>440000</v>
      </c>
      <c r="J65" s="80" t="s">
        <v>6968</v>
      </c>
      <c r="K65" s="80">
        <v>64</v>
      </c>
      <c r="L65" s="80" t="s">
        <v>8487</v>
      </c>
      <c r="M65" s="82">
        <v>2788875200</v>
      </c>
      <c r="N65" s="82">
        <v>472075</v>
      </c>
      <c r="O65" s="80">
        <v>41</v>
      </c>
    </row>
    <row r="66" spans="1:15" ht="27" x14ac:dyDescent="0.3">
      <c r="A66" s="79">
        <v>43316</v>
      </c>
      <c r="B66" s="80">
        <v>1</v>
      </c>
      <c r="C66" s="81">
        <v>0</v>
      </c>
      <c r="D66" s="80">
        <v>1</v>
      </c>
      <c r="E66" s="81">
        <v>0</v>
      </c>
      <c r="F66" s="80">
        <v>202</v>
      </c>
      <c r="G66" s="81">
        <v>0</v>
      </c>
      <c r="H66" s="81">
        <v>0.24299999999999999</v>
      </c>
      <c r="I66" s="82">
        <v>358000</v>
      </c>
      <c r="J66" s="80" t="s">
        <v>8498</v>
      </c>
      <c r="K66" s="80">
        <v>49</v>
      </c>
      <c r="L66" s="80" t="s">
        <v>448</v>
      </c>
      <c r="M66" s="82">
        <v>2789233200</v>
      </c>
      <c r="N66" s="82">
        <v>472124</v>
      </c>
      <c r="O66" s="80">
        <v>40</v>
      </c>
    </row>
    <row r="67" spans="1:15" ht="27" x14ac:dyDescent="0.3">
      <c r="A67" s="79">
        <v>43322</v>
      </c>
      <c r="B67" s="80">
        <v>1</v>
      </c>
      <c r="C67" s="81">
        <v>0</v>
      </c>
      <c r="D67" s="80">
        <v>1</v>
      </c>
      <c r="E67" s="81">
        <v>0</v>
      </c>
      <c r="F67" s="80">
        <v>202</v>
      </c>
      <c r="G67" s="81">
        <v>0</v>
      </c>
      <c r="H67" s="81">
        <v>0.16300000000000001</v>
      </c>
      <c r="I67" s="82">
        <v>206648</v>
      </c>
      <c r="J67" s="80" t="s">
        <v>8499</v>
      </c>
      <c r="K67" s="80">
        <v>33</v>
      </c>
      <c r="L67" s="80" t="s">
        <v>1385</v>
      </c>
      <c r="M67" s="82">
        <v>2789439848</v>
      </c>
      <c r="N67" s="82">
        <v>472157</v>
      </c>
      <c r="O67" s="80">
        <v>50</v>
      </c>
    </row>
    <row r="68" spans="1:15" ht="27" x14ac:dyDescent="0.3">
      <c r="A68" s="79">
        <v>43580</v>
      </c>
      <c r="B68" s="80">
        <v>1</v>
      </c>
      <c r="C68" s="81">
        <v>0</v>
      </c>
      <c r="D68" s="80">
        <v>1</v>
      </c>
      <c r="E68" s="81">
        <v>0</v>
      </c>
      <c r="F68" s="80">
        <v>134</v>
      </c>
      <c r="G68" s="81">
        <v>0</v>
      </c>
      <c r="H68" s="81">
        <v>1</v>
      </c>
      <c r="I68" s="82">
        <v>1206000</v>
      </c>
      <c r="J68" s="80" t="s">
        <v>8500</v>
      </c>
      <c r="K68" s="80">
        <v>134</v>
      </c>
      <c r="L68" s="80" t="s">
        <v>8501</v>
      </c>
      <c r="M68" s="82">
        <v>2790645848</v>
      </c>
      <c r="N68" s="82">
        <v>472291</v>
      </c>
      <c r="O68" s="80">
        <v>44</v>
      </c>
    </row>
    <row r="69" spans="1:15" ht="27" x14ac:dyDescent="0.3">
      <c r="A69" s="79">
        <v>43587</v>
      </c>
      <c r="B69" s="80">
        <v>44</v>
      </c>
      <c r="C69" s="81">
        <v>8.9999999999999993E-3</v>
      </c>
      <c r="D69" s="80">
        <v>92</v>
      </c>
      <c r="E69" s="81">
        <v>6.0000000000000001E-3</v>
      </c>
      <c r="F69" s="82">
        <v>11537</v>
      </c>
      <c r="G69" s="81">
        <v>5.0000000000000001E-3</v>
      </c>
      <c r="H69" s="81">
        <v>0.317</v>
      </c>
      <c r="I69" s="82">
        <v>30632200</v>
      </c>
      <c r="J69" s="80" t="s">
        <v>8502</v>
      </c>
      <c r="K69" s="82">
        <v>3658</v>
      </c>
      <c r="L69" s="80" t="s">
        <v>8503</v>
      </c>
      <c r="M69" s="82">
        <v>2821278048</v>
      </c>
      <c r="N69" s="82">
        <v>475949</v>
      </c>
      <c r="O69" s="80">
        <v>4</v>
      </c>
    </row>
    <row r="70" spans="1:15" ht="27" x14ac:dyDescent="0.3">
      <c r="A70" s="79">
        <v>43588</v>
      </c>
      <c r="B70" s="80">
        <v>38</v>
      </c>
      <c r="C70" s="81">
        <v>8.0000000000000002E-3</v>
      </c>
      <c r="D70" s="80">
        <v>91</v>
      </c>
      <c r="E70" s="81">
        <v>6.0000000000000001E-3</v>
      </c>
      <c r="F70" s="82">
        <v>11177</v>
      </c>
      <c r="G70" s="81">
        <v>4.0000000000000001E-3</v>
      </c>
      <c r="H70" s="81">
        <v>0.153</v>
      </c>
      <c r="I70" s="82">
        <v>14792500</v>
      </c>
      <c r="J70" s="80" t="s">
        <v>8504</v>
      </c>
      <c r="K70" s="82">
        <v>1713</v>
      </c>
      <c r="L70" s="80" t="s">
        <v>8505</v>
      </c>
      <c r="M70" s="82">
        <v>2836070548</v>
      </c>
      <c r="N70" s="82">
        <v>477662</v>
      </c>
      <c r="O70" s="80">
        <v>6</v>
      </c>
    </row>
    <row r="71" spans="1:15" ht="27" x14ac:dyDescent="0.3">
      <c r="A71" s="79">
        <v>43589</v>
      </c>
      <c r="B71" s="80">
        <v>38</v>
      </c>
      <c r="C71" s="81">
        <v>7.0000000000000001E-3</v>
      </c>
      <c r="D71" s="80">
        <v>89</v>
      </c>
      <c r="E71" s="81">
        <v>5.0000000000000001E-3</v>
      </c>
      <c r="F71" s="82">
        <v>10669</v>
      </c>
      <c r="G71" s="81">
        <v>4.0000000000000001E-3</v>
      </c>
      <c r="H71" s="81">
        <v>0.22800000000000001</v>
      </c>
      <c r="I71" s="82">
        <v>21075600</v>
      </c>
      <c r="J71" s="80" t="s">
        <v>8506</v>
      </c>
      <c r="K71" s="82">
        <v>2433</v>
      </c>
      <c r="L71" s="80" t="s">
        <v>8507</v>
      </c>
      <c r="M71" s="82">
        <v>2857146148</v>
      </c>
      <c r="N71" s="82">
        <v>480095</v>
      </c>
      <c r="O71" s="80">
        <v>6</v>
      </c>
    </row>
    <row r="72" spans="1:15" ht="27" x14ac:dyDescent="0.3">
      <c r="A72" s="79">
        <v>43590</v>
      </c>
      <c r="B72" s="80">
        <v>37</v>
      </c>
      <c r="C72" s="81">
        <v>6.0000000000000001E-3</v>
      </c>
      <c r="D72" s="80">
        <v>88</v>
      </c>
      <c r="E72" s="81">
        <v>5.0000000000000001E-3</v>
      </c>
      <c r="F72" s="82">
        <v>10719</v>
      </c>
      <c r="G72" s="81">
        <v>4.0000000000000001E-3</v>
      </c>
      <c r="H72" s="81">
        <v>0.216</v>
      </c>
      <c r="I72" s="82">
        <v>20154300</v>
      </c>
      <c r="J72" s="80" t="s">
        <v>8508</v>
      </c>
      <c r="K72" s="82">
        <v>2313</v>
      </c>
      <c r="L72" s="80" t="s">
        <v>8509</v>
      </c>
      <c r="M72" s="82">
        <v>2877300448</v>
      </c>
      <c r="N72" s="82">
        <v>482408</v>
      </c>
      <c r="O72" s="80">
        <v>6</v>
      </c>
    </row>
    <row r="73" spans="1:15" ht="27" x14ac:dyDescent="0.3">
      <c r="A73" s="79">
        <v>43591</v>
      </c>
      <c r="B73" s="80">
        <v>36</v>
      </c>
      <c r="C73" s="81">
        <v>6.0000000000000001E-3</v>
      </c>
      <c r="D73" s="80">
        <v>90</v>
      </c>
      <c r="E73" s="81">
        <v>5.0000000000000001E-3</v>
      </c>
      <c r="F73" s="82">
        <v>11037</v>
      </c>
      <c r="G73" s="81">
        <v>4.0000000000000001E-3</v>
      </c>
      <c r="H73" s="81">
        <v>0.186</v>
      </c>
      <c r="I73" s="82">
        <v>17948100</v>
      </c>
      <c r="J73" s="80" t="s">
        <v>8510</v>
      </c>
      <c r="K73" s="82">
        <v>2050</v>
      </c>
      <c r="L73" s="80" t="s">
        <v>8511</v>
      </c>
      <c r="M73" s="82">
        <v>2895248548</v>
      </c>
      <c r="N73" s="82">
        <v>484458</v>
      </c>
      <c r="O73" s="80">
        <v>7</v>
      </c>
    </row>
    <row r="74" spans="1:15" ht="27" x14ac:dyDescent="0.3">
      <c r="A74" s="79">
        <v>43592</v>
      </c>
      <c r="B74" s="80">
        <v>36</v>
      </c>
      <c r="C74" s="81">
        <v>7.0000000000000001E-3</v>
      </c>
      <c r="D74" s="80">
        <v>84</v>
      </c>
      <c r="E74" s="81">
        <v>6.0000000000000001E-3</v>
      </c>
      <c r="F74" s="82">
        <v>10485</v>
      </c>
      <c r="G74" s="81">
        <v>5.0000000000000001E-3</v>
      </c>
      <c r="H74" s="81">
        <v>8.1000000000000003E-2</v>
      </c>
      <c r="I74" s="82">
        <v>6482000</v>
      </c>
      <c r="J74" s="80" t="s">
        <v>8512</v>
      </c>
      <c r="K74" s="80">
        <v>852</v>
      </c>
      <c r="L74" s="80" t="s">
        <v>8513</v>
      </c>
      <c r="M74" s="82">
        <v>2901730548</v>
      </c>
      <c r="N74" s="82">
        <v>485310</v>
      </c>
      <c r="O74" s="80">
        <v>13</v>
      </c>
    </row>
    <row r="75" spans="1:15" ht="27" x14ac:dyDescent="0.3">
      <c r="A75" s="79">
        <v>43593</v>
      </c>
      <c r="B75" s="80">
        <v>37</v>
      </c>
      <c r="C75" s="81">
        <v>8.0000000000000002E-3</v>
      </c>
      <c r="D75" s="80">
        <v>90</v>
      </c>
      <c r="E75" s="81">
        <v>6.0000000000000001E-3</v>
      </c>
      <c r="F75" s="82">
        <v>10364</v>
      </c>
      <c r="G75" s="81">
        <v>5.0000000000000001E-3</v>
      </c>
      <c r="H75" s="81">
        <v>8.6999999999999994E-2</v>
      </c>
      <c r="I75" s="82">
        <v>7210300</v>
      </c>
      <c r="J75" s="80" t="s">
        <v>8514</v>
      </c>
      <c r="K75" s="80">
        <v>898</v>
      </c>
      <c r="L75" s="80" t="s">
        <v>8515</v>
      </c>
      <c r="M75" s="82">
        <v>2908940848</v>
      </c>
      <c r="N75" s="82">
        <v>486208</v>
      </c>
      <c r="O75" s="80">
        <v>10</v>
      </c>
    </row>
    <row r="76" spans="1:15" ht="27" x14ac:dyDescent="0.3">
      <c r="A76" s="79">
        <v>43594</v>
      </c>
      <c r="B76" s="80">
        <v>26</v>
      </c>
      <c r="C76" s="81">
        <v>5.0000000000000001E-3</v>
      </c>
      <c r="D76" s="80">
        <v>48</v>
      </c>
      <c r="E76" s="81">
        <v>3.0000000000000001E-3</v>
      </c>
      <c r="F76" s="82">
        <v>6239</v>
      </c>
      <c r="G76" s="81">
        <v>2E-3</v>
      </c>
      <c r="H76" s="81">
        <v>9.8000000000000004E-2</v>
      </c>
      <c r="I76" s="82">
        <v>5118000</v>
      </c>
      <c r="J76" s="80" t="s">
        <v>8516</v>
      </c>
      <c r="K76" s="80">
        <v>614</v>
      </c>
      <c r="L76" s="80" t="s">
        <v>8517</v>
      </c>
      <c r="M76" s="82">
        <v>2914058848</v>
      </c>
      <c r="N76" s="82">
        <v>486822</v>
      </c>
      <c r="O76" s="80">
        <v>14</v>
      </c>
    </row>
    <row r="77" spans="1:15" ht="27" x14ac:dyDescent="0.3">
      <c r="A77" s="79">
        <v>43595</v>
      </c>
      <c r="B77" s="80">
        <v>23</v>
      </c>
      <c r="C77" s="81">
        <v>4.0000000000000001E-3</v>
      </c>
      <c r="D77" s="80">
        <v>47</v>
      </c>
      <c r="E77" s="81">
        <v>3.0000000000000001E-3</v>
      </c>
      <c r="F77" s="82">
        <v>6126</v>
      </c>
      <c r="G77" s="81">
        <v>2E-3</v>
      </c>
      <c r="H77" s="81">
        <v>0.104</v>
      </c>
      <c r="I77" s="82">
        <v>5597600</v>
      </c>
      <c r="J77" s="80" t="s">
        <v>8518</v>
      </c>
      <c r="K77" s="80">
        <v>636</v>
      </c>
      <c r="L77" s="80" t="s">
        <v>8519</v>
      </c>
      <c r="M77" s="82">
        <v>2919656448</v>
      </c>
      <c r="N77" s="82">
        <v>487458</v>
      </c>
      <c r="O77" s="80">
        <v>12</v>
      </c>
    </row>
    <row r="78" spans="1:15" ht="27" x14ac:dyDescent="0.3">
      <c r="A78" s="79">
        <v>43596</v>
      </c>
      <c r="B78" s="80">
        <v>27</v>
      </c>
      <c r="C78" s="81">
        <v>5.0000000000000001E-3</v>
      </c>
      <c r="D78" s="80">
        <v>53</v>
      </c>
      <c r="E78" s="81">
        <v>3.0000000000000001E-3</v>
      </c>
      <c r="F78" s="82">
        <v>6933</v>
      </c>
      <c r="G78" s="81">
        <v>3.0000000000000001E-3</v>
      </c>
      <c r="H78" s="81">
        <v>0.185</v>
      </c>
      <c r="I78" s="82">
        <v>11440600</v>
      </c>
      <c r="J78" s="80" t="s">
        <v>8520</v>
      </c>
      <c r="K78" s="82">
        <v>1284</v>
      </c>
      <c r="L78" s="80" t="s">
        <v>8521</v>
      </c>
      <c r="M78" s="82">
        <v>2931097048</v>
      </c>
      <c r="N78" s="82">
        <v>488742</v>
      </c>
      <c r="O78" s="80">
        <v>11</v>
      </c>
    </row>
    <row r="79" spans="1:15" ht="27" x14ac:dyDescent="0.3">
      <c r="A79" s="79">
        <v>43597</v>
      </c>
      <c r="B79" s="80">
        <v>25</v>
      </c>
      <c r="C79" s="81">
        <v>4.0000000000000001E-3</v>
      </c>
      <c r="D79" s="80">
        <v>52</v>
      </c>
      <c r="E79" s="81">
        <v>3.0000000000000001E-3</v>
      </c>
      <c r="F79" s="82">
        <v>6814</v>
      </c>
      <c r="G79" s="81">
        <v>3.0000000000000001E-3</v>
      </c>
      <c r="H79" s="81">
        <v>0.14299999999999999</v>
      </c>
      <c r="I79" s="82">
        <v>8729500</v>
      </c>
      <c r="J79" s="80" t="s">
        <v>8522</v>
      </c>
      <c r="K79" s="80">
        <v>975</v>
      </c>
      <c r="L79" s="80" t="s">
        <v>8523</v>
      </c>
      <c r="M79" s="82">
        <v>2939826548</v>
      </c>
      <c r="N79" s="82">
        <v>489717</v>
      </c>
      <c r="O79" s="80">
        <v>12</v>
      </c>
    </row>
    <row r="80" spans="1:15" ht="27" x14ac:dyDescent="0.3">
      <c r="A80" s="79">
        <v>43598</v>
      </c>
      <c r="B80" s="80">
        <v>27</v>
      </c>
      <c r="C80" s="81">
        <v>6.0000000000000001E-3</v>
      </c>
      <c r="D80" s="80">
        <v>50</v>
      </c>
      <c r="E80" s="81">
        <v>3.0000000000000001E-3</v>
      </c>
      <c r="F80" s="82">
        <v>6294</v>
      </c>
      <c r="G80" s="81">
        <v>3.0000000000000001E-3</v>
      </c>
      <c r="H80" s="81">
        <v>7.0999999999999994E-2</v>
      </c>
      <c r="I80" s="82">
        <v>3647100</v>
      </c>
      <c r="J80" s="80" t="s">
        <v>8524</v>
      </c>
      <c r="K80" s="80">
        <v>449</v>
      </c>
      <c r="L80" s="80" t="s">
        <v>8525</v>
      </c>
      <c r="M80" s="82">
        <v>2943473648</v>
      </c>
      <c r="N80" s="82">
        <v>490166</v>
      </c>
      <c r="O80" s="80">
        <v>11</v>
      </c>
    </row>
    <row r="81" spans="1:15" ht="27" x14ac:dyDescent="0.3">
      <c r="A81" s="79">
        <v>43599</v>
      </c>
      <c r="B81" s="80">
        <v>28</v>
      </c>
      <c r="C81" s="81">
        <v>6.0000000000000001E-3</v>
      </c>
      <c r="D81" s="80">
        <v>53</v>
      </c>
      <c r="E81" s="81">
        <v>3.0000000000000001E-3</v>
      </c>
      <c r="F81" s="82">
        <v>6590</v>
      </c>
      <c r="G81" s="81">
        <v>3.0000000000000001E-3</v>
      </c>
      <c r="H81" s="81">
        <v>7.0999999999999994E-2</v>
      </c>
      <c r="I81" s="82">
        <v>3729900</v>
      </c>
      <c r="J81" s="80" t="s">
        <v>8526</v>
      </c>
      <c r="K81" s="80">
        <v>467</v>
      </c>
      <c r="L81" s="80" t="s">
        <v>8527</v>
      </c>
      <c r="M81" s="82">
        <v>2947203548</v>
      </c>
      <c r="N81" s="82">
        <v>490633</v>
      </c>
      <c r="O81" s="80">
        <v>13</v>
      </c>
    </row>
    <row r="82" spans="1:15" ht="27" x14ac:dyDescent="0.3">
      <c r="A82" s="79">
        <v>43600</v>
      </c>
      <c r="B82" s="80">
        <v>24</v>
      </c>
      <c r="C82" s="81">
        <v>5.0000000000000001E-3</v>
      </c>
      <c r="D82" s="80">
        <v>44</v>
      </c>
      <c r="E82" s="81">
        <v>3.0000000000000001E-3</v>
      </c>
      <c r="F82" s="82">
        <v>5510</v>
      </c>
      <c r="G82" s="81">
        <v>2E-3</v>
      </c>
      <c r="H82" s="81">
        <v>7.3999999999999996E-2</v>
      </c>
      <c r="I82" s="82">
        <v>3392000</v>
      </c>
      <c r="J82" s="80" t="s">
        <v>8528</v>
      </c>
      <c r="K82" s="80">
        <v>405</v>
      </c>
      <c r="L82" s="80" t="s">
        <v>8529</v>
      </c>
      <c r="M82" s="82">
        <v>2950595548</v>
      </c>
      <c r="N82" s="82">
        <v>491038</v>
      </c>
      <c r="O82" s="80">
        <v>17</v>
      </c>
    </row>
    <row r="83" spans="1:15" ht="27" x14ac:dyDescent="0.3">
      <c r="A83" s="79">
        <v>43601</v>
      </c>
      <c r="B83" s="80">
        <v>22</v>
      </c>
      <c r="C83" s="81">
        <v>4.0000000000000001E-3</v>
      </c>
      <c r="D83" s="80">
        <v>28</v>
      </c>
      <c r="E83" s="81">
        <v>2E-3</v>
      </c>
      <c r="F83" s="82">
        <v>4225</v>
      </c>
      <c r="G83" s="81">
        <v>2E-3</v>
      </c>
      <c r="H83" s="81">
        <v>0.05</v>
      </c>
      <c r="I83" s="82">
        <v>1691000</v>
      </c>
      <c r="J83" s="80" t="s">
        <v>8530</v>
      </c>
      <c r="K83" s="80">
        <v>210</v>
      </c>
      <c r="L83" s="80" t="s">
        <v>8531</v>
      </c>
      <c r="M83" s="82">
        <v>2952286548</v>
      </c>
      <c r="N83" s="82">
        <v>491248</v>
      </c>
      <c r="O83" s="80">
        <v>35</v>
      </c>
    </row>
    <row r="84" spans="1:15" ht="27" x14ac:dyDescent="0.3">
      <c r="A84" s="79">
        <v>43602</v>
      </c>
      <c r="B84" s="80">
        <v>22</v>
      </c>
      <c r="C84" s="81">
        <v>4.0000000000000001E-3</v>
      </c>
      <c r="D84" s="80">
        <v>33</v>
      </c>
      <c r="E84" s="81">
        <v>2E-3</v>
      </c>
      <c r="F84" s="82">
        <v>4375</v>
      </c>
      <c r="G84" s="81">
        <v>2E-3</v>
      </c>
      <c r="H84" s="81">
        <v>6.3E-2</v>
      </c>
      <c r="I84" s="82">
        <v>2346000</v>
      </c>
      <c r="J84" s="80" t="s">
        <v>8532</v>
      </c>
      <c r="K84" s="80">
        <v>274</v>
      </c>
      <c r="L84" s="80" t="s">
        <v>8533</v>
      </c>
      <c r="M84" s="82">
        <v>2954632548</v>
      </c>
      <c r="N84" s="82">
        <v>491522</v>
      </c>
      <c r="O84" s="80">
        <v>26</v>
      </c>
    </row>
    <row r="85" spans="1:15" ht="27" x14ac:dyDescent="0.3">
      <c r="A85" s="79">
        <v>43603</v>
      </c>
      <c r="B85" s="80">
        <v>24</v>
      </c>
      <c r="C85" s="81">
        <v>4.0000000000000001E-3</v>
      </c>
      <c r="D85" s="80">
        <v>34</v>
      </c>
      <c r="E85" s="81">
        <v>2E-3</v>
      </c>
      <c r="F85" s="82">
        <v>3604</v>
      </c>
      <c r="G85" s="81">
        <v>1E-3</v>
      </c>
      <c r="H85" s="81">
        <v>0.156</v>
      </c>
      <c r="I85" s="82">
        <v>4994500</v>
      </c>
      <c r="J85" s="80" t="s">
        <v>8534</v>
      </c>
      <c r="K85" s="80">
        <v>561</v>
      </c>
      <c r="L85" s="80" t="s">
        <v>8535</v>
      </c>
      <c r="M85" s="82">
        <v>2959627048</v>
      </c>
      <c r="N85" s="82">
        <v>492083</v>
      </c>
      <c r="O85" s="80">
        <v>20</v>
      </c>
    </row>
    <row r="86" spans="1:15" ht="27" x14ac:dyDescent="0.3">
      <c r="A86" s="79">
        <v>43604</v>
      </c>
      <c r="B86" s="80">
        <v>23</v>
      </c>
      <c r="C86" s="81">
        <v>4.0000000000000001E-3</v>
      </c>
      <c r="D86" s="80">
        <v>35</v>
      </c>
      <c r="E86" s="81">
        <v>2E-3</v>
      </c>
      <c r="F86" s="82">
        <v>3981</v>
      </c>
      <c r="G86" s="81">
        <v>1E-3</v>
      </c>
      <c r="H86" s="81">
        <v>0.124</v>
      </c>
      <c r="I86" s="82">
        <v>4410500</v>
      </c>
      <c r="J86" s="80" t="s">
        <v>8536</v>
      </c>
      <c r="K86" s="80">
        <v>494</v>
      </c>
      <c r="L86" s="80" t="s">
        <v>8537</v>
      </c>
      <c r="M86" s="82">
        <v>2964037548</v>
      </c>
      <c r="N86" s="82">
        <v>492577</v>
      </c>
      <c r="O86" s="80">
        <v>18</v>
      </c>
    </row>
    <row r="87" spans="1:15" ht="27" x14ac:dyDescent="0.3">
      <c r="A87" s="79">
        <v>43605</v>
      </c>
      <c r="B87" s="80">
        <v>22</v>
      </c>
      <c r="C87" s="81">
        <v>4.0000000000000001E-3</v>
      </c>
      <c r="D87" s="80">
        <v>30</v>
      </c>
      <c r="E87" s="81">
        <v>2E-3</v>
      </c>
      <c r="F87" s="82">
        <v>3302</v>
      </c>
      <c r="G87" s="81">
        <v>1E-3</v>
      </c>
      <c r="H87" s="81">
        <v>5.8999999999999997E-2</v>
      </c>
      <c r="I87" s="82">
        <v>1570000</v>
      </c>
      <c r="J87" s="80" t="s">
        <v>8538</v>
      </c>
      <c r="K87" s="80">
        <v>196</v>
      </c>
      <c r="L87" s="80" t="s">
        <v>8539</v>
      </c>
      <c r="M87" s="82">
        <v>2965607548</v>
      </c>
      <c r="N87" s="82">
        <v>492773</v>
      </c>
      <c r="O87" s="80">
        <v>28</v>
      </c>
    </row>
    <row r="88" spans="1:15" ht="27" x14ac:dyDescent="0.3">
      <c r="A88" s="79">
        <v>43606</v>
      </c>
      <c r="B88" s="80">
        <v>23</v>
      </c>
      <c r="C88" s="81">
        <v>4.0000000000000001E-3</v>
      </c>
      <c r="D88" s="80">
        <v>32</v>
      </c>
      <c r="E88" s="81">
        <v>2E-3</v>
      </c>
      <c r="F88" s="82">
        <v>4168</v>
      </c>
      <c r="G88" s="81">
        <v>2E-3</v>
      </c>
      <c r="H88" s="81">
        <v>5.1999999999999998E-2</v>
      </c>
      <c r="I88" s="82">
        <v>1770000</v>
      </c>
      <c r="J88" s="80" t="s">
        <v>8540</v>
      </c>
      <c r="K88" s="80">
        <v>217</v>
      </c>
      <c r="L88" s="80" t="s">
        <v>8541</v>
      </c>
      <c r="M88" s="82">
        <v>2967377548</v>
      </c>
      <c r="N88" s="82">
        <v>492990</v>
      </c>
      <c r="O88" s="80">
        <v>28</v>
      </c>
    </row>
    <row r="89" spans="1:15" ht="27" x14ac:dyDescent="0.3">
      <c r="A89" s="79">
        <v>43607</v>
      </c>
      <c r="B89" s="80">
        <v>22</v>
      </c>
      <c r="C89" s="81">
        <v>4.0000000000000001E-3</v>
      </c>
      <c r="D89" s="80">
        <v>29</v>
      </c>
      <c r="E89" s="81">
        <v>2E-3</v>
      </c>
      <c r="F89" s="82">
        <v>3170</v>
      </c>
      <c r="G89" s="81">
        <v>1E-3</v>
      </c>
      <c r="H89" s="81">
        <v>8.5000000000000006E-2</v>
      </c>
      <c r="I89" s="82">
        <v>2256000</v>
      </c>
      <c r="J89" s="80" t="s">
        <v>8542</v>
      </c>
      <c r="K89" s="80">
        <v>270</v>
      </c>
      <c r="L89" s="80" t="s">
        <v>8543</v>
      </c>
      <c r="M89" s="82">
        <v>2969633548</v>
      </c>
      <c r="N89" s="82">
        <v>493260</v>
      </c>
      <c r="O89" s="80">
        <v>21</v>
      </c>
    </row>
    <row r="90" spans="1:15" ht="27" x14ac:dyDescent="0.3">
      <c r="A90" s="79">
        <v>43608</v>
      </c>
      <c r="B90" s="80">
        <v>5</v>
      </c>
      <c r="C90" s="81">
        <v>1E-3</v>
      </c>
      <c r="D90" s="80">
        <v>5</v>
      </c>
      <c r="E90" s="81">
        <v>0</v>
      </c>
      <c r="F90" s="80">
        <v>520</v>
      </c>
      <c r="G90" s="81">
        <v>0</v>
      </c>
      <c r="H90" s="81">
        <v>5.3999999999999999E-2</v>
      </c>
      <c r="I90" s="82">
        <v>240000</v>
      </c>
      <c r="J90" s="80" t="s">
        <v>8544</v>
      </c>
      <c r="K90" s="80">
        <v>28</v>
      </c>
      <c r="L90" s="80" t="s">
        <v>8545</v>
      </c>
      <c r="M90" s="82">
        <v>2969873548</v>
      </c>
      <c r="N90" s="82">
        <v>493288</v>
      </c>
      <c r="O90" s="80">
        <v>57</v>
      </c>
    </row>
    <row r="91" spans="1:15" ht="27" x14ac:dyDescent="0.3">
      <c r="A91" s="79">
        <v>43609</v>
      </c>
      <c r="B91" s="80">
        <v>6</v>
      </c>
      <c r="C91" s="81">
        <v>1E-3</v>
      </c>
      <c r="D91" s="80">
        <v>6</v>
      </c>
      <c r="E91" s="81">
        <v>0</v>
      </c>
      <c r="F91" s="80">
        <v>750</v>
      </c>
      <c r="G91" s="81">
        <v>0</v>
      </c>
      <c r="H91" s="81">
        <v>4.7E-2</v>
      </c>
      <c r="I91" s="82">
        <v>299500</v>
      </c>
      <c r="J91" s="80" t="s">
        <v>8546</v>
      </c>
      <c r="K91" s="80">
        <v>35</v>
      </c>
      <c r="L91" s="80" t="s">
        <v>8547</v>
      </c>
      <c r="M91" s="82">
        <v>2970173048</v>
      </c>
      <c r="N91" s="82">
        <v>493323</v>
      </c>
      <c r="O91" s="80">
        <v>59</v>
      </c>
    </row>
    <row r="92" spans="1:15" ht="27" x14ac:dyDescent="0.3">
      <c r="A92" s="79">
        <v>43610</v>
      </c>
      <c r="B92" s="80">
        <v>7</v>
      </c>
      <c r="C92" s="81">
        <v>1E-3</v>
      </c>
      <c r="D92" s="80">
        <v>7</v>
      </c>
      <c r="E92" s="81">
        <v>0</v>
      </c>
      <c r="F92" s="80">
        <v>822</v>
      </c>
      <c r="G92" s="81">
        <v>0</v>
      </c>
      <c r="H92" s="81">
        <v>0.20200000000000001</v>
      </c>
      <c r="I92" s="82">
        <v>1612000</v>
      </c>
      <c r="J92" s="80" t="s">
        <v>8548</v>
      </c>
      <c r="K92" s="80">
        <v>166</v>
      </c>
      <c r="L92" s="80" t="s">
        <v>8549</v>
      </c>
      <c r="M92" s="82">
        <v>2971785048</v>
      </c>
      <c r="N92" s="82">
        <v>493489</v>
      </c>
      <c r="O92" s="80">
        <v>35</v>
      </c>
    </row>
    <row r="93" spans="1:15" ht="27" x14ac:dyDescent="0.3">
      <c r="A93" s="79">
        <v>43611</v>
      </c>
      <c r="B93" s="80">
        <v>8</v>
      </c>
      <c r="C93" s="81">
        <v>1E-3</v>
      </c>
      <c r="D93" s="80">
        <v>8</v>
      </c>
      <c r="E93" s="81">
        <v>0</v>
      </c>
      <c r="F93" s="80">
        <v>784</v>
      </c>
      <c r="G93" s="81">
        <v>0</v>
      </c>
      <c r="H93" s="81">
        <v>0.14299999999999999</v>
      </c>
      <c r="I93" s="82">
        <v>1094000</v>
      </c>
      <c r="J93" s="80" t="s">
        <v>8550</v>
      </c>
      <c r="K93" s="80">
        <v>112</v>
      </c>
      <c r="L93" s="80" t="s">
        <v>8551</v>
      </c>
      <c r="M93" s="82">
        <v>2972879048</v>
      </c>
      <c r="N93" s="82">
        <v>493601</v>
      </c>
      <c r="O93" s="80">
        <v>35</v>
      </c>
    </row>
    <row r="94" spans="1:15" ht="27" x14ac:dyDescent="0.3">
      <c r="A94" s="79">
        <v>43612</v>
      </c>
      <c r="B94" s="80">
        <v>6</v>
      </c>
      <c r="C94" s="81">
        <v>1E-3</v>
      </c>
      <c r="D94" s="80">
        <v>6</v>
      </c>
      <c r="E94" s="81">
        <v>0</v>
      </c>
      <c r="F94" s="80">
        <v>752</v>
      </c>
      <c r="G94" s="81">
        <v>0</v>
      </c>
      <c r="H94" s="81">
        <v>0.08</v>
      </c>
      <c r="I94" s="82">
        <v>515000</v>
      </c>
      <c r="J94" s="80" t="s">
        <v>8552</v>
      </c>
      <c r="K94" s="80">
        <v>60</v>
      </c>
      <c r="L94" s="80" t="s">
        <v>8553</v>
      </c>
      <c r="M94" s="82">
        <v>2973394048</v>
      </c>
      <c r="N94" s="82">
        <v>493661</v>
      </c>
      <c r="O94" s="80">
        <v>42</v>
      </c>
    </row>
    <row r="95" spans="1:15" ht="27" x14ac:dyDescent="0.3">
      <c r="A95" s="79">
        <v>43613</v>
      </c>
      <c r="B95" s="80">
        <v>7</v>
      </c>
      <c r="C95" s="81">
        <v>1E-3</v>
      </c>
      <c r="D95" s="80">
        <v>7</v>
      </c>
      <c r="E95" s="81">
        <v>0</v>
      </c>
      <c r="F95" s="80">
        <v>927</v>
      </c>
      <c r="G95" s="81">
        <v>0</v>
      </c>
      <c r="H95" s="81">
        <v>0.20499999999999999</v>
      </c>
      <c r="I95" s="82">
        <v>1194500</v>
      </c>
      <c r="J95" s="80" t="s">
        <v>8554</v>
      </c>
      <c r="K95" s="80">
        <v>190</v>
      </c>
      <c r="L95" s="80" t="s">
        <v>8555</v>
      </c>
      <c r="M95" s="82">
        <v>2974588548</v>
      </c>
      <c r="N95" s="82">
        <v>493851</v>
      </c>
      <c r="O95" s="80">
        <v>34</v>
      </c>
    </row>
    <row r="96" spans="1:15" ht="27" x14ac:dyDescent="0.3">
      <c r="A96" s="79">
        <v>43614</v>
      </c>
      <c r="B96" s="80">
        <v>4</v>
      </c>
      <c r="C96" s="81">
        <v>1E-3</v>
      </c>
      <c r="D96" s="80">
        <v>4</v>
      </c>
      <c r="E96" s="81">
        <v>0</v>
      </c>
      <c r="F96" s="80">
        <v>462</v>
      </c>
      <c r="G96" s="81">
        <v>0</v>
      </c>
      <c r="H96" s="81">
        <v>8.6999999999999994E-2</v>
      </c>
      <c r="I96" s="82">
        <v>310000</v>
      </c>
      <c r="J96" s="80" t="s">
        <v>8556</v>
      </c>
      <c r="K96" s="80">
        <v>40</v>
      </c>
      <c r="L96" s="80" t="s">
        <v>8557</v>
      </c>
      <c r="M96" s="82">
        <v>2974898548</v>
      </c>
      <c r="N96" s="82">
        <v>493891</v>
      </c>
      <c r="O96" s="80">
        <v>57</v>
      </c>
    </row>
    <row r="97" spans="1:15" ht="27" x14ac:dyDescent="0.3">
      <c r="A97" s="79">
        <v>43616</v>
      </c>
      <c r="B97" s="80">
        <v>2</v>
      </c>
      <c r="C97" s="81">
        <v>0</v>
      </c>
      <c r="D97" s="80">
        <v>2</v>
      </c>
      <c r="E97" s="81">
        <v>0</v>
      </c>
      <c r="F97" s="80">
        <v>244</v>
      </c>
      <c r="G97" s="81">
        <v>0</v>
      </c>
      <c r="H97" s="81">
        <v>7.0000000000000007E-2</v>
      </c>
      <c r="I97" s="82">
        <v>191000</v>
      </c>
      <c r="J97" s="80" t="s">
        <v>8558</v>
      </c>
      <c r="K97" s="80">
        <v>17</v>
      </c>
      <c r="L97" s="80" t="s">
        <v>1401</v>
      </c>
      <c r="M97" s="82">
        <v>2975089548</v>
      </c>
      <c r="N97" s="82">
        <v>493908</v>
      </c>
      <c r="O97" s="80">
        <v>59</v>
      </c>
    </row>
    <row r="98" spans="1:15" ht="27" x14ac:dyDescent="0.3">
      <c r="A98" s="79">
        <v>43618</v>
      </c>
      <c r="B98" s="80">
        <v>3</v>
      </c>
      <c r="C98" s="81">
        <v>1E-3</v>
      </c>
      <c r="D98" s="80">
        <v>3</v>
      </c>
      <c r="E98" s="81">
        <v>0</v>
      </c>
      <c r="F98" s="80">
        <v>219</v>
      </c>
      <c r="G98" s="81">
        <v>0</v>
      </c>
      <c r="H98" s="81">
        <v>0.17399999999999999</v>
      </c>
      <c r="I98" s="82">
        <v>361000</v>
      </c>
      <c r="J98" s="80" t="s">
        <v>8559</v>
      </c>
      <c r="K98" s="80">
        <v>38</v>
      </c>
      <c r="L98" s="80" t="s">
        <v>8489</v>
      </c>
      <c r="M98" s="82">
        <v>2975450548</v>
      </c>
      <c r="N98" s="82">
        <v>493946</v>
      </c>
      <c r="O98" s="80">
        <v>55</v>
      </c>
    </row>
    <row r="99" spans="1:15" ht="27" x14ac:dyDescent="0.3">
      <c r="A99" s="79">
        <v>43620</v>
      </c>
      <c r="B99" s="80">
        <v>1</v>
      </c>
      <c r="C99" s="81">
        <v>0</v>
      </c>
      <c r="D99" s="80">
        <v>1</v>
      </c>
      <c r="E99" s="81">
        <v>0</v>
      </c>
      <c r="F99" s="80">
        <v>30</v>
      </c>
      <c r="G99" s="81">
        <v>0</v>
      </c>
      <c r="H99" s="81">
        <v>0.1</v>
      </c>
      <c r="I99" s="82">
        <v>24000</v>
      </c>
      <c r="J99" s="80" t="s">
        <v>293</v>
      </c>
      <c r="K99" s="80">
        <v>3</v>
      </c>
      <c r="L99" s="80" t="s">
        <v>294</v>
      </c>
      <c r="M99" s="82">
        <v>2975474548</v>
      </c>
      <c r="N99" s="82">
        <v>493949</v>
      </c>
      <c r="O99" s="80">
        <v>87</v>
      </c>
    </row>
    <row r="100" spans="1:15" ht="27" x14ac:dyDescent="0.3">
      <c r="A100" s="79">
        <v>43622</v>
      </c>
      <c r="B100" s="80">
        <v>1</v>
      </c>
      <c r="C100" s="81">
        <v>0</v>
      </c>
      <c r="D100" s="80">
        <v>1</v>
      </c>
      <c r="E100" s="81">
        <v>0</v>
      </c>
      <c r="F100" s="80">
        <v>51</v>
      </c>
      <c r="G100" s="81">
        <v>0</v>
      </c>
      <c r="H100" s="81">
        <v>0.27500000000000002</v>
      </c>
      <c r="I100" s="82">
        <v>109000</v>
      </c>
      <c r="J100" s="80" t="s">
        <v>8560</v>
      </c>
      <c r="K100" s="80">
        <v>14</v>
      </c>
      <c r="L100" s="80" t="s">
        <v>8265</v>
      </c>
      <c r="M100" s="82">
        <v>2975583548</v>
      </c>
      <c r="N100" s="82">
        <v>493963</v>
      </c>
      <c r="O100" s="80">
        <v>74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92C2-9EAC-481F-B2F2-58223C01CFB1}">
  <dimension ref="A1:O38"/>
  <sheetViews>
    <sheetView workbookViewId="0">
      <selection activeCell="A5" sqref="A5:O10"/>
    </sheetView>
  </sheetViews>
  <sheetFormatPr defaultRowHeight="16.5" x14ac:dyDescent="0.3"/>
  <sheetData>
    <row r="1" spans="1:15" ht="19.5" x14ac:dyDescent="0.3">
      <c r="A1" s="197" t="s">
        <v>8561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90" t="s">
        <v>111</v>
      </c>
      <c r="B4" s="85" t="s">
        <v>112</v>
      </c>
      <c r="C4" s="85" t="s">
        <v>113</v>
      </c>
      <c r="D4" s="85" t="s">
        <v>114</v>
      </c>
      <c r="E4" s="85" t="s">
        <v>115</v>
      </c>
      <c r="F4" s="85" t="s">
        <v>116</v>
      </c>
      <c r="G4" s="85" t="s">
        <v>117</v>
      </c>
      <c r="H4" s="85" t="s">
        <v>118</v>
      </c>
      <c r="I4" s="85" t="s">
        <v>119</v>
      </c>
      <c r="J4" s="85" t="s">
        <v>120</v>
      </c>
      <c r="K4" s="85" t="s">
        <v>121</v>
      </c>
      <c r="L4" s="85" t="s">
        <v>122</v>
      </c>
      <c r="M4" s="85" t="s">
        <v>123</v>
      </c>
      <c r="N4" s="85" t="s">
        <v>124</v>
      </c>
      <c r="O4" s="91" t="s">
        <v>125</v>
      </c>
    </row>
    <row r="5" spans="1:15" ht="27" x14ac:dyDescent="0.3">
      <c r="A5" s="86">
        <v>43600</v>
      </c>
      <c r="B5" s="87">
        <v>80</v>
      </c>
      <c r="C5" s="88">
        <v>1.4999999999999999E-2</v>
      </c>
      <c r="D5" s="87">
        <v>130</v>
      </c>
      <c r="E5" s="88">
        <v>7.0000000000000001E-3</v>
      </c>
      <c r="F5" s="89">
        <v>15845</v>
      </c>
      <c r="G5" s="88">
        <v>6.0000000000000001E-3</v>
      </c>
      <c r="H5" s="88">
        <v>3.9E-2</v>
      </c>
      <c r="I5" s="89">
        <v>4123600</v>
      </c>
      <c r="J5" s="87" t="s">
        <v>8562</v>
      </c>
      <c r="K5" s="87">
        <v>625</v>
      </c>
      <c r="L5" s="87" t="s">
        <v>8563</v>
      </c>
      <c r="M5" s="89">
        <v>14479600</v>
      </c>
      <c r="N5" s="89">
        <v>2351</v>
      </c>
      <c r="O5" s="87">
        <v>13</v>
      </c>
    </row>
    <row r="6" spans="1:15" ht="27" x14ac:dyDescent="0.3">
      <c r="A6" s="86">
        <v>43601</v>
      </c>
      <c r="B6" s="87">
        <v>89</v>
      </c>
      <c r="C6" s="88">
        <v>1.6E-2</v>
      </c>
      <c r="D6" s="87">
        <v>124</v>
      </c>
      <c r="E6" s="88">
        <v>7.0000000000000001E-3</v>
      </c>
      <c r="F6" s="89">
        <v>13805</v>
      </c>
      <c r="G6" s="88">
        <v>5.0000000000000001E-3</v>
      </c>
      <c r="H6" s="88">
        <v>3.5999999999999997E-2</v>
      </c>
      <c r="I6" s="89">
        <v>3324000</v>
      </c>
      <c r="J6" s="87" t="s">
        <v>8564</v>
      </c>
      <c r="K6" s="87">
        <v>499</v>
      </c>
      <c r="L6" s="87" t="s">
        <v>8565</v>
      </c>
      <c r="M6" s="89">
        <v>17803600</v>
      </c>
      <c r="N6" s="89">
        <v>2850</v>
      </c>
      <c r="O6" s="87">
        <v>15</v>
      </c>
    </row>
    <row r="7" spans="1:15" ht="27" x14ac:dyDescent="0.3">
      <c r="A7" s="86">
        <v>43602</v>
      </c>
      <c r="B7" s="87">
        <v>77</v>
      </c>
      <c r="C7" s="88">
        <v>1.2999999999999999E-2</v>
      </c>
      <c r="D7" s="87">
        <v>104</v>
      </c>
      <c r="E7" s="88">
        <v>6.0000000000000001E-3</v>
      </c>
      <c r="F7" s="89">
        <v>11222</v>
      </c>
      <c r="G7" s="88">
        <v>4.0000000000000001E-3</v>
      </c>
      <c r="H7" s="88">
        <v>1.7999999999999999E-2</v>
      </c>
      <c r="I7" s="89">
        <v>1692600</v>
      </c>
      <c r="J7" s="87" t="s">
        <v>8566</v>
      </c>
      <c r="K7" s="87">
        <v>202</v>
      </c>
      <c r="L7" s="87" t="s">
        <v>8567</v>
      </c>
      <c r="M7" s="89">
        <v>19496200</v>
      </c>
      <c r="N7" s="89">
        <v>3052</v>
      </c>
      <c r="O7" s="87">
        <v>34</v>
      </c>
    </row>
    <row r="8" spans="1:15" ht="27" x14ac:dyDescent="0.3">
      <c r="A8" s="86">
        <v>43603</v>
      </c>
      <c r="B8" s="87">
        <v>95</v>
      </c>
      <c r="C8" s="88">
        <v>1.4999999999999999E-2</v>
      </c>
      <c r="D8" s="87">
        <v>157</v>
      </c>
      <c r="E8" s="88">
        <v>8.0000000000000002E-3</v>
      </c>
      <c r="F8" s="89">
        <v>16532</v>
      </c>
      <c r="G8" s="88">
        <v>6.0000000000000001E-3</v>
      </c>
      <c r="H8" s="88">
        <v>0.122</v>
      </c>
      <c r="I8" s="89">
        <v>11268800</v>
      </c>
      <c r="J8" s="87" t="s">
        <v>8568</v>
      </c>
      <c r="K8" s="89">
        <v>2023</v>
      </c>
      <c r="L8" s="87" t="s">
        <v>8569</v>
      </c>
      <c r="M8" s="89">
        <v>30765000</v>
      </c>
      <c r="N8" s="89">
        <v>5075</v>
      </c>
      <c r="O8" s="87">
        <v>12</v>
      </c>
    </row>
    <row r="9" spans="1:15" ht="27" x14ac:dyDescent="0.3">
      <c r="A9" s="86">
        <v>43604</v>
      </c>
      <c r="B9" s="87">
        <v>108</v>
      </c>
      <c r="C9" s="88">
        <v>1.7000000000000001E-2</v>
      </c>
      <c r="D9" s="87">
        <v>168</v>
      </c>
      <c r="E9" s="88">
        <v>8.9999999999999993E-3</v>
      </c>
      <c r="F9" s="89">
        <v>17665</v>
      </c>
      <c r="G9" s="88">
        <v>6.0000000000000001E-3</v>
      </c>
      <c r="H9" s="88">
        <v>0.111</v>
      </c>
      <c r="I9" s="89">
        <v>11275400</v>
      </c>
      <c r="J9" s="87" t="s">
        <v>8570</v>
      </c>
      <c r="K9" s="89">
        <v>1959</v>
      </c>
      <c r="L9" s="87" t="s">
        <v>8571</v>
      </c>
      <c r="M9" s="89">
        <v>42040400</v>
      </c>
      <c r="N9" s="89">
        <v>7034</v>
      </c>
      <c r="O9" s="87">
        <v>13</v>
      </c>
    </row>
    <row r="10" spans="1:15" ht="27" x14ac:dyDescent="0.3">
      <c r="A10" s="86">
        <v>43605</v>
      </c>
      <c r="B10" s="87">
        <v>96</v>
      </c>
      <c r="C10" s="88">
        <v>1.7999999999999999E-2</v>
      </c>
      <c r="D10" s="87">
        <v>157</v>
      </c>
      <c r="E10" s="88">
        <v>8.9999999999999993E-3</v>
      </c>
      <c r="F10" s="89">
        <v>16879</v>
      </c>
      <c r="G10" s="88">
        <v>6.0000000000000001E-3</v>
      </c>
      <c r="H10" s="88">
        <v>0.1</v>
      </c>
      <c r="I10" s="89">
        <v>9046280</v>
      </c>
      <c r="J10" s="87" t="s">
        <v>8572</v>
      </c>
      <c r="K10" s="89">
        <v>1681</v>
      </c>
      <c r="L10" s="87" t="s">
        <v>8573</v>
      </c>
      <c r="M10" s="89">
        <v>51086680</v>
      </c>
      <c r="N10" s="89">
        <v>8715</v>
      </c>
      <c r="O10" s="87">
        <v>11</v>
      </c>
    </row>
    <row r="11" spans="1:15" ht="27" x14ac:dyDescent="0.3">
      <c r="A11" s="86">
        <v>43606</v>
      </c>
      <c r="B11" s="87">
        <v>83</v>
      </c>
      <c r="C11" s="88">
        <v>1.4999999999999999E-2</v>
      </c>
      <c r="D11" s="87">
        <v>145</v>
      </c>
      <c r="E11" s="88">
        <v>8.0000000000000002E-3</v>
      </c>
      <c r="F11" s="89">
        <v>16029</v>
      </c>
      <c r="G11" s="88">
        <v>6.0000000000000001E-3</v>
      </c>
      <c r="H11" s="88">
        <v>0.10199999999999999</v>
      </c>
      <c r="I11" s="89">
        <v>8934300</v>
      </c>
      <c r="J11" s="87" t="s">
        <v>8574</v>
      </c>
      <c r="K11" s="89">
        <v>1638</v>
      </c>
      <c r="L11" s="87" t="s">
        <v>8575</v>
      </c>
      <c r="M11" s="89">
        <v>60020980</v>
      </c>
      <c r="N11" s="89">
        <v>10353</v>
      </c>
      <c r="O11" s="87">
        <v>10</v>
      </c>
    </row>
    <row r="12" spans="1:15" ht="27" x14ac:dyDescent="0.3">
      <c r="A12" s="86">
        <v>43607</v>
      </c>
      <c r="B12" s="87">
        <v>49</v>
      </c>
      <c r="C12" s="88">
        <v>0.01</v>
      </c>
      <c r="D12" s="87">
        <v>100</v>
      </c>
      <c r="E12" s="88">
        <v>6.0000000000000001E-3</v>
      </c>
      <c r="F12" s="89">
        <v>9852</v>
      </c>
      <c r="G12" s="88">
        <v>4.0000000000000001E-3</v>
      </c>
      <c r="H12" s="88">
        <v>0.14799999999999999</v>
      </c>
      <c r="I12" s="89">
        <v>7812300</v>
      </c>
      <c r="J12" s="87" t="s">
        <v>8576</v>
      </c>
      <c r="K12" s="89">
        <v>1459</v>
      </c>
      <c r="L12" s="87" t="s">
        <v>8577</v>
      </c>
      <c r="M12" s="89">
        <v>67833280</v>
      </c>
      <c r="N12" s="89">
        <v>11812</v>
      </c>
      <c r="O12" s="87">
        <v>9</v>
      </c>
    </row>
    <row r="13" spans="1:15" ht="27" x14ac:dyDescent="0.3">
      <c r="A13" s="86">
        <v>43608</v>
      </c>
      <c r="B13" s="87">
        <v>35</v>
      </c>
      <c r="C13" s="88">
        <v>6.0000000000000001E-3</v>
      </c>
      <c r="D13" s="87">
        <v>64</v>
      </c>
      <c r="E13" s="88">
        <v>4.0000000000000001E-3</v>
      </c>
      <c r="F13" s="89">
        <v>6645</v>
      </c>
      <c r="G13" s="88">
        <v>2E-3</v>
      </c>
      <c r="H13" s="88">
        <v>0.2</v>
      </c>
      <c r="I13" s="89">
        <v>6965500</v>
      </c>
      <c r="J13" s="87" t="s">
        <v>8578</v>
      </c>
      <c r="K13" s="89">
        <v>1331</v>
      </c>
      <c r="L13" s="87" t="s">
        <v>8579</v>
      </c>
      <c r="M13" s="89">
        <v>74798780</v>
      </c>
      <c r="N13" s="89">
        <v>13143</v>
      </c>
      <c r="O13" s="87">
        <v>12</v>
      </c>
    </row>
    <row r="14" spans="1:15" ht="27" x14ac:dyDescent="0.3">
      <c r="A14" s="86">
        <v>43609</v>
      </c>
      <c r="B14" s="87">
        <v>34</v>
      </c>
      <c r="C14" s="88">
        <v>6.0000000000000001E-3</v>
      </c>
      <c r="D14" s="87">
        <v>64</v>
      </c>
      <c r="E14" s="88">
        <v>3.0000000000000001E-3</v>
      </c>
      <c r="F14" s="89">
        <v>6652</v>
      </c>
      <c r="G14" s="88">
        <v>2E-3</v>
      </c>
      <c r="H14" s="88">
        <v>0.221</v>
      </c>
      <c r="I14" s="89">
        <v>7967500</v>
      </c>
      <c r="J14" s="87" t="s">
        <v>8580</v>
      </c>
      <c r="K14" s="89">
        <v>1468</v>
      </c>
      <c r="L14" s="87" t="s">
        <v>8581</v>
      </c>
      <c r="M14" s="89">
        <v>82766280</v>
      </c>
      <c r="N14" s="89">
        <v>14611</v>
      </c>
      <c r="O14" s="87">
        <v>12</v>
      </c>
    </row>
    <row r="15" spans="1:15" ht="27" x14ac:dyDescent="0.3">
      <c r="A15" s="86">
        <v>43610</v>
      </c>
      <c r="B15" s="87">
        <v>29</v>
      </c>
      <c r="C15" s="88">
        <v>4.0000000000000001E-3</v>
      </c>
      <c r="D15" s="87">
        <v>55</v>
      </c>
      <c r="E15" s="88">
        <v>3.0000000000000001E-3</v>
      </c>
      <c r="F15" s="89">
        <v>6234</v>
      </c>
      <c r="G15" s="88">
        <v>2E-3</v>
      </c>
      <c r="H15" s="88">
        <v>0.34899999999999998</v>
      </c>
      <c r="I15" s="89">
        <v>11534100</v>
      </c>
      <c r="J15" s="87" t="s">
        <v>8582</v>
      </c>
      <c r="K15" s="89">
        <v>2177</v>
      </c>
      <c r="L15" s="87" t="s">
        <v>8583</v>
      </c>
      <c r="M15" s="89">
        <v>94300380</v>
      </c>
      <c r="N15" s="89">
        <v>16788</v>
      </c>
      <c r="O15" s="87">
        <v>13</v>
      </c>
    </row>
    <row r="16" spans="1:15" ht="27" x14ac:dyDescent="0.3">
      <c r="A16" s="86">
        <v>43611</v>
      </c>
      <c r="B16" s="87">
        <v>30</v>
      </c>
      <c r="C16" s="88">
        <v>5.0000000000000001E-3</v>
      </c>
      <c r="D16" s="87">
        <v>53</v>
      </c>
      <c r="E16" s="88">
        <v>3.0000000000000001E-3</v>
      </c>
      <c r="F16" s="89">
        <v>6045</v>
      </c>
      <c r="G16" s="88">
        <v>2E-3</v>
      </c>
      <c r="H16" s="88">
        <v>0.30499999999999999</v>
      </c>
      <c r="I16" s="89">
        <v>9868600</v>
      </c>
      <c r="J16" s="87" t="s">
        <v>8584</v>
      </c>
      <c r="K16" s="89">
        <v>1844</v>
      </c>
      <c r="L16" s="87" t="s">
        <v>8585</v>
      </c>
      <c r="M16" s="89">
        <v>104168980</v>
      </c>
      <c r="N16" s="89">
        <v>18632</v>
      </c>
      <c r="O16" s="87">
        <v>14</v>
      </c>
    </row>
    <row r="17" spans="1:15" ht="27" x14ac:dyDescent="0.3">
      <c r="A17" s="86">
        <v>43612</v>
      </c>
      <c r="B17" s="87">
        <v>26</v>
      </c>
      <c r="C17" s="88">
        <v>5.0000000000000001E-3</v>
      </c>
      <c r="D17" s="87">
        <v>33</v>
      </c>
      <c r="E17" s="88">
        <v>2E-3</v>
      </c>
      <c r="F17" s="89">
        <v>3581</v>
      </c>
      <c r="G17" s="88">
        <v>1E-3</v>
      </c>
      <c r="H17" s="88">
        <v>1.4999999999999999E-2</v>
      </c>
      <c r="I17" s="89">
        <v>412600</v>
      </c>
      <c r="J17" s="87" t="s">
        <v>8586</v>
      </c>
      <c r="K17" s="87">
        <v>54</v>
      </c>
      <c r="L17" s="87" t="s">
        <v>8587</v>
      </c>
      <c r="M17" s="89">
        <v>104581580</v>
      </c>
      <c r="N17" s="89">
        <v>18686</v>
      </c>
      <c r="O17" s="87">
        <v>46</v>
      </c>
    </row>
    <row r="18" spans="1:15" ht="27" x14ac:dyDescent="0.3">
      <c r="A18" s="86">
        <v>43613</v>
      </c>
      <c r="B18" s="87">
        <v>27</v>
      </c>
      <c r="C18" s="88">
        <v>5.0000000000000001E-3</v>
      </c>
      <c r="D18" s="87">
        <v>35</v>
      </c>
      <c r="E18" s="88">
        <v>2E-3</v>
      </c>
      <c r="F18" s="89">
        <v>4430</v>
      </c>
      <c r="G18" s="88">
        <v>2E-3</v>
      </c>
      <c r="H18" s="88">
        <v>1.4E-2</v>
      </c>
      <c r="I18" s="89">
        <v>438800</v>
      </c>
      <c r="J18" s="87" t="s">
        <v>8588</v>
      </c>
      <c r="K18" s="87">
        <v>61</v>
      </c>
      <c r="L18" s="87" t="s">
        <v>8589</v>
      </c>
      <c r="M18" s="89">
        <v>105020380</v>
      </c>
      <c r="N18" s="89">
        <v>18747</v>
      </c>
      <c r="O18" s="87">
        <v>59</v>
      </c>
    </row>
    <row r="19" spans="1:15" ht="27" x14ac:dyDescent="0.3">
      <c r="A19" s="86">
        <v>43614</v>
      </c>
      <c r="B19" s="87">
        <v>7</v>
      </c>
      <c r="C19" s="88">
        <v>1E-3</v>
      </c>
      <c r="D19" s="87">
        <v>8</v>
      </c>
      <c r="E19" s="88">
        <v>0</v>
      </c>
      <c r="F19" s="87">
        <v>812</v>
      </c>
      <c r="G19" s="88">
        <v>0</v>
      </c>
      <c r="H19" s="88">
        <v>2.1999999999999999E-2</v>
      </c>
      <c r="I19" s="89">
        <v>122000</v>
      </c>
      <c r="J19" s="87" t="s">
        <v>8590</v>
      </c>
      <c r="K19" s="87">
        <v>18</v>
      </c>
      <c r="L19" s="87" t="s">
        <v>8591</v>
      </c>
      <c r="M19" s="89">
        <v>105142380</v>
      </c>
      <c r="N19" s="89">
        <v>18765</v>
      </c>
      <c r="O19" s="87">
        <v>70</v>
      </c>
    </row>
    <row r="20" spans="1:15" ht="27" x14ac:dyDescent="0.3">
      <c r="A20" s="86">
        <v>43615</v>
      </c>
      <c r="B20" s="87">
        <v>12</v>
      </c>
      <c r="C20" s="88">
        <v>2E-3</v>
      </c>
      <c r="D20" s="87">
        <v>13</v>
      </c>
      <c r="E20" s="88">
        <v>1E-3</v>
      </c>
      <c r="F20" s="89">
        <v>1304</v>
      </c>
      <c r="G20" s="88">
        <v>0</v>
      </c>
      <c r="H20" s="88">
        <v>2.1000000000000001E-2</v>
      </c>
      <c r="I20" s="89">
        <v>210800</v>
      </c>
      <c r="J20" s="87" t="s">
        <v>8592</v>
      </c>
      <c r="K20" s="87">
        <v>28</v>
      </c>
      <c r="L20" s="87" t="s">
        <v>5232</v>
      </c>
      <c r="M20" s="89">
        <v>105353180</v>
      </c>
      <c r="N20" s="89">
        <v>18793</v>
      </c>
      <c r="O20" s="87">
        <v>63</v>
      </c>
    </row>
    <row r="21" spans="1:15" ht="27" x14ac:dyDescent="0.3">
      <c r="A21" s="86">
        <v>43616</v>
      </c>
      <c r="B21" s="87">
        <v>11</v>
      </c>
      <c r="C21" s="88">
        <v>2E-3</v>
      </c>
      <c r="D21" s="87">
        <v>13</v>
      </c>
      <c r="E21" s="88">
        <v>1E-3</v>
      </c>
      <c r="F21" s="89">
        <v>1380</v>
      </c>
      <c r="G21" s="88">
        <v>0</v>
      </c>
      <c r="H21" s="88">
        <v>2.5000000000000001E-2</v>
      </c>
      <c r="I21" s="89">
        <v>308600</v>
      </c>
      <c r="J21" s="87" t="s">
        <v>8593</v>
      </c>
      <c r="K21" s="87">
        <v>34</v>
      </c>
      <c r="L21" s="87" t="s">
        <v>8594</v>
      </c>
      <c r="M21" s="89">
        <v>105661780</v>
      </c>
      <c r="N21" s="89">
        <v>18827</v>
      </c>
      <c r="O21" s="87">
        <v>52</v>
      </c>
    </row>
    <row r="22" spans="1:15" ht="27" x14ac:dyDescent="0.3">
      <c r="A22" s="86">
        <v>43617</v>
      </c>
      <c r="B22" s="87">
        <v>5</v>
      </c>
      <c r="C22" s="88">
        <v>1E-3</v>
      </c>
      <c r="D22" s="87">
        <v>5</v>
      </c>
      <c r="E22" s="88">
        <v>0</v>
      </c>
      <c r="F22" s="87">
        <v>487</v>
      </c>
      <c r="G22" s="88">
        <v>0</v>
      </c>
      <c r="H22" s="88">
        <v>1.6E-2</v>
      </c>
      <c r="I22" s="89">
        <v>62500</v>
      </c>
      <c r="J22" s="87" t="s">
        <v>8595</v>
      </c>
      <c r="K22" s="87">
        <v>8</v>
      </c>
      <c r="L22" s="87" t="s">
        <v>8596</v>
      </c>
      <c r="M22" s="89">
        <v>105724280</v>
      </c>
      <c r="N22" s="89">
        <v>18835</v>
      </c>
      <c r="O22" s="87">
        <v>74</v>
      </c>
    </row>
    <row r="23" spans="1:15" ht="27" x14ac:dyDescent="0.3">
      <c r="A23" s="86">
        <v>43618</v>
      </c>
      <c r="B23" s="87">
        <v>10</v>
      </c>
      <c r="C23" s="88">
        <v>2E-3</v>
      </c>
      <c r="D23" s="87">
        <v>10</v>
      </c>
      <c r="E23" s="88">
        <v>1E-3</v>
      </c>
      <c r="F23" s="89">
        <v>1176</v>
      </c>
      <c r="G23" s="88">
        <v>0</v>
      </c>
      <c r="H23" s="88">
        <v>4.2999999999999997E-2</v>
      </c>
      <c r="I23" s="89">
        <v>368800</v>
      </c>
      <c r="J23" s="87" t="s">
        <v>8597</v>
      </c>
      <c r="K23" s="87">
        <v>50</v>
      </c>
      <c r="L23" s="87" t="s">
        <v>8598</v>
      </c>
      <c r="M23" s="89">
        <v>106093080</v>
      </c>
      <c r="N23" s="89">
        <v>18885</v>
      </c>
      <c r="O23" s="87">
        <v>49</v>
      </c>
    </row>
    <row r="24" spans="1:15" ht="27" x14ac:dyDescent="0.3">
      <c r="A24" s="86">
        <v>43619</v>
      </c>
      <c r="B24" s="87">
        <v>5</v>
      </c>
      <c r="C24" s="88">
        <v>1E-3</v>
      </c>
      <c r="D24" s="87">
        <v>5</v>
      </c>
      <c r="E24" s="88">
        <v>0</v>
      </c>
      <c r="F24" s="87">
        <v>469</v>
      </c>
      <c r="G24" s="88">
        <v>0</v>
      </c>
      <c r="H24" s="88">
        <v>1.9E-2</v>
      </c>
      <c r="I24" s="89">
        <v>76300</v>
      </c>
      <c r="J24" s="87" t="s">
        <v>8599</v>
      </c>
      <c r="K24" s="87">
        <v>9</v>
      </c>
      <c r="L24" s="87" t="s">
        <v>8600</v>
      </c>
      <c r="M24" s="89">
        <v>106169380</v>
      </c>
      <c r="N24" s="89">
        <v>18894</v>
      </c>
      <c r="O24" s="87">
        <v>61</v>
      </c>
    </row>
    <row r="25" spans="1:15" ht="27" x14ac:dyDescent="0.3">
      <c r="A25" s="86">
        <v>43620</v>
      </c>
      <c r="B25" s="87">
        <v>5</v>
      </c>
      <c r="C25" s="88">
        <v>1E-3</v>
      </c>
      <c r="D25" s="87">
        <v>5</v>
      </c>
      <c r="E25" s="88">
        <v>0</v>
      </c>
      <c r="F25" s="87">
        <v>434</v>
      </c>
      <c r="G25" s="88">
        <v>0</v>
      </c>
      <c r="H25" s="88">
        <v>3.6999999999999998E-2</v>
      </c>
      <c r="I25" s="89">
        <v>118000</v>
      </c>
      <c r="J25" s="87" t="s">
        <v>8601</v>
      </c>
      <c r="K25" s="87">
        <v>16</v>
      </c>
      <c r="L25" s="87" t="s">
        <v>2126</v>
      </c>
      <c r="M25" s="89">
        <v>106287380</v>
      </c>
      <c r="N25" s="89">
        <v>18910</v>
      </c>
      <c r="O25" s="87">
        <v>70</v>
      </c>
    </row>
    <row r="26" spans="1:15" ht="27" x14ac:dyDescent="0.3">
      <c r="A26" s="86">
        <v>43621</v>
      </c>
      <c r="B26" s="87">
        <v>7</v>
      </c>
      <c r="C26" s="88">
        <v>1E-3</v>
      </c>
      <c r="D26" s="87">
        <v>7</v>
      </c>
      <c r="E26" s="88">
        <v>0</v>
      </c>
      <c r="F26" s="87">
        <v>662</v>
      </c>
      <c r="G26" s="88">
        <v>0</v>
      </c>
      <c r="H26" s="88">
        <v>0.46700000000000003</v>
      </c>
      <c r="I26" s="89">
        <v>2781000</v>
      </c>
      <c r="J26" s="87" t="s">
        <v>8602</v>
      </c>
      <c r="K26" s="87">
        <v>309</v>
      </c>
      <c r="L26" s="87" t="s">
        <v>8603</v>
      </c>
      <c r="M26" s="89">
        <v>109068380</v>
      </c>
      <c r="N26" s="89">
        <v>19219</v>
      </c>
      <c r="O26" s="87">
        <v>24</v>
      </c>
    </row>
    <row r="27" spans="1:15" ht="27" x14ac:dyDescent="0.3">
      <c r="A27" s="86">
        <v>43622</v>
      </c>
      <c r="B27" s="87">
        <v>6</v>
      </c>
      <c r="C27" s="88">
        <v>1E-3</v>
      </c>
      <c r="D27" s="87">
        <v>6</v>
      </c>
      <c r="E27" s="88">
        <v>0</v>
      </c>
      <c r="F27" s="87">
        <v>695</v>
      </c>
      <c r="G27" s="88">
        <v>0</v>
      </c>
      <c r="H27" s="88">
        <v>0.02</v>
      </c>
      <c r="I27" s="89">
        <v>128900</v>
      </c>
      <c r="J27" s="87" t="s">
        <v>8604</v>
      </c>
      <c r="K27" s="87">
        <v>14</v>
      </c>
      <c r="L27" s="87" t="s">
        <v>8605</v>
      </c>
      <c r="M27" s="89">
        <v>109197280</v>
      </c>
      <c r="N27" s="89">
        <v>19233</v>
      </c>
      <c r="O27" s="87">
        <v>74</v>
      </c>
    </row>
    <row r="28" spans="1:15" ht="27" x14ac:dyDescent="0.3">
      <c r="A28" s="86">
        <v>43623</v>
      </c>
      <c r="B28" s="87">
        <v>8</v>
      </c>
      <c r="C28" s="88">
        <v>1E-3</v>
      </c>
      <c r="D28" s="87">
        <v>9</v>
      </c>
      <c r="E28" s="88">
        <v>0</v>
      </c>
      <c r="F28" s="87">
        <v>845</v>
      </c>
      <c r="G28" s="88">
        <v>0</v>
      </c>
      <c r="H28" s="88">
        <v>2.5999999999999999E-2</v>
      </c>
      <c r="I28" s="89">
        <v>208500</v>
      </c>
      <c r="J28" s="87" t="s">
        <v>8606</v>
      </c>
      <c r="K28" s="87">
        <v>22</v>
      </c>
      <c r="L28" s="87" t="s">
        <v>8607</v>
      </c>
      <c r="M28" s="89">
        <v>109405780</v>
      </c>
      <c r="N28" s="89">
        <v>19255</v>
      </c>
      <c r="O28" s="87">
        <v>72</v>
      </c>
    </row>
    <row r="29" spans="1:15" ht="27" x14ac:dyDescent="0.3">
      <c r="A29" s="86">
        <v>43624</v>
      </c>
      <c r="B29" s="87">
        <v>5</v>
      </c>
      <c r="C29" s="88">
        <v>1E-3</v>
      </c>
      <c r="D29" s="87">
        <v>5</v>
      </c>
      <c r="E29" s="88">
        <v>0</v>
      </c>
      <c r="F29" s="87">
        <v>432</v>
      </c>
      <c r="G29" s="88">
        <v>0</v>
      </c>
      <c r="H29" s="88">
        <v>2.3E-2</v>
      </c>
      <c r="I29" s="89">
        <v>98500</v>
      </c>
      <c r="J29" s="87" t="s">
        <v>8608</v>
      </c>
      <c r="K29" s="87">
        <v>10</v>
      </c>
      <c r="L29" s="87" t="s">
        <v>8609</v>
      </c>
      <c r="M29" s="89">
        <v>109504280</v>
      </c>
      <c r="N29" s="89">
        <v>19265</v>
      </c>
      <c r="O29" s="87">
        <v>80</v>
      </c>
    </row>
    <row r="30" spans="1:15" ht="27" x14ac:dyDescent="0.3">
      <c r="A30" s="86">
        <v>43625</v>
      </c>
      <c r="B30" s="87">
        <v>4</v>
      </c>
      <c r="C30" s="88">
        <v>1E-3</v>
      </c>
      <c r="D30" s="87">
        <v>5</v>
      </c>
      <c r="E30" s="88">
        <v>0</v>
      </c>
      <c r="F30" s="87">
        <v>735</v>
      </c>
      <c r="G30" s="88">
        <v>0</v>
      </c>
      <c r="H30" s="88">
        <v>0.02</v>
      </c>
      <c r="I30" s="89">
        <v>122000</v>
      </c>
      <c r="J30" s="87" t="s">
        <v>8610</v>
      </c>
      <c r="K30" s="87">
        <v>15</v>
      </c>
      <c r="L30" s="87" t="s">
        <v>8611</v>
      </c>
      <c r="M30" s="89">
        <v>109626280</v>
      </c>
      <c r="N30" s="89">
        <v>19280</v>
      </c>
      <c r="O30" s="87">
        <v>74</v>
      </c>
    </row>
    <row r="31" spans="1:15" ht="27" x14ac:dyDescent="0.3">
      <c r="A31" s="86">
        <v>43626</v>
      </c>
      <c r="B31" s="87">
        <v>6</v>
      </c>
      <c r="C31" s="88">
        <v>1E-3</v>
      </c>
      <c r="D31" s="87">
        <v>6</v>
      </c>
      <c r="E31" s="88">
        <v>0</v>
      </c>
      <c r="F31" s="87">
        <v>708</v>
      </c>
      <c r="G31" s="88">
        <v>0</v>
      </c>
      <c r="H31" s="88">
        <v>6.9000000000000006E-2</v>
      </c>
      <c r="I31" s="89">
        <v>429500</v>
      </c>
      <c r="J31" s="87" t="s">
        <v>8612</v>
      </c>
      <c r="K31" s="87">
        <v>49</v>
      </c>
      <c r="L31" s="87" t="s">
        <v>8613</v>
      </c>
      <c r="M31" s="89">
        <v>110055780</v>
      </c>
      <c r="N31" s="89">
        <v>19329</v>
      </c>
      <c r="O31" s="87">
        <v>45</v>
      </c>
    </row>
    <row r="32" spans="1:15" ht="27" x14ac:dyDescent="0.3">
      <c r="A32" s="86">
        <v>43627</v>
      </c>
      <c r="B32" s="87">
        <v>5</v>
      </c>
      <c r="C32" s="88">
        <v>1E-3</v>
      </c>
      <c r="D32" s="87">
        <v>6</v>
      </c>
      <c r="E32" s="88">
        <v>0</v>
      </c>
      <c r="F32" s="87">
        <v>639</v>
      </c>
      <c r="G32" s="88">
        <v>0</v>
      </c>
      <c r="H32" s="88">
        <v>1.2999999999999999E-2</v>
      </c>
      <c r="I32" s="89">
        <v>63300</v>
      </c>
      <c r="J32" s="87" t="s">
        <v>8614</v>
      </c>
      <c r="K32" s="87">
        <v>8</v>
      </c>
      <c r="L32" s="87" t="s">
        <v>8615</v>
      </c>
      <c r="M32" s="89">
        <v>110119080</v>
      </c>
      <c r="N32" s="89">
        <v>19337</v>
      </c>
      <c r="O32" s="87">
        <v>85</v>
      </c>
    </row>
    <row r="33" spans="1:15" ht="27" x14ac:dyDescent="0.3">
      <c r="A33" s="86">
        <v>43628</v>
      </c>
      <c r="B33" s="87">
        <v>2</v>
      </c>
      <c r="C33" s="88">
        <v>0</v>
      </c>
      <c r="D33" s="87">
        <v>2</v>
      </c>
      <c r="E33" s="88">
        <v>0</v>
      </c>
      <c r="F33" s="87">
        <v>119</v>
      </c>
      <c r="G33" s="88">
        <v>0</v>
      </c>
      <c r="H33" s="88">
        <v>1.7000000000000001E-2</v>
      </c>
      <c r="I33" s="89">
        <v>12000</v>
      </c>
      <c r="J33" s="87" t="s">
        <v>8616</v>
      </c>
      <c r="K33" s="87">
        <v>2</v>
      </c>
      <c r="L33" s="87" t="s">
        <v>5908</v>
      </c>
      <c r="M33" s="89">
        <v>110131080</v>
      </c>
      <c r="N33" s="89">
        <v>19339</v>
      </c>
      <c r="O33" s="87">
        <v>91</v>
      </c>
    </row>
    <row r="34" spans="1:15" ht="27" x14ac:dyDescent="0.3">
      <c r="A34" s="86">
        <v>43630</v>
      </c>
      <c r="B34" s="87">
        <v>1</v>
      </c>
      <c r="C34" s="88">
        <v>0</v>
      </c>
      <c r="D34" s="87">
        <v>1</v>
      </c>
      <c r="E34" s="88">
        <v>0</v>
      </c>
      <c r="F34" s="87">
        <v>96</v>
      </c>
      <c r="G34" s="88">
        <v>0</v>
      </c>
      <c r="H34" s="88">
        <v>2.1000000000000001E-2</v>
      </c>
      <c r="I34" s="89">
        <v>21000</v>
      </c>
      <c r="J34" s="87" t="s">
        <v>5512</v>
      </c>
      <c r="K34" s="87">
        <v>2</v>
      </c>
      <c r="L34" s="87" t="s">
        <v>1408</v>
      </c>
      <c r="M34" s="89">
        <v>110152080</v>
      </c>
      <c r="N34" s="89">
        <v>19341</v>
      </c>
      <c r="O34" s="87">
        <v>97</v>
      </c>
    </row>
    <row r="35" spans="1:15" ht="27" x14ac:dyDescent="0.3">
      <c r="A35" s="86">
        <v>43631</v>
      </c>
      <c r="B35" s="87">
        <v>1</v>
      </c>
      <c r="C35" s="88">
        <v>0</v>
      </c>
      <c r="D35" s="87">
        <v>1</v>
      </c>
      <c r="E35" s="88">
        <v>0</v>
      </c>
      <c r="F35" s="87">
        <v>83</v>
      </c>
      <c r="G35" s="88">
        <v>0</v>
      </c>
      <c r="H35" s="88">
        <v>4.8000000000000001E-2</v>
      </c>
      <c r="I35" s="89">
        <v>34000</v>
      </c>
      <c r="J35" s="87" t="s">
        <v>8617</v>
      </c>
      <c r="K35" s="87">
        <v>4</v>
      </c>
      <c r="L35" s="87" t="s">
        <v>1408</v>
      </c>
      <c r="M35" s="89">
        <v>110186080</v>
      </c>
      <c r="N35" s="89">
        <v>19345</v>
      </c>
      <c r="O35" s="87">
        <v>94</v>
      </c>
    </row>
    <row r="36" spans="1:15" ht="27" x14ac:dyDescent="0.3">
      <c r="A36" s="86">
        <v>43633</v>
      </c>
      <c r="B36" s="87">
        <v>1</v>
      </c>
      <c r="C36" s="88">
        <v>0</v>
      </c>
      <c r="D36" s="87">
        <v>1</v>
      </c>
      <c r="E36" s="88">
        <v>0</v>
      </c>
      <c r="F36" s="87">
        <v>151</v>
      </c>
      <c r="G36" s="88">
        <v>0</v>
      </c>
      <c r="H36" s="88">
        <v>0.66200000000000003</v>
      </c>
      <c r="I36" s="89">
        <v>800000</v>
      </c>
      <c r="J36" s="87" t="s">
        <v>8618</v>
      </c>
      <c r="K36" s="87">
        <v>100</v>
      </c>
      <c r="L36" s="87" t="s">
        <v>471</v>
      </c>
      <c r="M36" s="89">
        <v>110986080</v>
      </c>
      <c r="N36" s="89">
        <v>19445</v>
      </c>
      <c r="O36" s="87">
        <v>39</v>
      </c>
    </row>
    <row r="37" spans="1:15" ht="27" x14ac:dyDescent="0.3">
      <c r="A37" s="86">
        <v>43634</v>
      </c>
      <c r="B37" s="87">
        <v>2</v>
      </c>
      <c r="C37" s="88">
        <v>0</v>
      </c>
      <c r="D37" s="87">
        <v>2</v>
      </c>
      <c r="E37" s="88">
        <v>0</v>
      </c>
      <c r="F37" s="87">
        <v>193</v>
      </c>
      <c r="G37" s="88">
        <v>0</v>
      </c>
      <c r="H37" s="88">
        <v>2.1000000000000001E-2</v>
      </c>
      <c r="I37" s="89">
        <v>31000</v>
      </c>
      <c r="J37" s="87" t="s">
        <v>8619</v>
      </c>
      <c r="K37" s="87">
        <v>4</v>
      </c>
      <c r="L37" s="87" t="s">
        <v>301</v>
      </c>
      <c r="M37" s="89">
        <v>111017080</v>
      </c>
      <c r="N37" s="89">
        <v>19449</v>
      </c>
      <c r="O37" s="87">
        <v>93</v>
      </c>
    </row>
    <row r="38" spans="1:15" ht="27" x14ac:dyDescent="0.3">
      <c r="A38" s="86">
        <v>43636</v>
      </c>
      <c r="B38" s="87">
        <v>1</v>
      </c>
      <c r="C38" s="88">
        <v>0</v>
      </c>
      <c r="D38" s="87">
        <v>1</v>
      </c>
      <c r="E38" s="88">
        <v>0</v>
      </c>
      <c r="F38" s="87">
        <v>36</v>
      </c>
      <c r="G38" s="88">
        <v>0</v>
      </c>
      <c r="H38" s="88">
        <v>0.97199999999999998</v>
      </c>
      <c r="I38" s="89">
        <v>245000</v>
      </c>
      <c r="J38" s="87" t="s">
        <v>8248</v>
      </c>
      <c r="K38" s="87">
        <v>35</v>
      </c>
      <c r="L38" s="87" t="s">
        <v>5853</v>
      </c>
      <c r="M38" s="89">
        <v>111262080</v>
      </c>
      <c r="N38" s="89">
        <v>19484</v>
      </c>
      <c r="O38" s="87">
        <v>60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72A9B-E526-4900-AF4E-EA0F7988C9CE}">
  <dimension ref="A1:O48"/>
  <sheetViews>
    <sheetView workbookViewId="0">
      <selection activeCell="A5" sqref="A5:O5"/>
    </sheetView>
  </sheetViews>
  <sheetFormatPr defaultRowHeight="16.5" x14ac:dyDescent="0.3"/>
  <sheetData>
    <row r="1" spans="1:15" ht="19.5" x14ac:dyDescent="0.3">
      <c r="A1" s="197" t="s">
        <v>8620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97" t="s">
        <v>111</v>
      </c>
      <c r="B4" s="92" t="s">
        <v>112</v>
      </c>
      <c r="C4" s="92" t="s">
        <v>113</v>
      </c>
      <c r="D4" s="92" t="s">
        <v>114</v>
      </c>
      <c r="E4" s="92" t="s">
        <v>115</v>
      </c>
      <c r="F4" s="92" t="s">
        <v>116</v>
      </c>
      <c r="G4" s="92" t="s">
        <v>117</v>
      </c>
      <c r="H4" s="92" t="s">
        <v>118</v>
      </c>
      <c r="I4" s="92" t="s">
        <v>119</v>
      </c>
      <c r="J4" s="92" t="s">
        <v>120</v>
      </c>
      <c r="K4" s="92" t="s">
        <v>121</v>
      </c>
      <c r="L4" s="92" t="s">
        <v>122</v>
      </c>
      <c r="M4" s="92" t="s">
        <v>123</v>
      </c>
      <c r="N4" s="92" t="s">
        <v>124</v>
      </c>
      <c r="O4" s="98" t="s">
        <v>125</v>
      </c>
    </row>
    <row r="5" spans="1:15" ht="27" x14ac:dyDescent="0.3">
      <c r="A5" s="93">
        <v>43579</v>
      </c>
      <c r="B5" s="94">
        <v>15</v>
      </c>
      <c r="C5" s="95">
        <v>3.0000000000000001E-3</v>
      </c>
      <c r="D5" s="94">
        <v>16</v>
      </c>
      <c r="E5" s="95">
        <v>1E-3</v>
      </c>
      <c r="F5" s="96">
        <v>2116</v>
      </c>
      <c r="G5" s="95">
        <v>1E-3</v>
      </c>
      <c r="H5" s="95">
        <v>0.49299999999999999</v>
      </c>
      <c r="I5" s="96">
        <v>5221000</v>
      </c>
      <c r="J5" s="94" t="s">
        <v>8621</v>
      </c>
      <c r="K5" s="96">
        <v>1043</v>
      </c>
      <c r="L5" s="94" t="s">
        <v>8622</v>
      </c>
      <c r="M5" s="96">
        <v>6762800</v>
      </c>
      <c r="N5" s="96">
        <v>1185</v>
      </c>
      <c r="O5" s="94">
        <v>10</v>
      </c>
    </row>
    <row r="6" spans="1:15" ht="27" x14ac:dyDescent="0.3">
      <c r="A6" s="93">
        <v>43586</v>
      </c>
      <c r="B6" s="94">
        <v>25</v>
      </c>
      <c r="C6" s="95">
        <v>5.0000000000000001E-3</v>
      </c>
      <c r="D6" s="94">
        <v>27</v>
      </c>
      <c r="E6" s="95">
        <v>2E-3</v>
      </c>
      <c r="F6" s="96">
        <v>3014</v>
      </c>
      <c r="G6" s="95">
        <v>1E-3</v>
      </c>
      <c r="H6" s="95">
        <v>0.248</v>
      </c>
      <c r="I6" s="96">
        <v>5932600</v>
      </c>
      <c r="J6" s="94" t="s">
        <v>8623</v>
      </c>
      <c r="K6" s="94">
        <v>746</v>
      </c>
      <c r="L6" s="94" t="s">
        <v>8624</v>
      </c>
      <c r="M6" s="96">
        <v>12695400</v>
      </c>
      <c r="N6" s="96">
        <v>1931</v>
      </c>
      <c r="O6" s="94">
        <v>11</v>
      </c>
    </row>
    <row r="7" spans="1:15" ht="27" x14ac:dyDescent="0.3">
      <c r="A7" s="93">
        <v>43587</v>
      </c>
      <c r="B7" s="94">
        <v>64</v>
      </c>
      <c r="C7" s="95">
        <v>1.2999999999999999E-2</v>
      </c>
      <c r="D7" s="94">
        <v>109</v>
      </c>
      <c r="E7" s="95">
        <v>7.0000000000000001E-3</v>
      </c>
      <c r="F7" s="96">
        <v>13422</v>
      </c>
      <c r="G7" s="95">
        <v>6.0000000000000001E-3</v>
      </c>
      <c r="H7" s="95">
        <v>0.11</v>
      </c>
      <c r="I7" s="96">
        <v>11334150</v>
      </c>
      <c r="J7" s="94" t="s">
        <v>8625</v>
      </c>
      <c r="K7" s="96">
        <v>1482</v>
      </c>
      <c r="L7" s="94" t="s">
        <v>8626</v>
      </c>
      <c r="M7" s="96">
        <v>24029550</v>
      </c>
      <c r="N7" s="96">
        <v>3413</v>
      </c>
      <c r="O7" s="94">
        <v>8</v>
      </c>
    </row>
    <row r="8" spans="1:15" ht="27" x14ac:dyDescent="0.3">
      <c r="A8" s="93">
        <v>43588</v>
      </c>
      <c r="B8" s="94">
        <v>64</v>
      </c>
      <c r="C8" s="95">
        <v>1.2999999999999999E-2</v>
      </c>
      <c r="D8" s="94">
        <v>111</v>
      </c>
      <c r="E8" s="95">
        <v>7.0000000000000001E-3</v>
      </c>
      <c r="F8" s="96">
        <v>13266</v>
      </c>
      <c r="G8" s="95">
        <v>5.0000000000000001E-3</v>
      </c>
      <c r="H8" s="95">
        <v>0.11799999999999999</v>
      </c>
      <c r="I8" s="96">
        <v>14245090</v>
      </c>
      <c r="J8" s="94" t="s">
        <v>8627</v>
      </c>
      <c r="K8" s="96">
        <v>1560</v>
      </c>
      <c r="L8" s="94" t="s">
        <v>8628</v>
      </c>
      <c r="M8" s="96">
        <v>38274640</v>
      </c>
      <c r="N8" s="96">
        <v>4973</v>
      </c>
      <c r="O8" s="94">
        <v>8</v>
      </c>
    </row>
    <row r="9" spans="1:15" ht="27" x14ac:dyDescent="0.3">
      <c r="A9" s="93">
        <v>43589</v>
      </c>
      <c r="B9" s="94">
        <v>62</v>
      </c>
      <c r="C9" s="95">
        <v>1.0999999999999999E-2</v>
      </c>
      <c r="D9" s="94">
        <v>99</v>
      </c>
      <c r="E9" s="95">
        <v>6.0000000000000001E-3</v>
      </c>
      <c r="F9" s="96">
        <v>11702</v>
      </c>
      <c r="G9" s="95">
        <v>4.0000000000000001E-3</v>
      </c>
      <c r="H9" s="95">
        <v>0.18</v>
      </c>
      <c r="I9" s="96">
        <v>18400630</v>
      </c>
      <c r="J9" s="94" t="s">
        <v>8629</v>
      </c>
      <c r="K9" s="96">
        <v>2107</v>
      </c>
      <c r="L9" s="94" t="s">
        <v>8630</v>
      </c>
      <c r="M9" s="96">
        <v>56675270</v>
      </c>
      <c r="N9" s="96">
        <v>7080</v>
      </c>
      <c r="O9" s="94">
        <v>7</v>
      </c>
    </row>
    <row r="10" spans="1:15" ht="27" x14ac:dyDescent="0.3">
      <c r="A10" s="93">
        <v>43590</v>
      </c>
      <c r="B10" s="94">
        <v>60</v>
      </c>
      <c r="C10" s="95">
        <v>0.01</v>
      </c>
      <c r="D10" s="94">
        <v>92</v>
      </c>
      <c r="E10" s="95">
        <v>5.0000000000000001E-3</v>
      </c>
      <c r="F10" s="96">
        <v>11216</v>
      </c>
      <c r="G10" s="95">
        <v>4.0000000000000001E-3</v>
      </c>
      <c r="H10" s="95">
        <v>0.16600000000000001</v>
      </c>
      <c r="I10" s="96">
        <v>15721080</v>
      </c>
      <c r="J10" s="94" t="s">
        <v>8631</v>
      </c>
      <c r="K10" s="96">
        <v>1863</v>
      </c>
      <c r="L10" s="94" t="s">
        <v>8632</v>
      </c>
      <c r="M10" s="96">
        <v>72396350</v>
      </c>
      <c r="N10" s="96">
        <v>8943</v>
      </c>
      <c r="O10" s="94">
        <v>7</v>
      </c>
    </row>
    <row r="11" spans="1:15" ht="27" x14ac:dyDescent="0.3">
      <c r="A11" s="93">
        <v>43591</v>
      </c>
      <c r="B11" s="94">
        <v>55</v>
      </c>
      <c r="C11" s="95">
        <v>0.01</v>
      </c>
      <c r="D11" s="94">
        <v>98</v>
      </c>
      <c r="E11" s="95">
        <v>6.0000000000000001E-3</v>
      </c>
      <c r="F11" s="96">
        <v>11552</v>
      </c>
      <c r="G11" s="95">
        <v>4.0000000000000001E-3</v>
      </c>
      <c r="H11" s="95">
        <v>0.19700000000000001</v>
      </c>
      <c r="I11" s="96">
        <v>19477660</v>
      </c>
      <c r="J11" s="94" t="s">
        <v>8633</v>
      </c>
      <c r="K11" s="96">
        <v>2270</v>
      </c>
      <c r="L11" s="94" t="s">
        <v>8634</v>
      </c>
      <c r="M11" s="96">
        <v>91874010</v>
      </c>
      <c r="N11" s="96">
        <v>11213</v>
      </c>
      <c r="O11" s="94">
        <v>6</v>
      </c>
    </row>
    <row r="12" spans="1:15" ht="27" x14ac:dyDescent="0.3">
      <c r="A12" s="93">
        <v>43592</v>
      </c>
      <c r="B12" s="94">
        <v>60</v>
      </c>
      <c r="C12" s="95">
        <v>1.2E-2</v>
      </c>
      <c r="D12" s="94">
        <v>115</v>
      </c>
      <c r="E12" s="95">
        <v>8.0000000000000002E-3</v>
      </c>
      <c r="F12" s="96">
        <v>13647</v>
      </c>
      <c r="G12" s="95">
        <v>6.0000000000000001E-3</v>
      </c>
      <c r="H12" s="95">
        <v>6.9000000000000006E-2</v>
      </c>
      <c r="I12" s="96">
        <v>7188700</v>
      </c>
      <c r="J12" s="94" t="s">
        <v>8635</v>
      </c>
      <c r="K12" s="94">
        <v>940</v>
      </c>
      <c r="L12" s="94" t="s">
        <v>8636</v>
      </c>
      <c r="M12" s="96">
        <v>99062710</v>
      </c>
      <c r="N12" s="96">
        <v>12153</v>
      </c>
      <c r="O12" s="94">
        <v>12</v>
      </c>
    </row>
    <row r="13" spans="1:15" ht="27" x14ac:dyDescent="0.3">
      <c r="A13" s="93">
        <v>43593</v>
      </c>
      <c r="B13" s="94">
        <v>52</v>
      </c>
      <c r="C13" s="95">
        <v>1.0999999999999999E-2</v>
      </c>
      <c r="D13" s="94">
        <v>104</v>
      </c>
      <c r="E13" s="95">
        <v>7.0000000000000001E-3</v>
      </c>
      <c r="F13" s="96">
        <v>12053</v>
      </c>
      <c r="G13" s="95">
        <v>5.0000000000000001E-3</v>
      </c>
      <c r="H13" s="95">
        <v>7.8E-2</v>
      </c>
      <c r="I13" s="96">
        <v>7170550</v>
      </c>
      <c r="J13" s="94" t="s">
        <v>8637</v>
      </c>
      <c r="K13" s="94">
        <v>942</v>
      </c>
      <c r="L13" s="94" t="s">
        <v>8638</v>
      </c>
      <c r="M13" s="96">
        <v>106233260</v>
      </c>
      <c r="N13" s="96">
        <v>13095</v>
      </c>
      <c r="O13" s="94">
        <v>8</v>
      </c>
    </row>
    <row r="14" spans="1:15" ht="27" x14ac:dyDescent="0.3">
      <c r="A14" s="93">
        <v>43594</v>
      </c>
      <c r="B14" s="94">
        <v>36</v>
      </c>
      <c r="C14" s="95">
        <v>7.0000000000000001E-3</v>
      </c>
      <c r="D14" s="94">
        <v>50</v>
      </c>
      <c r="E14" s="95">
        <v>3.0000000000000001E-3</v>
      </c>
      <c r="F14" s="96">
        <v>6133</v>
      </c>
      <c r="G14" s="95">
        <v>2E-3</v>
      </c>
      <c r="H14" s="95">
        <v>8.8999999999999996E-2</v>
      </c>
      <c r="I14" s="96">
        <v>4024280</v>
      </c>
      <c r="J14" s="94" t="s">
        <v>8639</v>
      </c>
      <c r="K14" s="94">
        <v>547</v>
      </c>
      <c r="L14" s="94" t="s">
        <v>8640</v>
      </c>
      <c r="M14" s="96">
        <v>110257540</v>
      </c>
      <c r="N14" s="96">
        <v>13642</v>
      </c>
      <c r="O14" s="94">
        <v>16</v>
      </c>
    </row>
    <row r="15" spans="1:15" ht="27" x14ac:dyDescent="0.3">
      <c r="A15" s="93">
        <v>43595</v>
      </c>
      <c r="B15" s="94">
        <v>42</v>
      </c>
      <c r="C15" s="95">
        <v>8.0000000000000002E-3</v>
      </c>
      <c r="D15" s="94">
        <v>59</v>
      </c>
      <c r="E15" s="95">
        <v>3.0000000000000001E-3</v>
      </c>
      <c r="F15" s="96">
        <v>7467</v>
      </c>
      <c r="G15" s="95">
        <v>3.0000000000000001E-3</v>
      </c>
      <c r="H15" s="95">
        <v>7.0999999999999994E-2</v>
      </c>
      <c r="I15" s="96">
        <v>4350300</v>
      </c>
      <c r="J15" s="94" t="s">
        <v>8641</v>
      </c>
      <c r="K15" s="94">
        <v>529</v>
      </c>
      <c r="L15" s="94" t="s">
        <v>8642</v>
      </c>
      <c r="M15" s="96">
        <v>114607840</v>
      </c>
      <c r="N15" s="96">
        <v>14171</v>
      </c>
      <c r="O15" s="94">
        <v>15</v>
      </c>
    </row>
    <row r="16" spans="1:15" ht="27" x14ac:dyDescent="0.3">
      <c r="A16" s="93">
        <v>43596</v>
      </c>
      <c r="B16" s="94">
        <v>39</v>
      </c>
      <c r="C16" s="95">
        <v>7.0000000000000001E-3</v>
      </c>
      <c r="D16" s="94">
        <v>56</v>
      </c>
      <c r="E16" s="95">
        <v>3.0000000000000001E-3</v>
      </c>
      <c r="F16" s="96">
        <v>7052</v>
      </c>
      <c r="G16" s="95">
        <v>3.0000000000000001E-3</v>
      </c>
      <c r="H16" s="95">
        <v>0.13600000000000001</v>
      </c>
      <c r="I16" s="96">
        <v>8350600</v>
      </c>
      <c r="J16" s="94" t="s">
        <v>8643</v>
      </c>
      <c r="K16" s="94">
        <v>962</v>
      </c>
      <c r="L16" s="94" t="s">
        <v>8644</v>
      </c>
      <c r="M16" s="96">
        <v>122958440</v>
      </c>
      <c r="N16" s="96">
        <v>15133</v>
      </c>
      <c r="O16" s="94">
        <v>13</v>
      </c>
    </row>
    <row r="17" spans="1:15" ht="27" x14ac:dyDescent="0.3">
      <c r="A17" s="93">
        <v>43597</v>
      </c>
      <c r="B17" s="94">
        <v>39</v>
      </c>
      <c r="C17" s="95">
        <v>7.0000000000000001E-3</v>
      </c>
      <c r="D17" s="94">
        <v>53</v>
      </c>
      <c r="E17" s="95">
        <v>3.0000000000000001E-3</v>
      </c>
      <c r="F17" s="96">
        <v>6604</v>
      </c>
      <c r="G17" s="95">
        <v>2E-3</v>
      </c>
      <c r="H17" s="95">
        <v>0.13300000000000001</v>
      </c>
      <c r="I17" s="96">
        <v>8788980</v>
      </c>
      <c r="J17" s="94" t="s">
        <v>8645</v>
      </c>
      <c r="K17" s="94">
        <v>877</v>
      </c>
      <c r="L17" s="94" t="s">
        <v>8646</v>
      </c>
      <c r="M17" s="96">
        <v>131747420</v>
      </c>
      <c r="N17" s="96">
        <v>16010</v>
      </c>
      <c r="O17" s="94">
        <v>13</v>
      </c>
    </row>
    <row r="18" spans="1:15" ht="27" x14ac:dyDescent="0.3">
      <c r="A18" s="93">
        <v>43598</v>
      </c>
      <c r="B18" s="94">
        <v>37</v>
      </c>
      <c r="C18" s="95">
        <v>8.0000000000000002E-3</v>
      </c>
      <c r="D18" s="94">
        <v>50</v>
      </c>
      <c r="E18" s="95">
        <v>3.0000000000000001E-3</v>
      </c>
      <c r="F18" s="96">
        <v>6052</v>
      </c>
      <c r="G18" s="95">
        <v>2E-3</v>
      </c>
      <c r="H18" s="95">
        <v>6.2E-2</v>
      </c>
      <c r="I18" s="96">
        <v>2876400</v>
      </c>
      <c r="J18" s="94" t="s">
        <v>8647</v>
      </c>
      <c r="K18" s="94">
        <v>376</v>
      </c>
      <c r="L18" s="94" t="s">
        <v>8648</v>
      </c>
      <c r="M18" s="96">
        <v>134623820</v>
      </c>
      <c r="N18" s="96">
        <v>16386</v>
      </c>
      <c r="O18" s="94">
        <v>16</v>
      </c>
    </row>
    <row r="19" spans="1:15" ht="27" x14ac:dyDescent="0.3">
      <c r="A19" s="93">
        <v>43599</v>
      </c>
      <c r="B19" s="94">
        <v>38</v>
      </c>
      <c r="C19" s="95">
        <v>8.0000000000000002E-3</v>
      </c>
      <c r="D19" s="94">
        <v>52</v>
      </c>
      <c r="E19" s="95">
        <v>3.0000000000000001E-3</v>
      </c>
      <c r="F19" s="96">
        <v>5258</v>
      </c>
      <c r="G19" s="95">
        <v>2E-3</v>
      </c>
      <c r="H19" s="95">
        <v>7.2999999999999995E-2</v>
      </c>
      <c r="I19" s="96">
        <v>2974800</v>
      </c>
      <c r="J19" s="94" t="s">
        <v>8649</v>
      </c>
      <c r="K19" s="94">
        <v>385</v>
      </c>
      <c r="L19" s="94" t="s">
        <v>8650</v>
      </c>
      <c r="M19" s="96">
        <v>137598620</v>
      </c>
      <c r="N19" s="96">
        <v>16771</v>
      </c>
      <c r="O19" s="94">
        <v>16</v>
      </c>
    </row>
    <row r="20" spans="1:15" ht="27" x14ac:dyDescent="0.3">
      <c r="A20" s="93">
        <v>43600</v>
      </c>
      <c r="B20" s="94">
        <v>35</v>
      </c>
      <c r="C20" s="95">
        <v>7.0000000000000001E-3</v>
      </c>
      <c r="D20" s="94">
        <v>45</v>
      </c>
      <c r="E20" s="95">
        <v>3.0000000000000001E-3</v>
      </c>
      <c r="F20" s="96">
        <v>5528</v>
      </c>
      <c r="G20" s="95">
        <v>2E-3</v>
      </c>
      <c r="H20" s="95">
        <v>9.5000000000000001E-2</v>
      </c>
      <c r="I20" s="96">
        <v>4313100</v>
      </c>
      <c r="J20" s="94" t="s">
        <v>8651</v>
      </c>
      <c r="K20" s="94">
        <v>524</v>
      </c>
      <c r="L20" s="94" t="s">
        <v>8652</v>
      </c>
      <c r="M20" s="96">
        <v>141911720</v>
      </c>
      <c r="N20" s="96">
        <v>17295</v>
      </c>
      <c r="O20" s="94">
        <v>14</v>
      </c>
    </row>
    <row r="21" spans="1:15" ht="27" x14ac:dyDescent="0.3">
      <c r="A21" s="93">
        <v>43601</v>
      </c>
      <c r="B21" s="94">
        <v>20</v>
      </c>
      <c r="C21" s="95">
        <v>4.0000000000000001E-3</v>
      </c>
      <c r="D21" s="94">
        <v>23</v>
      </c>
      <c r="E21" s="95">
        <v>1E-3</v>
      </c>
      <c r="F21" s="96">
        <v>2725</v>
      </c>
      <c r="G21" s="95">
        <v>1E-3</v>
      </c>
      <c r="H21" s="95">
        <v>5.8999999999999997E-2</v>
      </c>
      <c r="I21" s="96">
        <v>1258980</v>
      </c>
      <c r="J21" s="94" t="s">
        <v>8653</v>
      </c>
      <c r="K21" s="94">
        <v>162</v>
      </c>
      <c r="L21" s="94" t="s">
        <v>8654</v>
      </c>
      <c r="M21" s="96">
        <v>143170700</v>
      </c>
      <c r="N21" s="96">
        <v>17457</v>
      </c>
      <c r="O21" s="94">
        <v>41</v>
      </c>
    </row>
    <row r="22" spans="1:15" ht="27" x14ac:dyDescent="0.3">
      <c r="A22" s="93">
        <v>43602</v>
      </c>
      <c r="B22" s="94">
        <v>23</v>
      </c>
      <c r="C22" s="95">
        <v>4.0000000000000001E-3</v>
      </c>
      <c r="D22" s="94">
        <v>26</v>
      </c>
      <c r="E22" s="95">
        <v>1E-3</v>
      </c>
      <c r="F22" s="96">
        <v>3721</v>
      </c>
      <c r="G22" s="95">
        <v>1E-3</v>
      </c>
      <c r="H22" s="95">
        <v>7.0999999999999994E-2</v>
      </c>
      <c r="I22" s="96">
        <v>2275750</v>
      </c>
      <c r="J22" s="94" t="s">
        <v>8655</v>
      </c>
      <c r="K22" s="94">
        <v>266</v>
      </c>
      <c r="L22" s="94" t="s">
        <v>8656</v>
      </c>
      <c r="M22" s="96">
        <v>145446450</v>
      </c>
      <c r="N22" s="96">
        <v>17723</v>
      </c>
      <c r="O22" s="94">
        <v>27</v>
      </c>
    </row>
    <row r="23" spans="1:15" ht="27" x14ac:dyDescent="0.3">
      <c r="A23" s="93">
        <v>43603</v>
      </c>
      <c r="B23" s="94">
        <v>19</v>
      </c>
      <c r="C23" s="95">
        <v>3.0000000000000001E-3</v>
      </c>
      <c r="D23" s="94">
        <v>22</v>
      </c>
      <c r="E23" s="95">
        <v>1E-3</v>
      </c>
      <c r="F23" s="96">
        <v>2206</v>
      </c>
      <c r="G23" s="95">
        <v>1E-3</v>
      </c>
      <c r="H23" s="95">
        <v>0.186</v>
      </c>
      <c r="I23" s="96">
        <v>4313080</v>
      </c>
      <c r="J23" s="94" t="s">
        <v>8657</v>
      </c>
      <c r="K23" s="94">
        <v>411</v>
      </c>
      <c r="L23" s="94" t="s">
        <v>8658</v>
      </c>
      <c r="M23" s="96">
        <v>149759530</v>
      </c>
      <c r="N23" s="96">
        <v>18134</v>
      </c>
      <c r="O23" s="94">
        <v>25</v>
      </c>
    </row>
    <row r="24" spans="1:15" ht="27" x14ac:dyDescent="0.3">
      <c r="A24" s="93">
        <v>43604</v>
      </c>
      <c r="B24" s="94">
        <v>19</v>
      </c>
      <c r="C24" s="95">
        <v>3.0000000000000001E-3</v>
      </c>
      <c r="D24" s="94">
        <v>22</v>
      </c>
      <c r="E24" s="95">
        <v>1E-3</v>
      </c>
      <c r="F24" s="96">
        <v>2585</v>
      </c>
      <c r="G24" s="95">
        <v>1E-3</v>
      </c>
      <c r="H24" s="95">
        <v>0.11799999999999999</v>
      </c>
      <c r="I24" s="96">
        <v>2702100</v>
      </c>
      <c r="J24" s="94" t="s">
        <v>8659</v>
      </c>
      <c r="K24" s="94">
        <v>305</v>
      </c>
      <c r="L24" s="94" t="s">
        <v>8660</v>
      </c>
      <c r="M24" s="96">
        <v>152461630</v>
      </c>
      <c r="N24" s="96">
        <v>18439</v>
      </c>
      <c r="O24" s="94">
        <v>22</v>
      </c>
    </row>
    <row r="25" spans="1:15" ht="27" x14ac:dyDescent="0.3">
      <c r="A25" s="93">
        <v>43605</v>
      </c>
      <c r="B25" s="94">
        <v>20</v>
      </c>
      <c r="C25" s="95">
        <v>4.0000000000000001E-3</v>
      </c>
      <c r="D25" s="94">
        <v>22</v>
      </c>
      <c r="E25" s="95">
        <v>1E-3</v>
      </c>
      <c r="F25" s="96">
        <v>2438</v>
      </c>
      <c r="G25" s="95">
        <v>1E-3</v>
      </c>
      <c r="H25" s="95">
        <v>5.8999999999999997E-2</v>
      </c>
      <c r="I25" s="96">
        <v>1133500</v>
      </c>
      <c r="J25" s="94" t="s">
        <v>8661</v>
      </c>
      <c r="K25" s="94">
        <v>144</v>
      </c>
      <c r="L25" s="94" t="s">
        <v>8662</v>
      </c>
      <c r="M25" s="96">
        <v>153595130</v>
      </c>
      <c r="N25" s="96">
        <v>18583</v>
      </c>
      <c r="O25" s="94">
        <v>29</v>
      </c>
    </row>
    <row r="26" spans="1:15" ht="27" x14ac:dyDescent="0.3">
      <c r="A26" s="93">
        <v>43606</v>
      </c>
      <c r="B26" s="94">
        <v>22</v>
      </c>
      <c r="C26" s="95">
        <v>4.0000000000000001E-3</v>
      </c>
      <c r="D26" s="94">
        <v>25</v>
      </c>
      <c r="E26" s="95">
        <v>1E-3</v>
      </c>
      <c r="F26" s="96">
        <v>3502</v>
      </c>
      <c r="G26" s="95">
        <v>1E-3</v>
      </c>
      <c r="H26" s="95">
        <v>5.6000000000000001E-2</v>
      </c>
      <c r="I26" s="96">
        <v>1453480</v>
      </c>
      <c r="J26" s="94" t="s">
        <v>8663</v>
      </c>
      <c r="K26" s="94">
        <v>195</v>
      </c>
      <c r="L26" s="94" t="s">
        <v>8664</v>
      </c>
      <c r="M26" s="96">
        <v>155048610</v>
      </c>
      <c r="N26" s="96">
        <v>18778</v>
      </c>
      <c r="O26" s="94">
        <v>31</v>
      </c>
    </row>
    <row r="27" spans="1:15" ht="27" x14ac:dyDescent="0.3">
      <c r="A27" s="93">
        <v>43607</v>
      </c>
      <c r="B27" s="94">
        <v>18</v>
      </c>
      <c r="C27" s="95">
        <v>3.0000000000000001E-3</v>
      </c>
      <c r="D27" s="94">
        <v>21</v>
      </c>
      <c r="E27" s="95">
        <v>1E-3</v>
      </c>
      <c r="F27" s="96">
        <v>3170</v>
      </c>
      <c r="G27" s="95">
        <v>1E-3</v>
      </c>
      <c r="H27" s="95">
        <v>5.8000000000000003E-2</v>
      </c>
      <c r="I27" s="96">
        <v>1462500</v>
      </c>
      <c r="J27" s="94" t="s">
        <v>8665</v>
      </c>
      <c r="K27" s="94">
        <v>183</v>
      </c>
      <c r="L27" s="94" t="s">
        <v>8666</v>
      </c>
      <c r="M27" s="96">
        <v>156511110</v>
      </c>
      <c r="N27" s="96">
        <v>18961</v>
      </c>
      <c r="O27" s="94">
        <v>27</v>
      </c>
    </row>
    <row r="28" spans="1:15" ht="27" x14ac:dyDescent="0.3">
      <c r="A28" s="93">
        <v>43608</v>
      </c>
      <c r="B28" s="94">
        <v>6</v>
      </c>
      <c r="C28" s="95">
        <v>1E-3</v>
      </c>
      <c r="D28" s="94">
        <v>8</v>
      </c>
      <c r="E28" s="95">
        <v>0</v>
      </c>
      <c r="F28" s="96">
        <v>1067</v>
      </c>
      <c r="G28" s="95">
        <v>0</v>
      </c>
      <c r="H28" s="95">
        <v>5.8999999999999997E-2</v>
      </c>
      <c r="I28" s="96">
        <v>403000</v>
      </c>
      <c r="J28" s="94" t="s">
        <v>8667</v>
      </c>
      <c r="K28" s="94">
        <v>63</v>
      </c>
      <c r="L28" s="94" t="s">
        <v>8668</v>
      </c>
      <c r="M28" s="96">
        <v>156914110</v>
      </c>
      <c r="N28" s="96">
        <v>19024</v>
      </c>
      <c r="O28" s="94">
        <v>47</v>
      </c>
    </row>
    <row r="29" spans="1:15" ht="27" x14ac:dyDescent="0.3">
      <c r="A29" s="93">
        <v>43609</v>
      </c>
      <c r="B29" s="94">
        <v>5</v>
      </c>
      <c r="C29" s="95">
        <v>1E-3</v>
      </c>
      <c r="D29" s="94">
        <v>6</v>
      </c>
      <c r="E29" s="95">
        <v>0</v>
      </c>
      <c r="F29" s="94">
        <v>699</v>
      </c>
      <c r="G29" s="95">
        <v>0</v>
      </c>
      <c r="H29" s="95">
        <v>0.112</v>
      </c>
      <c r="I29" s="96">
        <v>543200</v>
      </c>
      <c r="J29" s="94" t="s">
        <v>8669</v>
      </c>
      <c r="K29" s="94">
        <v>78</v>
      </c>
      <c r="L29" s="94" t="s">
        <v>8670</v>
      </c>
      <c r="M29" s="96">
        <v>157457310</v>
      </c>
      <c r="N29" s="96">
        <v>19102</v>
      </c>
      <c r="O29" s="94">
        <v>47</v>
      </c>
    </row>
    <row r="30" spans="1:15" ht="27" x14ac:dyDescent="0.3">
      <c r="A30" s="93">
        <v>43610</v>
      </c>
      <c r="B30" s="94">
        <v>8</v>
      </c>
      <c r="C30" s="95">
        <v>1E-3</v>
      </c>
      <c r="D30" s="94">
        <v>10</v>
      </c>
      <c r="E30" s="95">
        <v>1E-3</v>
      </c>
      <c r="F30" s="96">
        <v>2064</v>
      </c>
      <c r="G30" s="95">
        <v>1E-3</v>
      </c>
      <c r="H30" s="95">
        <v>9.9000000000000005E-2</v>
      </c>
      <c r="I30" s="96">
        <v>1293700</v>
      </c>
      <c r="J30" s="94" t="s">
        <v>8671</v>
      </c>
      <c r="K30" s="94">
        <v>205</v>
      </c>
      <c r="L30" s="94" t="s">
        <v>8672</v>
      </c>
      <c r="M30" s="96">
        <v>158751010</v>
      </c>
      <c r="N30" s="96">
        <v>19307</v>
      </c>
      <c r="O30" s="94">
        <v>30</v>
      </c>
    </row>
    <row r="31" spans="1:15" ht="27" x14ac:dyDescent="0.3">
      <c r="A31" s="93">
        <v>43611</v>
      </c>
      <c r="B31" s="94">
        <v>6</v>
      </c>
      <c r="C31" s="95">
        <v>1E-3</v>
      </c>
      <c r="D31" s="94">
        <v>8</v>
      </c>
      <c r="E31" s="95">
        <v>0</v>
      </c>
      <c r="F31" s="96">
        <v>1209</v>
      </c>
      <c r="G31" s="95">
        <v>0</v>
      </c>
      <c r="H31" s="95">
        <v>8.5999999999999993E-2</v>
      </c>
      <c r="I31" s="96">
        <v>819400</v>
      </c>
      <c r="J31" s="94" t="s">
        <v>8673</v>
      </c>
      <c r="K31" s="94">
        <v>104</v>
      </c>
      <c r="L31" s="94" t="s">
        <v>8674</v>
      </c>
      <c r="M31" s="96">
        <v>159570410</v>
      </c>
      <c r="N31" s="96">
        <v>19411</v>
      </c>
      <c r="O31" s="94">
        <v>38</v>
      </c>
    </row>
    <row r="32" spans="1:15" ht="27" x14ac:dyDescent="0.3">
      <c r="A32" s="93">
        <v>43612</v>
      </c>
      <c r="B32" s="94">
        <v>4</v>
      </c>
      <c r="C32" s="95">
        <v>1E-3</v>
      </c>
      <c r="D32" s="94">
        <v>4</v>
      </c>
      <c r="E32" s="95">
        <v>0</v>
      </c>
      <c r="F32" s="94">
        <v>468</v>
      </c>
      <c r="G32" s="95">
        <v>0</v>
      </c>
      <c r="H32" s="95">
        <v>0.109</v>
      </c>
      <c r="I32" s="96">
        <v>341000</v>
      </c>
      <c r="J32" s="94" t="s">
        <v>8675</v>
      </c>
      <c r="K32" s="94">
        <v>51</v>
      </c>
      <c r="L32" s="94" t="s">
        <v>8676</v>
      </c>
      <c r="M32" s="96">
        <v>159911410</v>
      </c>
      <c r="N32" s="96">
        <v>19462</v>
      </c>
      <c r="O32" s="94">
        <v>47</v>
      </c>
    </row>
    <row r="33" spans="1:15" ht="27" x14ac:dyDescent="0.3">
      <c r="A33" s="93">
        <v>43613</v>
      </c>
      <c r="B33" s="94">
        <v>8</v>
      </c>
      <c r="C33" s="95">
        <v>1E-3</v>
      </c>
      <c r="D33" s="94">
        <v>9</v>
      </c>
      <c r="E33" s="95">
        <v>1E-3</v>
      </c>
      <c r="F33" s="96">
        <v>1014</v>
      </c>
      <c r="G33" s="95">
        <v>0</v>
      </c>
      <c r="H33" s="95">
        <v>6.3E-2</v>
      </c>
      <c r="I33" s="96">
        <v>443000</v>
      </c>
      <c r="J33" s="94" t="s">
        <v>8677</v>
      </c>
      <c r="K33" s="94">
        <v>64</v>
      </c>
      <c r="L33" s="94" t="s">
        <v>8678</v>
      </c>
      <c r="M33" s="96">
        <v>160354410</v>
      </c>
      <c r="N33" s="96">
        <v>19526</v>
      </c>
      <c r="O33" s="94">
        <v>58</v>
      </c>
    </row>
    <row r="34" spans="1:15" ht="27" x14ac:dyDescent="0.3">
      <c r="A34" s="93">
        <v>43614</v>
      </c>
      <c r="B34" s="94">
        <v>4</v>
      </c>
      <c r="C34" s="95">
        <v>1E-3</v>
      </c>
      <c r="D34" s="94">
        <v>6</v>
      </c>
      <c r="E34" s="95">
        <v>0</v>
      </c>
      <c r="F34" s="94">
        <v>489</v>
      </c>
      <c r="G34" s="95">
        <v>0</v>
      </c>
      <c r="H34" s="95">
        <v>0.16400000000000001</v>
      </c>
      <c r="I34" s="96">
        <v>454200</v>
      </c>
      <c r="J34" s="94" t="s">
        <v>8679</v>
      </c>
      <c r="K34" s="94">
        <v>80</v>
      </c>
      <c r="L34" s="94" t="s">
        <v>8680</v>
      </c>
      <c r="M34" s="96">
        <v>160808610</v>
      </c>
      <c r="N34" s="96">
        <v>19606</v>
      </c>
      <c r="O34" s="94">
        <v>50</v>
      </c>
    </row>
    <row r="35" spans="1:15" ht="27" x14ac:dyDescent="0.3">
      <c r="A35" s="93">
        <v>43615</v>
      </c>
      <c r="B35" s="94">
        <v>3</v>
      </c>
      <c r="C35" s="95">
        <v>1E-3</v>
      </c>
      <c r="D35" s="94">
        <v>3</v>
      </c>
      <c r="E35" s="95">
        <v>0</v>
      </c>
      <c r="F35" s="94">
        <v>174</v>
      </c>
      <c r="G35" s="95">
        <v>0</v>
      </c>
      <c r="H35" s="95">
        <v>6.9000000000000006E-2</v>
      </c>
      <c r="I35" s="96">
        <v>84000</v>
      </c>
      <c r="J35" s="94" t="s">
        <v>8681</v>
      </c>
      <c r="K35" s="94">
        <v>12</v>
      </c>
      <c r="L35" s="94" t="s">
        <v>8682</v>
      </c>
      <c r="M35" s="96">
        <v>160892610</v>
      </c>
      <c r="N35" s="96">
        <v>19618</v>
      </c>
      <c r="O35" s="94">
        <v>76</v>
      </c>
    </row>
    <row r="36" spans="1:15" ht="27" x14ac:dyDescent="0.3">
      <c r="A36" s="93">
        <v>43616</v>
      </c>
      <c r="B36" s="94">
        <v>4</v>
      </c>
      <c r="C36" s="95">
        <v>1E-3</v>
      </c>
      <c r="D36" s="94">
        <v>4</v>
      </c>
      <c r="E36" s="95">
        <v>0</v>
      </c>
      <c r="F36" s="94">
        <v>204</v>
      </c>
      <c r="G36" s="95">
        <v>0</v>
      </c>
      <c r="H36" s="95">
        <v>0.17199999999999999</v>
      </c>
      <c r="I36" s="96">
        <v>222000</v>
      </c>
      <c r="J36" s="94" t="s">
        <v>8683</v>
      </c>
      <c r="K36" s="94">
        <v>35</v>
      </c>
      <c r="L36" s="94" t="s">
        <v>2900</v>
      </c>
      <c r="M36" s="96">
        <v>161114610</v>
      </c>
      <c r="N36" s="96">
        <v>19653</v>
      </c>
      <c r="O36" s="94">
        <v>50</v>
      </c>
    </row>
    <row r="37" spans="1:15" ht="27" x14ac:dyDescent="0.3">
      <c r="A37" s="93">
        <v>43617</v>
      </c>
      <c r="B37" s="94">
        <v>2</v>
      </c>
      <c r="C37" s="95">
        <v>0</v>
      </c>
      <c r="D37" s="94">
        <v>2</v>
      </c>
      <c r="E37" s="95">
        <v>0</v>
      </c>
      <c r="F37" s="94">
        <v>123</v>
      </c>
      <c r="G37" s="95">
        <v>0</v>
      </c>
      <c r="H37" s="95">
        <v>0.17899999999999999</v>
      </c>
      <c r="I37" s="96">
        <v>134000</v>
      </c>
      <c r="J37" s="94" t="s">
        <v>8684</v>
      </c>
      <c r="K37" s="94">
        <v>22</v>
      </c>
      <c r="L37" s="94" t="s">
        <v>8685</v>
      </c>
      <c r="M37" s="96">
        <v>161248610</v>
      </c>
      <c r="N37" s="96">
        <v>19675</v>
      </c>
      <c r="O37" s="94">
        <v>60</v>
      </c>
    </row>
    <row r="38" spans="1:15" ht="27" x14ac:dyDescent="0.3">
      <c r="A38" s="93">
        <v>43618</v>
      </c>
      <c r="B38" s="94">
        <v>3</v>
      </c>
      <c r="C38" s="95">
        <v>1E-3</v>
      </c>
      <c r="D38" s="94">
        <v>3</v>
      </c>
      <c r="E38" s="95">
        <v>0</v>
      </c>
      <c r="F38" s="94">
        <v>152</v>
      </c>
      <c r="G38" s="95">
        <v>0</v>
      </c>
      <c r="H38" s="95">
        <v>0.27</v>
      </c>
      <c r="I38" s="96">
        <v>258000</v>
      </c>
      <c r="J38" s="94" t="s">
        <v>8686</v>
      </c>
      <c r="K38" s="94">
        <v>41</v>
      </c>
      <c r="L38" s="94" t="s">
        <v>8687</v>
      </c>
      <c r="M38" s="96">
        <v>161506610</v>
      </c>
      <c r="N38" s="96">
        <v>19716</v>
      </c>
      <c r="O38" s="94">
        <v>54</v>
      </c>
    </row>
    <row r="39" spans="1:15" ht="27" x14ac:dyDescent="0.3">
      <c r="A39" s="93">
        <v>43619</v>
      </c>
      <c r="B39" s="94">
        <v>4</v>
      </c>
      <c r="C39" s="95">
        <v>1E-3</v>
      </c>
      <c r="D39" s="94">
        <v>4</v>
      </c>
      <c r="E39" s="95">
        <v>0</v>
      </c>
      <c r="F39" s="94">
        <v>526</v>
      </c>
      <c r="G39" s="95">
        <v>0</v>
      </c>
      <c r="H39" s="95">
        <v>2.9000000000000001E-2</v>
      </c>
      <c r="I39" s="96">
        <v>95000</v>
      </c>
      <c r="J39" s="94" t="s">
        <v>8688</v>
      </c>
      <c r="K39" s="94">
        <v>15</v>
      </c>
      <c r="L39" s="94" t="s">
        <v>8689</v>
      </c>
      <c r="M39" s="96">
        <v>161601610</v>
      </c>
      <c r="N39" s="96">
        <v>19731</v>
      </c>
      <c r="O39" s="94">
        <v>57</v>
      </c>
    </row>
    <row r="40" spans="1:15" ht="27" x14ac:dyDescent="0.3">
      <c r="A40" s="93">
        <v>43620</v>
      </c>
      <c r="B40" s="94">
        <v>1</v>
      </c>
      <c r="C40" s="95">
        <v>0</v>
      </c>
      <c r="D40" s="94">
        <v>1</v>
      </c>
      <c r="E40" s="95">
        <v>0</v>
      </c>
      <c r="F40" s="94">
        <v>72</v>
      </c>
      <c r="G40" s="95">
        <v>0</v>
      </c>
      <c r="H40" s="95">
        <v>0.13900000000000001</v>
      </c>
      <c r="I40" s="96">
        <v>63000</v>
      </c>
      <c r="J40" s="94" t="s">
        <v>8690</v>
      </c>
      <c r="K40" s="94">
        <v>10</v>
      </c>
      <c r="L40" s="94" t="s">
        <v>8691</v>
      </c>
      <c r="M40" s="96">
        <v>161664610</v>
      </c>
      <c r="N40" s="96">
        <v>19741</v>
      </c>
      <c r="O40" s="94">
        <v>73</v>
      </c>
    </row>
    <row r="41" spans="1:15" ht="27" x14ac:dyDescent="0.3">
      <c r="A41" s="93">
        <v>43622</v>
      </c>
      <c r="B41" s="94">
        <v>1</v>
      </c>
      <c r="C41" s="95">
        <v>0</v>
      </c>
      <c r="D41" s="94">
        <v>1</v>
      </c>
      <c r="E41" s="95">
        <v>0</v>
      </c>
      <c r="F41" s="94">
        <v>30</v>
      </c>
      <c r="G41" s="95">
        <v>0</v>
      </c>
      <c r="H41" s="95">
        <v>0.4</v>
      </c>
      <c r="I41" s="96">
        <v>113000</v>
      </c>
      <c r="J41" s="94" t="s">
        <v>8692</v>
      </c>
      <c r="K41" s="94">
        <v>12</v>
      </c>
      <c r="L41" s="94" t="s">
        <v>1393</v>
      </c>
      <c r="M41" s="96">
        <v>161777610</v>
      </c>
      <c r="N41" s="96">
        <v>19753</v>
      </c>
      <c r="O41" s="94">
        <v>78</v>
      </c>
    </row>
    <row r="42" spans="1:15" ht="27" x14ac:dyDescent="0.3">
      <c r="A42" s="93">
        <v>43623</v>
      </c>
      <c r="B42" s="94">
        <v>1</v>
      </c>
      <c r="C42" s="95">
        <v>0</v>
      </c>
      <c r="D42" s="94">
        <v>1</v>
      </c>
      <c r="E42" s="95">
        <v>0</v>
      </c>
      <c r="F42" s="94">
        <v>51</v>
      </c>
      <c r="G42" s="95">
        <v>0</v>
      </c>
      <c r="H42" s="95">
        <v>0.02</v>
      </c>
      <c r="I42" s="96">
        <v>7000</v>
      </c>
      <c r="J42" s="94" t="s">
        <v>8693</v>
      </c>
      <c r="K42" s="94">
        <v>1</v>
      </c>
      <c r="L42" s="94" t="s">
        <v>8694</v>
      </c>
      <c r="M42" s="96">
        <v>161784610</v>
      </c>
      <c r="N42" s="96">
        <v>19754</v>
      </c>
      <c r="O42" s="94">
        <v>100</v>
      </c>
    </row>
    <row r="43" spans="1:15" ht="27" x14ac:dyDescent="0.3">
      <c r="A43" s="93">
        <v>43624</v>
      </c>
      <c r="B43" s="94">
        <v>1</v>
      </c>
      <c r="C43" s="95">
        <v>0</v>
      </c>
      <c r="D43" s="94">
        <v>1</v>
      </c>
      <c r="E43" s="95">
        <v>0</v>
      </c>
      <c r="F43" s="94">
        <v>30</v>
      </c>
      <c r="G43" s="95">
        <v>0</v>
      </c>
      <c r="H43" s="95">
        <v>0.2</v>
      </c>
      <c r="I43" s="96">
        <v>53000</v>
      </c>
      <c r="J43" s="94" t="s">
        <v>8695</v>
      </c>
      <c r="K43" s="94">
        <v>6</v>
      </c>
      <c r="L43" s="94" t="s">
        <v>5509</v>
      </c>
      <c r="M43" s="96">
        <v>161837610</v>
      </c>
      <c r="N43" s="96">
        <v>19760</v>
      </c>
      <c r="O43" s="94">
        <v>86</v>
      </c>
    </row>
    <row r="44" spans="1:15" ht="27" x14ac:dyDescent="0.3">
      <c r="A44" s="93">
        <v>43625</v>
      </c>
      <c r="B44" s="94">
        <v>1</v>
      </c>
      <c r="C44" s="95">
        <v>0</v>
      </c>
      <c r="D44" s="94">
        <v>1</v>
      </c>
      <c r="E44" s="95">
        <v>0</v>
      </c>
      <c r="F44" s="94">
        <v>72</v>
      </c>
      <c r="G44" s="95">
        <v>0</v>
      </c>
      <c r="H44" s="95">
        <v>0.30599999999999999</v>
      </c>
      <c r="I44" s="96">
        <v>136000</v>
      </c>
      <c r="J44" s="94" t="s">
        <v>8696</v>
      </c>
      <c r="K44" s="94">
        <v>22</v>
      </c>
      <c r="L44" s="94" t="s">
        <v>8697</v>
      </c>
      <c r="M44" s="96">
        <v>161973610</v>
      </c>
      <c r="N44" s="96">
        <v>19782</v>
      </c>
      <c r="O44" s="94">
        <v>70</v>
      </c>
    </row>
    <row r="45" spans="1:15" ht="27" x14ac:dyDescent="0.3">
      <c r="A45" s="93">
        <v>43626</v>
      </c>
      <c r="B45" s="94">
        <v>2</v>
      </c>
      <c r="C45" s="95">
        <v>0</v>
      </c>
      <c r="D45" s="94">
        <v>2</v>
      </c>
      <c r="E45" s="95">
        <v>0</v>
      </c>
      <c r="F45" s="94">
        <v>204</v>
      </c>
      <c r="G45" s="95">
        <v>0</v>
      </c>
      <c r="H45" s="95">
        <v>0.17599999999999999</v>
      </c>
      <c r="I45" s="96">
        <v>216000</v>
      </c>
      <c r="J45" s="94" t="s">
        <v>8698</v>
      </c>
      <c r="K45" s="94">
        <v>36</v>
      </c>
      <c r="L45" s="94" t="s">
        <v>8699</v>
      </c>
      <c r="M45" s="96">
        <v>162189610</v>
      </c>
      <c r="N45" s="96">
        <v>19818</v>
      </c>
      <c r="O45" s="94">
        <v>47</v>
      </c>
    </row>
    <row r="46" spans="1:15" ht="27" x14ac:dyDescent="0.3">
      <c r="A46" s="93">
        <v>43627</v>
      </c>
      <c r="B46" s="94">
        <v>1</v>
      </c>
      <c r="C46" s="95">
        <v>0</v>
      </c>
      <c r="D46" s="94">
        <v>1</v>
      </c>
      <c r="E46" s="95">
        <v>0</v>
      </c>
      <c r="F46" s="94">
        <v>30</v>
      </c>
      <c r="G46" s="95">
        <v>0</v>
      </c>
      <c r="H46" s="95">
        <v>3.3000000000000002E-2</v>
      </c>
      <c r="I46" s="96">
        <v>6000</v>
      </c>
      <c r="J46" s="94" t="s">
        <v>8700</v>
      </c>
      <c r="K46" s="94">
        <v>1</v>
      </c>
      <c r="L46" s="94" t="s">
        <v>8701</v>
      </c>
      <c r="M46" s="96">
        <v>162195610</v>
      </c>
      <c r="N46" s="96">
        <v>19819</v>
      </c>
      <c r="O46" s="94">
        <v>102</v>
      </c>
    </row>
    <row r="47" spans="1:15" ht="27" x14ac:dyDescent="0.3">
      <c r="A47" s="93">
        <v>43632</v>
      </c>
      <c r="B47" s="94">
        <v>1</v>
      </c>
      <c r="C47" s="95">
        <v>0</v>
      </c>
      <c r="D47" s="94">
        <v>1</v>
      </c>
      <c r="E47" s="95">
        <v>0</v>
      </c>
      <c r="F47" s="94">
        <v>152</v>
      </c>
      <c r="G47" s="95">
        <v>0</v>
      </c>
      <c r="H47" s="95">
        <v>7.1999999999999995E-2</v>
      </c>
      <c r="I47" s="96">
        <v>66000</v>
      </c>
      <c r="J47" s="94" t="s">
        <v>2346</v>
      </c>
      <c r="K47" s="94">
        <v>11</v>
      </c>
      <c r="L47" s="94" t="s">
        <v>700</v>
      </c>
      <c r="M47" s="96">
        <v>162261610</v>
      </c>
      <c r="N47" s="96">
        <v>19830</v>
      </c>
      <c r="O47" s="94">
        <v>85</v>
      </c>
    </row>
    <row r="48" spans="1:15" ht="27" x14ac:dyDescent="0.3">
      <c r="A48" s="93">
        <v>43633</v>
      </c>
      <c r="B48" s="94">
        <v>1</v>
      </c>
      <c r="C48" s="95">
        <v>0</v>
      </c>
      <c r="D48" s="94">
        <v>1</v>
      </c>
      <c r="E48" s="95">
        <v>0</v>
      </c>
      <c r="F48" s="94">
        <v>51</v>
      </c>
      <c r="G48" s="95">
        <v>0</v>
      </c>
      <c r="H48" s="95">
        <v>0.13700000000000001</v>
      </c>
      <c r="I48" s="96">
        <v>49000</v>
      </c>
      <c r="J48" s="94" t="s">
        <v>8702</v>
      </c>
      <c r="K48" s="94">
        <v>7</v>
      </c>
      <c r="L48" s="94" t="s">
        <v>3748</v>
      </c>
      <c r="M48" s="96">
        <v>162310610</v>
      </c>
      <c r="N48" s="96">
        <v>19837</v>
      </c>
      <c r="O48" s="94">
        <v>64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28113-C521-4A99-B080-B5C655039518}">
  <dimension ref="A1:O32"/>
  <sheetViews>
    <sheetView workbookViewId="0">
      <selection activeCell="A5" sqref="A5:O6"/>
    </sheetView>
  </sheetViews>
  <sheetFormatPr defaultRowHeight="16.5" x14ac:dyDescent="0.3"/>
  <sheetData>
    <row r="1" spans="1:15" ht="19.5" x14ac:dyDescent="0.3">
      <c r="A1" s="197" t="s">
        <v>8703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04" t="s">
        <v>111</v>
      </c>
      <c r="B4" s="99" t="s">
        <v>112</v>
      </c>
      <c r="C4" s="99" t="s">
        <v>113</v>
      </c>
      <c r="D4" s="99" t="s">
        <v>114</v>
      </c>
      <c r="E4" s="99" t="s">
        <v>115</v>
      </c>
      <c r="F4" s="99" t="s">
        <v>116</v>
      </c>
      <c r="G4" s="99" t="s">
        <v>117</v>
      </c>
      <c r="H4" s="99" t="s">
        <v>118</v>
      </c>
      <c r="I4" s="99" t="s">
        <v>119</v>
      </c>
      <c r="J4" s="99" t="s">
        <v>120</v>
      </c>
      <c r="K4" s="99" t="s">
        <v>121</v>
      </c>
      <c r="L4" s="99" t="s">
        <v>122</v>
      </c>
      <c r="M4" s="99" t="s">
        <v>123</v>
      </c>
      <c r="N4" s="99" t="s">
        <v>124</v>
      </c>
      <c r="O4" s="105" t="s">
        <v>125</v>
      </c>
    </row>
    <row r="5" spans="1:15" ht="40.5" x14ac:dyDescent="0.3">
      <c r="A5" s="100">
        <v>43636</v>
      </c>
      <c r="B5" s="103">
        <v>1063</v>
      </c>
      <c r="C5" s="102">
        <v>0.188</v>
      </c>
      <c r="D5" s="103">
        <v>4865</v>
      </c>
      <c r="E5" s="102">
        <v>0.25800000000000001</v>
      </c>
      <c r="F5" s="103">
        <v>877190</v>
      </c>
      <c r="G5" s="102">
        <v>0.29699999999999999</v>
      </c>
      <c r="H5" s="102">
        <v>0.16200000000000001</v>
      </c>
      <c r="I5" s="103">
        <v>1230056240</v>
      </c>
      <c r="J5" s="101" t="s">
        <v>8704</v>
      </c>
      <c r="K5" s="103">
        <v>141837</v>
      </c>
      <c r="L5" s="101" t="s">
        <v>8705</v>
      </c>
      <c r="M5" s="103">
        <v>1240116240</v>
      </c>
      <c r="N5" s="103">
        <v>142561</v>
      </c>
      <c r="O5" s="101">
        <v>1</v>
      </c>
    </row>
    <row r="6" spans="1:15" ht="27" x14ac:dyDescent="0.3">
      <c r="A6" s="100">
        <v>43637</v>
      </c>
      <c r="B6" s="103">
        <v>1123</v>
      </c>
      <c r="C6" s="102">
        <v>0.19400000000000001</v>
      </c>
      <c r="D6" s="103">
        <v>5152</v>
      </c>
      <c r="E6" s="102">
        <v>0.26800000000000002</v>
      </c>
      <c r="F6" s="103">
        <v>940371</v>
      </c>
      <c r="G6" s="102">
        <v>0.313</v>
      </c>
      <c r="H6" s="102">
        <v>0.17100000000000001</v>
      </c>
      <c r="I6" s="103">
        <v>1502907160</v>
      </c>
      <c r="J6" s="101" t="s">
        <v>8706</v>
      </c>
      <c r="K6" s="103">
        <v>160819</v>
      </c>
      <c r="L6" s="101" t="s">
        <v>8707</v>
      </c>
      <c r="M6" s="103">
        <v>2743023400</v>
      </c>
      <c r="N6" s="103">
        <v>303380</v>
      </c>
      <c r="O6" s="101">
        <v>2</v>
      </c>
    </row>
    <row r="7" spans="1:15" ht="40.5" x14ac:dyDescent="0.3">
      <c r="A7" s="100">
        <v>43638</v>
      </c>
      <c r="B7" s="103">
        <v>1333</v>
      </c>
      <c r="C7" s="102">
        <v>0.20799999999999999</v>
      </c>
      <c r="D7" s="103">
        <v>6155</v>
      </c>
      <c r="E7" s="102">
        <v>0.307</v>
      </c>
      <c r="F7" s="103">
        <v>1126883</v>
      </c>
      <c r="G7" s="102">
        <v>0.35899999999999999</v>
      </c>
      <c r="H7" s="102">
        <v>0.36899999999999999</v>
      </c>
      <c r="I7" s="103">
        <v>3669536710</v>
      </c>
      <c r="J7" s="101" t="s">
        <v>8708</v>
      </c>
      <c r="K7" s="103">
        <v>415803</v>
      </c>
      <c r="L7" s="101" t="s">
        <v>8709</v>
      </c>
      <c r="M7" s="103">
        <v>6412560110</v>
      </c>
      <c r="N7" s="103">
        <v>719183</v>
      </c>
      <c r="O7" s="101">
        <v>1</v>
      </c>
    </row>
    <row r="8" spans="1:15" ht="40.5" x14ac:dyDescent="0.3">
      <c r="A8" s="100">
        <v>43639</v>
      </c>
      <c r="B8" s="103">
        <v>1335</v>
      </c>
      <c r="C8" s="102">
        <v>0.20599999999999999</v>
      </c>
      <c r="D8" s="103">
        <v>6048</v>
      </c>
      <c r="E8" s="102">
        <v>0.307</v>
      </c>
      <c r="F8" s="103">
        <v>1105635</v>
      </c>
      <c r="G8" s="102">
        <v>0.36</v>
      </c>
      <c r="H8" s="102">
        <v>0.35899999999999999</v>
      </c>
      <c r="I8" s="103">
        <v>3471705690</v>
      </c>
      <c r="J8" s="101" t="s">
        <v>8710</v>
      </c>
      <c r="K8" s="103">
        <v>396438</v>
      </c>
      <c r="L8" s="101" t="s">
        <v>8711</v>
      </c>
      <c r="M8" s="103">
        <v>9884265800</v>
      </c>
      <c r="N8" s="103">
        <v>1115621</v>
      </c>
      <c r="O8" s="101">
        <v>1</v>
      </c>
    </row>
    <row r="9" spans="1:15" ht="54" x14ac:dyDescent="0.3">
      <c r="A9" s="100">
        <v>43640</v>
      </c>
      <c r="B9" s="103">
        <v>1061</v>
      </c>
      <c r="C9" s="102">
        <v>0.19400000000000001</v>
      </c>
      <c r="D9" s="103">
        <v>4998</v>
      </c>
      <c r="E9" s="102">
        <v>0.27100000000000002</v>
      </c>
      <c r="F9" s="103">
        <v>919823</v>
      </c>
      <c r="G9" s="102">
        <v>0.31900000000000001</v>
      </c>
      <c r="H9" s="102">
        <v>0.111</v>
      </c>
      <c r="I9" s="103">
        <v>866488060</v>
      </c>
      <c r="J9" s="101" t="s">
        <v>8712</v>
      </c>
      <c r="K9" s="103">
        <v>102534</v>
      </c>
      <c r="L9" s="101" t="s">
        <v>8713</v>
      </c>
      <c r="M9" s="103">
        <v>10750753860</v>
      </c>
      <c r="N9" s="103">
        <v>1218155</v>
      </c>
      <c r="O9" s="101">
        <v>2</v>
      </c>
    </row>
    <row r="10" spans="1:15" ht="40.5" x14ac:dyDescent="0.3">
      <c r="A10" s="100">
        <v>43641</v>
      </c>
      <c r="B10" s="103">
        <v>1083</v>
      </c>
      <c r="C10" s="102">
        <v>0.19400000000000001</v>
      </c>
      <c r="D10" s="103">
        <v>4928</v>
      </c>
      <c r="E10" s="102">
        <v>0.26800000000000002</v>
      </c>
      <c r="F10" s="103">
        <v>897845</v>
      </c>
      <c r="G10" s="102">
        <v>0.312</v>
      </c>
      <c r="H10" s="102">
        <v>0.1</v>
      </c>
      <c r="I10" s="103">
        <v>749071270</v>
      </c>
      <c r="J10" s="101" t="s">
        <v>8714</v>
      </c>
      <c r="K10" s="103">
        <v>89412</v>
      </c>
      <c r="L10" s="101" t="s">
        <v>8715</v>
      </c>
      <c r="M10" s="103">
        <v>11499825130</v>
      </c>
      <c r="N10" s="103">
        <v>1307567</v>
      </c>
      <c r="O10" s="101">
        <v>2</v>
      </c>
    </row>
    <row r="11" spans="1:15" ht="27" x14ac:dyDescent="0.3">
      <c r="A11" s="100">
        <v>43642</v>
      </c>
      <c r="B11" s="101">
        <v>894</v>
      </c>
      <c r="C11" s="102">
        <v>0.13900000000000001</v>
      </c>
      <c r="D11" s="103">
        <v>3354</v>
      </c>
      <c r="E11" s="102">
        <v>0.18</v>
      </c>
      <c r="F11" s="103">
        <v>615777</v>
      </c>
      <c r="G11" s="102">
        <v>0.21299999999999999</v>
      </c>
      <c r="H11" s="102">
        <v>0.26600000000000001</v>
      </c>
      <c r="I11" s="103">
        <v>984989920</v>
      </c>
      <c r="J11" s="101" t="s">
        <v>8716</v>
      </c>
      <c r="K11" s="103">
        <v>163686</v>
      </c>
      <c r="L11" s="101" t="s">
        <v>8717</v>
      </c>
      <c r="M11" s="103">
        <v>12484815050</v>
      </c>
      <c r="N11" s="103">
        <v>1471253</v>
      </c>
      <c r="O11" s="101">
        <v>2</v>
      </c>
    </row>
    <row r="12" spans="1:15" ht="40.5" x14ac:dyDescent="0.3">
      <c r="A12" s="100">
        <v>43643</v>
      </c>
      <c r="B12" s="101">
        <v>836</v>
      </c>
      <c r="C12" s="102">
        <v>0.13900000000000001</v>
      </c>
      <c r="D12" s="103">
        <v>3267</v>
      </c>
      <c r="E12" s="102">
        <v>0.17499999999999999</v>
      </c>
      <c r="F12" s="103">
        <v>596943</v>
      </c>
      <c r="G12" s="102">
        <v>0.20599999999999999</v>
      </c>
      <c r="H12" s="102">
        <v>0.128</v>
      </c>
      <c r="I12" s="103">
        <v>643975110</v>
      </c>
      <c r="J12" s="101" t="s">
        <v>8718</v>
      </c>
      <c r="K12" s="103">
        <v>76635</v>
      </c>
      <c r="L12" s="101" t="s">
        <v>8719</v>
      </c>
      <c r="M12" s="103">
        <v>13128790160</v>
      </c>
      <c r="N12" s="103">
        <v>1547888</v>
      </c>
      <c r="O12" s="101">
        <v>3</v>
      </c>
    </row>
    <row r="13" spans="1:15" ht="27" x14ac:dyDescent="0.3">
      <c r="A13" s="100">
        <v>43644</v>
      </c>
      <c r="B13" s="101">
        <v>863</v>
      </c>
      <c r="C13" s="102">
        <v>0.14099999999999999</v>
      </c>
      <c r="D13" s="103">
        <v>3413</v>
      </c>
      <c r="E13" s="102">
        <v>0.18099999999999999</v>
      </c>
      <c r="F13" s="103">
        <v>615900</v>
      </c>
      <c r="G13" s="102">
        <v>0.21</v>
      </c>
      <c r="H13" s="102">
        <v>0.161</v>
      </c>
      <c r="I13" s="103">
        <v>901306590</v>
      </c>
      <c r="J13" s="101" t="s">
        <v>8720</v>
      </c>
      <c r="K13" s="103">
        <v>99045</v>
      </c>
      <c r="L13" s="101" t="s">
        <v>8721</v>
      </c>
      <c r="M13" s="103">
        <v>14030096750</v>
      </c>
      <c r="N13" s="103">
        <v>1646933</v>
      </c>
      <c r="O13" s="101">
        <v>2</v>
      </c>
    </row>
    <row r="14" spans="1:15" ht="40.5" x14ac:dyDescent="0.3">
      <c r="A14" s="100">
        <v>43645</v>
      </c>
      <c r="B14" s="103">
        <v>1114</v>
      </c>
      <c r="C14" s="102">
        <v>0.16600000000000001</v>
      </c>
      <c r="D14" s="103">
        <v>4432</v>
      </c>
      <c r="E14" s="102">
        <v>0.224</v>
      </c>
      <c r="F14" s="103">
        <v>767240</v>
      </c>
      <c r="G14" s="102">
        <v>0.251</v>
      </c>
      <c r="H14" s="102">
        <v>0.41599999999999998</v>
      </c>
      <c r="I14" s="103">
        <v>2766147020</v>
      </c>
      <c r="J14" s="101" t="s">
        <v>8722</v>
      </c>
      <c r="K14" s="103">
        <v>319081</v>
      </c>
      <c r="L14" s="101" t="s">
        <v>8723</v>
      </c>
      <c r="M14" s="103">
        <v>16796243770</v>
      </c>
      <c r="N14" s="103">
        <v>1966014</v>
      </c>
      <c r="O14" s="101">
        <v>2</v>
      </c>
    </row>
    <row r="15" spans="1:15" ht="40.5" x14ac:dyDescent="0.3">
      <c r="A15" s="100">
        <v>43646</v>
      </c>
      <c r="B15" s="103">
        <v>1128</v>
      </c>
      <c r="C15" s="102">
        <v>0.16800000000000001</v>
      </c>
      <c r="D15" s="103">
        <v>4397</v>
      </c>
      <c r="E15" s="102">
        <v>0.22600000000000001</v>
      </c>
      <c r="F15" s="103">
        <v>757910</v>
      </c>
      <c r="G15" s="102">
        <v>0.252</v>
      </c>
      <c r="H15" s="102">
        <v>0.376</v>
      </c>
      <c r="I15" s="103">
        <v>2457207580</v>
      </c>
      <c r="J15" s="101" t="s">
        <v>8724</v>
      </c>
      <c r="K15" s="103">
        <v>284820</v>
      </c>
      <c r="L15" s="101" t="s">
        <v>8725</v>
      </c>
      <c r="M15" s="103">
        <v>19253451350</v>
      </c>
      <c r="N15" s="103">
        <v>2250834</v>
      </c>
      <c r="O15" s="101">
        <v>2</v>
      </c>
    </row>
    <row r="16" spans="1:15" ht="54" x14ac:dyDescent="0.3">
      <c r="A16" s="100">
        <v>43647</v>
      </c>
      <c r="B16" s="101">
        <v>873</v>
      </c>
      <c r="C16" s="102">
        <v>0.13200000000000001</v>
      </c>
      <c r="D16" s="103">
        <v>3386</v>
      </c>
      <c r="E16" s="102">
        <v>0.182</v>
      </c>
      <c r="F16" s="103">
        <v>608257</v>
      </c>
      <c r="G16" s="102">
        <v>0.20899999999999999</v>
      </c>
      <c r="H16" s="102">
        <v>0.105</v>
      </c>
      <c r="I16" s="103">
        <v>539484540</v>
      </c>
      <c r="J16" s="101" t="s">
        <v>8726</v>
      </c>
      <c r="K16" s="103">
        <v>63753</v>
      </c>
      <c r="L16" s="101" t="s">
        <v>8727</v>
      </c>
      <c r="M16" s="103">
        <v>19792935890</v>
      </c>
      <c r="N16" s="103">
        <v>2314587</v>
      </c>
      <c r="O16" s="101">
        <v>2</v>
      </c>
    </row>
    <row r="17" spans="1:15" ht="40.5" x14ac:dyDescent="0.3">
      <c r="A17" s="100">
        <v>43648</v>
      </c>
      <c r="B17" s="101">
        <v>638</v>
      </c>
      <c r="C17" s="102">
        <v>0.109</v>
      </c>
      <c r="D17" s="103">
        <v>1673</v>
      </c>
      <c r="E17" s="102">
        <v>0.09</v>
      </c>
      <c r="F17" s="103">
        <v>213766</v>
      </c>
      <c r="G17" s="102">
        <v>7.3999999999999996E-2</v>
      </c>
      <c r="H17" s="102">
        <v>0.16700000000000001</v>
      </c>
      <c r="I17" s="103">
        <v>288467710</v>
      </c>
      <c r="J17" s="101" t="s">
        <v>8728</v>
      </c>
      <c r="K17" s="103">
        <v>35761</v>
      </c>
      <c r="L17" s="101" t="s">
        <v>8729</v>
      </c>
      <c r="M17" s="103">
        <v>20081403600</v>
      </c>
      <c r="N17" s="103">
        <v>2350348</v>
      </c>
      <c r="O17" s="101">
        <v>3</v>
      </c>
    </row>
    <row r="18" spans="1:15" ht="27" x14ac:dyDescent="0.3">
      <c r="A18" s="100">
        <v>43649</v>
      </c>
      <c r="B18" s="101">
        <v>707</v>
      </c>
      <c r="C18" s="102">
        <v>0.128</v>
      </c>
      <c r="D18" s="103">
        <v>1782</v>
      </c>
      <c r="E18" s="102">
        <v>9.6000000000000002E-2</v>
      </c>
      <c r="F18" s="103">
        <v>226427</v>
      </c>
      <c r="G18" s="102">
        <v>7.9000000000000001E-2</v>
      </c>
      <c r="H18" s="102">
        <v>0.193</v>
      </c>
      <c r="I18" s="103">
        <v>345932850</v>
      </c>
      <c r="J18" s="101" t="s">
        <v>8730</v>
      </c>
      <c r="K18" s="103">
        <v>43609</v>
      </c>
      <c r="L18" s="101" t="s">
        <v>8731</v>
      </c>
      <c r="M18" s="103">
        <v>20427336450</v>
      </c>
      <c r="N18" s="103">
        <v>2393957</v>
      </c>
      <c r="O18" s="101">
        <v>3</v>
      </c>
    </row>
    <row r="19" spans="1:15" ht="27" x14ac:dyDescent="0.3">
      <c r="A19" s="100">
        <v>43650</v>
      </c>
      <c r="B19" s="101">
        <v>663</v>
      </c>
      <c r="C19" s="102">
        <v>0.11700000000000001</v>
      </c>
      <c r="D19" s="103">
        <v>1681</v>
      </c>
      <c r="E19" s="102">
        <v>9.0999999999999998E-2</v>
      </c>
      <c r="F19" s="103">
        <v>212018</v>
      </c>
      <c r="G19" s="102">
        <v>7.3999999999999996E-2</v>
      </c>
      <c r="H19" s="102">
        <v>0.20100000000000001</v>
      </c>
      <c r="I19" s="103">
        <v>336720280</v>
      </c>
      <c r="J19" s="101" t="s">
        <v>8732</v>
      </c>
      <c r="K19" s="103">
        <v>42606</v>
      </c>
      <c r="L19" s="101" t="s">
        <v>8733</v>
      </c>
      <c r="M19" s="103">
        <v>20764056730</v>
      </c>
      <c r="N19" s="103">
        <v>2436563</v>
      </c>
      <c r="O19" s="101">
        <v>3</v>
      </c>
    </row>
    <row r="20" spans="1:15" ht="27" x14ac:dyDescent="0.3">
      <c r="A20" s="100">
        <v>43651</v>
      </c>
      <c r="B20" s="101">
        <v>706</v>
      </c>
      <c r="C20" s="102">
        <v>0.122</v>
      </c>
      <c r="D20" s="103">
        <v>1701</v>
      </c>
      <c r="E20" s="102">
        <v>0.09</v>
      </c>
      <c r="F20" s="103">
        <v>214489</v>
      </c>
      <c r="G20" s="102">
        <v>7.2999999999999995E-2</v>
      </c>
      <c r="H20" s="102">
        <v>0.28599999999999998</v>
      </c>
      <c r="I20" s="103">
        <v>523239150</v>
      </c>
      <c r="J20" s="101" t="s">
        <v>8734</v>
      </c>
      <c r="K20" s="103">
        <v>61309</v>
      </c>
      <c r="L20" s="101" t="s">
        <v>8735</v>
      </c>
      <c r="M20" s="103">
        <v>21287295880</v>
      </c>
      <c r="N20" s="103">
        <v>2497872</v>
      </c>
      <c r="O20" s="101">
        <v>3</v>
      </c>
    </row>
    <row r="21" spans="1:15" ht="27" x14ac:dyDescent="0.3">
      <c r="A21" s="100">
        <v>43652</v>
      </c>
      <c r="B21" s="101">
        <v>800</v>
      </c>
      <c r="C21" s="102">
        <v>0.13600000000000001</v>
      </c>
      <c r="D21" s="103">
        <v>2076</v>
      </c>
      <c r="E21" s="102">
        <v>0.105</v>
      </c>
      <c r="F21" s="103">
        <v>255367</v>
      </c>
      <c r="G21" s="102">
        <v>8.4000000000000005E-2</v>
      </c>
      <c r="H21" s="102">
        <v>0.56499999999999995</v>
      </c>
      <c r="I21" s="103">
        <v>1196576930</v>
      </c>
      <c r="J21" s="101" t="s">
        <v>8736</v>
      </c>
      <c r="K21" s="103">
        <v>144221</v>
      </c>
      <c r="L21" s="101" t="s">
        <v>8737</v>
      </c>
      <c r="M21" s="103">
        <v>22483872810</v>
      </c>
      <c r="N21" s="103">
        <v>2642093</v>
      </c>
      <c r="O21" s="101">
        <v>3</v>
      </c>
    </row>
    <row r="22" spans="1:15" ht="27" x14ac:dyDescent="0.3">
      <c r="A22" s="100">
        <v>43653</v>
      </c>
      <c r="B22" s="101">
        <v>813</v>
      </c>
      <c r="C22" s="102">
        <v>0.13700000000000001</v>
      </c>
      <c r="D22" s="103">
        <v>2073</v>
      </c>
      <c r="E22" s="102">
        <v>0.107</v>
      </c>
      <c r="F22" s="103">
        <v>256872</v>
      </c>
      <c r="G22" s="102">
        <v>8.5999999999999993E-2</v>
      </c>
      <c r="H22" s="102">
        <v>0.55100000000000005</v>
      </c>
      <c r="I22" s="103">
        <v>1173802100</v>
      </c>
      <c r="J22" s="101" t="s">
        <v>8738</v>
      </c>
      <c r="K22" s="103">
        <v>141609</v>
      </c>
      <c r="L22" s="101" t="s">
        <v>8739</v>
      </c>
      <c r="M22" s="103">
        <v>23657674910</v>
      </c>
      <c r="N22" s="103">
        <v>2783702</v>
      </c>
      <c r="O22" s="101">
        <v>3</v>
      </c>
    </row>
    <row r="23" spans="1:15" ht="40.5" x14ac:dyDescent="0.3">
      <c r="A23" s="100">
        <v>43654</v>
      </c>
      <c r="B23" s="101">
        <v>688</v>
      </c>
      <c r="C23" s="102">
        <v>0.125</v>
      </c>
      <c r="D23" s="103">
        <v>1751</v>
      </c>
      <c r="E23" s="102">
        <v>9.6000000000000002E-2</v>
      </c>
      <c r="F23" s="103">
        <v>222904</v>
      </c>
      <c r="G23" s="102">
        <v>7.9000000000000001E-2</v>
      </c>
      <c r="H23" s="102">
        <v>0.14299999999999999</v>
      </c>
      <c r="I23" s="103">
        <v>260491450</v>
      </c>
      <c r="J23" s="101" t="s">
        <v>8740</v>
      </c>
      <c r="K23" s="103">
        <v>31828</v>
      </c>
      <c r="L23" s="101" t="s">
        <v>8741</v>
      </c>
      <c r="M23" s="103">
        <v>23918166360</v>
      </c>
      <c r="N23" s="103">
        <v>2815530</v>
      </c>
      <c r="O23" s="101">
        <v>3</v>
      </c>
    </row>
    <row r="24" spans="1:15" ht="27" x14ac:dyDescent="0.3">
      <c r="A24" s="100">
        <v>43655</v>
      </c>
      <c r="B24" s="101">
        <v>691</v>
      </c>
      <c r="C24" s="102">
        <v>0.122</v>
      </c>
      <c r="D24" s="103">
        <v>1761</v>
      </c>
      <c r="E24" s="102">
        <v>9.7000000000000003E-2</v>
      </c>
      <c r="F24" s="103">
        <v>222506</v>
      </c>
      <c r="G24" s="102">
        <v>7.9000000000000001E-2</v>
      </c>
      <c r="H24" s="102">
        <v>0.16600000000000001</v>
      </c>
      <c r="I24" s="103">
        <v>295978900</v>
      </c>
      <c r="J24" s="101" t="s">
        <v>8742</v>
      </c>
      <c r="K24" s="103">
        <v>36945</v>
      </c>
      <c r="L24" s="101" t="s">
        <v>8743</v>
      </c>
      <c r="M24" s="103">
        <v>24214145260</v>
      </c>
      <c r="N24" s="103">
        <v>2852475</v>
      </c>
      <c r="O24" s="101">
        <v>3</v>
      </c>
    </row>
    <row r="25" spans="1:15" ht="27" x14ac:dyDescent="0.3">
      <c r="A25" s="100">
        <v>43656</v>
      </c>
      <c r="B25" s="101">
        <v>621</v>
      </c>
      <c r="C25" s="102">
        <v>0.11700000000000001</v>
      </c>
      <c r="D25" s="103">
        <v>1417</v>
      </c>
      <c r="E25" s="102">
        <v>7.6999999999999999E-2</v>
      </c>
      <c r="F25" s="103">
        <v>179033</v>
      </c>
      <c r="G25" s="102">
        <v>6.3E-2</v>
      </c>
      <c r="H25" s="102">
        <v>0.16900000000000001</v>
      </c>
      <c r="I25" s="103">
        <v>242280220</v>
      </c>
      <c r="J25" s="101" t="s">
        <v>8744</v>
      </c>
      <c r="K25" s="103">
        <v>30332</v>
      </c>
      <c r="L25" s="101" t="s">
        <v>8745</v>
      </c>
      <c r="M25" s="103">
        <v>24456425480</v>
      </c>
      <c r="N25" s="103">
        <v>2882807</v>
      </c>
      <c r="O25" s="101">
        <v>4</v>
      </c>
    </row>
    <row r="26" spans="1:15" ht="27" x14ac:dyDescent="0.3">
      <c r="A26" s="100">
        <v>43657</v>
      </c>
      <c r="B26" s="101">
        <v>613</v>
      </c>
      <c r="C26" s="102">
        <v>0.104</v>
      </c>
      <c r="D26" s="103">
        <v>1230</v>
      </c>
      <c r="E26" s="102">
        <v>6.6000000000000003E-2</v>
      </c>
      <c r="F26" s="103">
        <v>156631</v>
      </c>
      <c r="G26" s="102">
        <v>5.5E-2</v>
      </c>
      <c r="H26" s="102">
        <v>0.16</v>
      </c>
      <c r="I26" s="103">
        <v>201737160</v>
      </c>
      <c r="J26" s="101" t="s">
        <v>8746</v>
      </c>
      <c r="K26" s="103">
        <v>25138</v>
      </c>
      <c r="L26" s="101" t="s">
        <v>8747</v>
      </c>
      <c r="M26" s="103">
        <v>24658162640</v>
      </c>
      <c r="N26" s="103">
        <v>2907945</v>
      </c>
      <c r="O26" s="101">
        <v>4</v>
      </c>
    </row>
    <row r="27" spans="1:15" ht="27" x14ac:dyDescent="0.3">
      <c r="A27" s="100">
        <v>43658</v>
      </c>
      <c r="B27" s="101">
        <v>625</v>
      </c>
      <c r="C27" s="102">
        <v>0.10199999999999999</v>
      </c>
      <c r="D27" s="103">
        <v>1299</v>
      </c>
      <c r="E27" s="102">
        <v>6.8000000000000005E-2</v>
      </c>
      <c r="F27" s="103">
        <v>166533</v>
      </c>
      <c r="G27" s="102">
        <v>5.7000000000000002E-2</v>
      </c>
      <c r="H27" s="102">
        <v>0.193</v>
      </c>
      <c r="I27" s="103">
        <v>273914100</v>
      </c>
      <c r="J27" s="101" t="s">
        <v>8748</v>
      </c>
      <c r="K27" s="103">
        <v>32202</v>
      </c>
      <c r="L27" s="101" t="s">
        <v>8749</v>
      </c>
      <c r="M27" s="103">
        <v>24932076740</v>
      </c>
      <c r="N27" s="103">
        <v>2940147</v>
      </c>
      <c r="O27" s="101">
        <v>3</v>
      </c>
    </row>
    <row r="28" spans="1:15" ht="27" x14ac:dyDescent="0.3">
      <c r="A28" s="100">
        <v>43659</v>
      </c>
      <c r="B28" s="101">
        <v>762</v>
      </c>
      <c r="C28" s="102">
        <v>0.11799999999999999</v>
      </c>
      <c r="D28" s="103">
        <v>1772</v>
      </c>
      <c r="E28" s="102">
        <v>8.7999999999999995E-2</v>
      </c>
      <c r="F28" s="103">
        <v>227779</v>
      </c>
      <c r="G28" s="102">
        <v>7.3999999999999996E-2</v>
      </c>
      <c r="H28" s="102">
        <v>0.46300000000000002</v>
      </c>
      <c r="I28" s="103">
        <v>894168830</v>
      </c>
      <c r="J28" s="101" t="s">
        <v>8750</v>
      </c>
      <c r="K28" s="103">
        <v>105495</v>
      </c>
      <c r="L28" s="101" t="s">
        <v>8751</v>
      </c>
      <c r="M28" s="103">
        <v>25826245570</v>
      </c>
      <c r="N28" s="103">
        <v>3045642</v>
      </c>
      <c r="O28" s="101">
        <v>3</v>
      </c>
    </row>
    <row r="29" spans="1:15" ht="27" x14ac:dyDescent="0.3">
      <c r="A29" s="100">
        <v>43660</v>
      </c>
      <c r="B29" s="101">
        <v>784</v>
      </c>
      <c r="C29" s="102">
        <v>0.121</v>
      </c>
      <c r="D29" s="103">
        <v>1795</v>
      </c>
      <c r="E29" s="102">
        <v>9.0999999999999998E-2</v>
      </c>
      <c r="F29" s="103">
        <v>230276</v>
      </c>
      <c r="G29" s="102">
        <v>7.5999999999999998E-2</v>
      </c>
      <c r="H29" s="102">
        <v>0.45800000000000002</v>
      </c>
      <c r="I29" s="103">
        <v>894096280</v>
      </c>
      <c r="J29" s="101" t="s">
        <v>8752</v>
      </c>
      <c r="K29" s="103">
        <v>105421</v>
      </c>
      <c r="L29" s="101" t="s">
        <v>8753</v>
      </c>
      <c r="M29" s="103">
        <v>26720341850</v>
      </c>
      <c r="N29" s="103">
        <v>3151063</v>
      </c>
      <c r="O29" s="101">
        <v>3</v>
      </c>
    </row>
    <row r="30" spans="1:15" ht="40.5" x14ac:dyDescent="0.3">
      <c r="A30" s="100">
        <v>43661</v>
      </c>
      <c r="B30" s="101">
        <v>596</v>
      </c>
      <c r="C30" s="102">
        <v>0.104</v>
      </c>
      <c r="D30" s="103">
        <v>1357</v>
      </c>
      <c r="E30" s="102">
        <v>7.5999999999999998E-2</v>
      </c>
      <c r="F30" s="103">
        <v>176755</v>
      </c>
      <c r="G30" s="102">
        <v>6.4000000000000001E-2</v>
      </c>
      <c r="H30" s="102">
        <v>0.114</v>
      </c>
      <c r="I30" s="103">
        <v>166182520</v>
      </c>
      <c r="J30" s="101" t="s">
        <v>8754</v>
      </c>
      <c r="K30" s="103">
        <v>20211</v>
      </c>
      <c r="L30" s="101" t="s">
        <v>8755</v>
      </c>
      <c r="M30" s="103">
        <v>26886524370</v>
      </c>
      <c r="N30" s="103">
        <v>3171274</v>
      </c>
      <c r="O30" s="101">
        <v>3</v>
      </c>
    </row>
    <row r="31" spans="1:15" ht="27" x14ac:dyDescent="0.3">
      <c r="A31" s="100">
        <v>43662</v>
      </c>
      <c r="B31" s="101">
        <v>615</v>
      </c>
      <c r="C31" s="102">
        <v>0.104</v>
      </c>
      <c r="D31" s="103">
        <v>1383</v>
      </c>
      <c r="E31" s="102">
        <v>7.6999999999999999E-2</v>
      </c>
      <c r="F31" s="103">
        <v>181093</v>
      </c>
      <c r="G31" s="102">
        <v>6.5000000000000002E-2</v>
      </c>
      <c r="H31" s="102">
        <v>0.11799999999999999</v>
      </c>
      <c r="I31" s="103">
        <v>170445110</v>
      </c>
      <c r="J31" s="101" t="s">
        <v>8756</v>
      </c>
      <c r="K31" s="103">
        <v>21379</v>
      </c>
      <c r="L31" s="101" t="s">
        <v>8757</v>
      </c>
      <c r="M31" s="103">
        <v>27056969480</v>
      </c>
      <c r="N31" s="103">
        <v>3192653</v>
      </c>
      <c r="O31" s="101">
        <v>3</v>
      </c>
    </row>
    <row r="32" spans="1:15" ht="27" x14ac:dyDescent="0.3">
      <c r="A32" s="100">
        <v>43663</v>
      </c>
      <c r="B32" s="101">
        <v>325</v>
      </c>
      <c r="C32" s="102">
        <v>5.7000000000000002E-2</v>
      </c>
      <c r="D32" s="101">
        <v>542</v>
      </c>
      <c r="E32" s="102">
        <v>2.8000000000000001E-2</v>
      </c>
      <c r="F32" s="103">
        <v>67573</v>
      </c>
      <c r="G32" s="102">
        <v>2.3E-2</v>
      </c>
      <c r="H32" s="102">
        <v>0.14899999999999999</v>
      </c>
      <c r="I32" s="103">
        <v>78475700</v>
      </c>
      <c r="J32" s="101" t="s">
        <v>8758</v>
      </c>
      <c r="K32" s="103">
        <v>10041</v>
      </c>
      <c r="L32" s="101" t="s">
        <v>8759</v>
      </c>
      <c r="M32" s="103">
        <v>27135445180</v>
      </c>
      <c r="N32" s="103">
        <v>3202694</v>
      </c>
      <c r="O32" s="101">
        <v>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5F1A-A511-4358-A822-36149EE628E6}">
  <dimension ref="A1"/>
  <sheetViews>
    <sheetView workbookViewId="0">
      <selection activeCell="C16" sqref="C16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C89D4-C81B-4181-A090-BE22C6A7C85F}">
  <dimension ref="A1:O28"/>
  <sheetViews>
    <sheetView workbookViewId="0">
      <selection activeCell="A5" sqref="A5:O5"/>
    </sheetView>
  </sheetViews>
  <sheetFormatPr defaultRowHeight="16.5" x14ac:dyDescent="0.3"/>
  <sheetData>
    <row r="1" spans="1:15" ht="19.5" x14ac:dyDescent="0.3">
      <c r="A1" s="197" t="s">
        <v>8760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11" t="s">
        <v>111</v>
      </c>
      <c r="B4" s="106" t="s">
        <v>112</v>
      </c>
      <c r="C4" s="106" t="s">
        <v>113</v>
      </c>
      <c r="D4" s="106" t="s">
        <v>114</v>
      </c>
      <c r="E4" s="106" t="s">
        <v>115</v>
      </c>
      <c r="F4" s="106" t="s">
        <v>116</v>
      </c>
      <c r="G4" s="106" t="s">
        <v>117</v>
      </c>
      <c r="H4" s="106" t="s">
        <v>118</v>
      </c>
      <c r="I4" s="106" t="s">
        <v>119</v>
      </c>
      <c r="J4" s="106" t="s">
        <v>120</v>
      </c>
      <c r="K4" s="106" t="s">
        <v>121</v>
      </c>
      <c r="L4" s="106" t="s">
        <v>122</v>
      </c>
      <c r="M4" s="106" t="s">
        <v>123</v>
      </c>
      <c r="N4" s="106" t="s">
        <v>124</v>
      </c>
      <c r="O4" s="112" t="s">
        <v>125</v>
      </c>
    </row>
    <row r="5" spans="1:15" ht="40.5" x14ac:dyDescent="0.3">
      <c r="A5" s="107">
        <v>43621</v>
      </c>
      <c r="B5" s="108">
        <v>990</v>
      </c>
      <c r="C5" s="109">
        <v>0.17299999999999999</v>
      </c>
      <c r="D5" s="110">
        <v>3500</v>
      </c>
      <c r="E5" s="109">
        <v>0.193</v>
      </c>
      <c r="F5" s="110">
        <v>578499</v>
      </c>
      <c r="G5" s="109">
        <v>0.20399999999999999</v>
      </c>
      <c r="H5" s="109">
        <v>0.21199999999999999</v>
      </c>
      <c r="I5" s="110">
        <v>1063362560</v>
      </c>
      <c r="J5" s="108" t="s">
        <v>8761</v>
      </c>
      <c r="K5" s="110">
        <v>122543</v>
      </c>
      <c r="L5" s="108" t="s">
        <v>8762</v>
      </c>
      <c r="M5" s="110">
        <v>1068816560</v>
      </c>
      <c r="N5" s="110">
        <v>122846</v>
      </c>
      <c r="O5" s="108">
        <v>2</v>
      </c>
    </row>
    <row r="6" spans="1:15" ht="40.5" x14ac:dyDescent="0.3">
      <c r="A6" s="107">
        <v>43622</v>
      </c>
      <c r="B6" s="108">
        <v>928</v>
      </c>
      <c r="C6" s="109">
        <v>0.157</v>
      </c>
      <c r="D6" s="110">
        <v>4161</v>
      </c>
      <c r="E6" s="109">
        <v>0.214</v>
      </c>
      <c r="F6" s="110">
        <v>701673</v>
      </c>
      <c r="G6" s="109">
        <v>0.23300000000000001</v>
      </c>
      <c r="H6" s="109">
        <v>0.35099999999999998</v>
      </c>
      <c r="I6" s="110">
        <v>2200155450</v>
      </c>
      <c r="J6" s="108" t="s">
        <v>8763</v>
      </c>
      <c r="K6" s="110">
        <v>246260</v>
      </c>
      <c r="L6" s="108" t="s">
        <v>8764</v>
      </c>
      <c r="M6" s="110">
        <v>3268972010</v>
      </c>
      <c r="N6" s="110">
        <v>369106</v>
      </c>
      <c r="O6" s="108">
        <v>3</v>
      </c>
    </row>
    <row r="7" spans="1:15" ht="54" x14ac:dyDescent="0.3">
      <c r="A7" s="107">
        <v>43623</v>
      </c>
      <c r="B7" s="108">
        <v>868</v>
      </c>
      <c r="C7" s="109">
        <v>0.14699999999999999</v>
      </c>
      <c r="D7" s="110">
        <v>3740</v>
      </c>
      <c r="E7" s="109">
        <v>0.19400000000000001</v>
      </c>
      <c r="F7" s="110">
        <v>633686</v>
      </c>
      <c r="G7" s="109">
        <v>0.21199999999999999</v>
      </c>
      <c r="H7" s="109">
        <v>0.186</v>
      </c>
      <c r="I7" s="110">
        <v>1049883410</v>
      </c>
      <c r="J7" s="108" t="s">
        <v>8765</v>
      </c>
      <c r="K7" s="110">
        <v>117838</v>
      </c>
      <c r="L7" s="108" t="s">
        <v>8766</v>
      </c>
      <c r="M7" s="110">
        <v>4318855420</v>
      </c>
      <c r="N7" s="110">
        <v>486944</v>
      </c>
      <c r="O7" s="108">
        <v>3</v>
      </c>
    </row>
    <row r="8" spans="1:15" ht="27" x14ac:dyDescent="0.3">
      <c r="A8" s="107">
        <v>43624</v>
      </c>
      <c r="B8" s="108">
        <v>807</v>
      </c>
      <c r="C8" s="109">
        <v>0.13500000000000001</v>
      </c>
      <c r="D8" s="110">
        <v>3132</v>
      </c>
      <c r="E8" s="109">
        <v>0.16</v>
      </c>
      <c r="F8" s="110">
        <v>517651</v>
      </c>
      <c r="G8" s="109">
        <v>0.17</v>
      </c>
      <c r="H8" s="109">
        <v>0.27</v>
      </c>
      <c r="I8" s="110">
        <v>1291304670</v>
      </c>
      <c r="J8" s="108" t="s">
        <v>8767</v>
      </c>
      <c r="K8" s="110">
        <v>139931</v>
      </c>
      <c r="L8" s="108" t="s">
        <v>8768</v>
      </c>
      <c r="M8" s="110">
        <v>5610160090</v>
      </c>
      <c r="N8" s="110">
        <v>626875</v>
      </c>
      <c r="O8" s="108">
        <v>3</v>
      </c>
    </row>
    <row r="9" spans="1:15" ht="40.5" x14ac:dyDescent="0.3">
      <c r="A9" s="107">
        <v>43625</v>
      </c>
      <c r="B9" s="108">
        <v>786</v>
      </c>
      <c r="C9" s="109">
        <v>0.13300000000000001</v>
      </c>
      <c r="D9" s="110">
        <v>2930</v>
      </c>
      <c r="E9" s="109">
        <v>0.154</v>
      </c>
      <c r="F9" s="110">
        <v>472793</v>
      </c>
      <c r="G9" s="109">
        <v>0.16</v>
      </c>
      <c r="H9" s="109">
        <v>0.23300000000000001</v>
      </c>
      <c r="I9" s="110">
        <v>994536770</v>
      </c>
      <c r="J9" s="108" t="s">
        <v>8769</v>
      </c>
      <c r="K9" s="110">
        <v>110193</v>
      </c>
      <c r="L9" s="108" t="s">
        <v>8770</v>
      </c>
      <c r="M9" s="110">
        <v>6604696860</v>
      </c>
      <c r="N9" s="110">
        <v>737068</v>
      </c>
      <c r="O9" s="108">
        <v>3</v>
      </c>
    </row>
    <row r="10" spans="1:15" ht="40.5" x14ac:dyDescent="0.3">
      <c r="A10" s="107">
        <v>43626</v>
      </c>
      <c r="B10" s="108">
        <v>704</v>
      </c>
      <c r="C10" s="109">
        <v>0.13800000000000001</v>
      </c>
      <c r="D10" s="110">
        <v>2764</v>
      </c>
      <c r="E10" s="109">
        <v>0.159</v>
      </c>
      <c r="F10" s="110">
        <v>409432</v>
      </c>
      <c r="G10" s="109">
        <v>0.151</v>
      </c>
      <c r="H10" s="109">
        <v>7.5999999999999998E-2</v>
      </c>
      <c r="I10" s="110">
        <v>259737840</v>
      </c>
      <c r="J10" s="108" t="s">
        <v>8771</v>
      </c>
      <c r="K10" s="110">
        <v>31156</v>
      </c>
      <c r="L10" s="108" t="s">
        <v>8772</v>
      </c>
      <c r="M10" s="110">
        <v>6864434700</v>
      </c>
      <c r="N10" s="110">
        <v>768224</v>
      </c>
      <c r="O10" s="108">
        <v>3</v>
      </c>
    </row>
    <row r="11" spans="1:15" ht="27" x14ac:dyDescent="0.3">
      <c r="A11" s="107">
        <v>43627</v>
      </c>
      <c r="B11" s="108">
        <v>700</v>
      </c>
      <c r="C11" s="109">
        <v>0.13600000000000001</v>
      </c>
      <c r="D11" s="110">
        <v>2674</v>
      </c>
      <c r="E11" s="109">
        <v>0.154</v>
      </c>
      <c r="F11" s="110">
        <v>398891</v>
      </c>
      <c r="G11" s="109">
        <v>0.14799999999999999</v>
      </c>
      <c r="H11" s="109">
        <v>6.3E-2</v>
      </c>
      <c r="I11" s="110">
        <v>207006190</v>
      </c>
      <c r="J11" s="108" t="s">
        <v>8773</v>
      </c>
      <c r="K11" s="110">
        <v>24967</v>
      </c>
      <c r="L11" s="108" t="s">
        <v>8774</v>
      </c>
      <c r="M11" s="110">
        <v>7071440890</v>
      </c>
      <c r="N11" s="110">
        <v>793191</v>
      </c>
      <c r="O11" s="108">
        <v>3</v>
      </c>
    </row>
    <row r="12" spans="1:15" ht="40.5" x14ac:dyDescent="0.3">
      <c r="A12" s="107">
        <v>43628</v>
      </c>
      <c r="B12" s="108">
        <v>487</v>
      </c>
      <c r="C12" s="109">
        <v>9.7000000000000003E-2</v>
      </c>
      <c r="D12" s="110">
        <v>1235</v>
      </c>
      <c r="E12" s="109">
        <v>6.9000000000000006E-2</v>
      </c>
      <c r="F12" s="110">
        <v>149193</v>
      </c>
      <c r="G12" s="109">
        <v>5.2999999999999999E-2</v>
      </c>
      <c r="H12" s="109">
        <v>7.6999999999999999E-2</v>
      </c>
      <c r="I12" s="110">
        <v>91928980</v>
      </c>
      <c r="J12" s="108" t="s">
        <v>8775</v>
      </c>
      <c r="K12" s="110">
        <v>11453</v>
      </c>
      <c r="L12" s="108" t="s">
        <v>8776</v>
      </c>
      <c r="M12" s="110">
        <v>7163369870</v>
      </c>
      <c r="N12" s="110">
        <v>804644</v>
      </c>
      <c r="O12" s="108">
        <v>4</v>
      </c>
    </row>
    <row r="13" spans="1:15" ht="27" x14ac:dyDescent="0.3">
      <c r="A13" s="107">
        <v>43629</v>
      </c>
      <c r="B13" s="108">
        <v>435</v>
      </c>
      <c r="C13" s="109">
        <v>0.08</v>
      </c>
      <c r="D13" s="108">
        <v>937</v>
      </c>
      <c r="E13" s="109">
        <v>5.2999999999999999E-2</v>
      </c>
      <c r="F13" s="110">
        <v>113505</v>
      </c>
      <c r="G13" s="109">
        <v>4.1000000000000002E-2</v>
      </c>
      <c r="H13" s="109">
        <v>6.9000000000000006E-2</v>
      </c>
      <c r="I13" s="110">
        <v>63102040</v>
      </c>
      <c r="J13" s="108" t="s">
        <v>8777</v>
      </c>
      <c r="K13" s="110">
        <v>7833</v>
      </c>
      <c r="L13" s="108" t="s">
        <v>8778</v>
      </c>
      <c r="M13" s="110">
        <v>7226471910</v>
      </c>
      <c r="N13" s="110">
        <v>812477</v>
      </c>
      <c r="O13" s="108">
        <v>5</v>
      </c>
    </row>
    <row r="14" spans="1:15" ht="27" x14ac:dyDescent="0.3">
      <c r="A14" s="107">
        <v>43630</v>
      </c>
      <c r="B14" s="108">
        <v>443</v>
      </c>
      <c r="C14" s="109">
        <v>7.9000000000000001E-2</v>
      </c>
      <c r="D14" s="108">
        <v>872</v>
      </c>
      <c r="E14" s="109">
        <v>4.8000000000000001E-2</v>
      </c>
      <c r="F14" s="110">
        <v>104731</v>
      </c>
      <c r="G14" s="109">
        <v>3.6999999999999998E-2</v>
      </c>
      <c r="H14" s="109">
        <v>8.5000000000000006E-2</v>
      </c>
      <c r="I14" s="110">
        <v>75023540</v>
      </c>
      <c r="J14" s="108" t="s">
        <v>8779</v>
      </c>
      <c r="K14" s="110">
        <v>8865</v>
      </c>
      <c r="L14" s="108" t="s">
        <v>8780</v>
      </c>
      <c r="M14" s="110">
        <v>7301495450</v>
      </c>
      <c r="N14" s="110">
        <v>821342</v>
      </c>
      <c r="O14" s="108">
        <v>4</v>
      </c>
    </row>
    <row r="15" spans="1:15" ht="27" x14ac:dyDescent="0.3">
      <c r="A15" s="107">
        <v>43631</v>
      </c>
      <c r="B15" s="108">
        <v>420</v>
      </c>
      <c r="C15" s="109">
        <v>6.9000000000000006E-2</v>
      </c>
      <c r="D15" s="108">
        <v>694</v>
      </c>
      <c r="E15" s="109">
        <v>3.5999999999999997E-2</v>
      </c>
      <c r="F15" s="110">
        <v>80298</v>
      </c>
      <c r="G15" s="109">
        <v>2.7E-2</v>
      </c>
      <c r="H15" s="109">
        <v>0.155</v>
      </c>
      <c r="I15" s="110">
        <v>107948060</v>
      </c>
      <c r="J15" s="108" t="s">
        <v>8781</v>
      </c>
      <c r="K15" s="110">
        <v>12464</v>
      </c>
      <c r="L15" s="108" t="s">
        <v>8782</v>
      </c>
      <c r="M15" s="110">
        <v>7409443510</v>
      </c>
      <c r="N15" s="110">
        <v>833806</v>
      </c>
      <c r="O15" s="108">
        <v>5</v>
      </c>
    </row>
    <row r="16" spans="1:15" ht="27" x14ac:dyDescent="0.3">
      <c r="A16" s="107">
        <v>43632</v>
      </c>
      <c r="B16" s="108">
        <v>409</v>
      </c>
      <c r="C16" s="109">
        <v>6.8000000000000005E-2</v>
      </c>
      <c r="D16" s="108">
        <v>683</v>
      </c>
      <c r="E16" s="109">
        <v>3.5999999999999997E-2</v>
      </c>
      <c r="F16" s="110">
        <v>78663</v>
      </c>
      <c r="G16" s="109">
        <v>2.7E-2</v>
      </c>
      <c r="H16" s="109">
        <v>0.14199999999999999</v>
      </c>
      <c r="I16" s="110">
        <v>97254550</v>
      </c>
      <c r="J16" s="108" t="s">
        <v>8783</v>
      </c>
      <c r="K16" s="110">
        <v>11206</v>
      </c>
      <c r="L16" s="108" t="s">
        <v>8784</v>
      </c>
      <c r="M16" s="110">
        <v>7506698060</v>
      </c>
      <c r="N16" s="110">
        <v>845012</v>
      </c>
      <c r="O16" s="108">
        <v>5</v>
      </c>
    </row>
    <row r="17" spans="1:15" ht="27" x14ac:dyDescent="0.3">
      <c r="A17" s="107">
        <v>43633</v>
      </c>
      <c r="B17" s="108">
        <v>404</v>
      </c>
      <c r="C17" s="109">
        <v>7.6999999999999999E-2</v>
      </c>
      <c r="D17" s="108">
        <v>748</v>
      </c>
      <c r="E17" s="109">
        <v>4.2999999999999997E-2</v>
      </c>
      <c r="F17" s="110">
        <v>90603</v>
      </c>
      <c r="G17" s="109">
        <v>3.3000000000000002E-2</v>
      </c>
      <c r="H17" s="109">
        <v>5.8000000000000003E-2</v>
      </c>
      <c r="I17" s="110">
        <v>42126080</v>
      </c>
      <c r="J17" s="108" t="s">
        <v>8785</v>
      </c>
      <c r="K17" s="110">
        <v>5252</v>
      </c>
      <c r="L17" s="108" t="s">
        <v>8786</v>
      </c>
      <c r="M17" s="110">
        <v>7548824140</v>
      </c>
      <c r="N17" s="110">
        <v>850264</v>
      </c>
      <c r="O17" s="108">
        <v>5</v>
      </c>
    </row>
    <row r="18" spans="1:15" ht="27" x14ac:dyDescent="0.3">
      <c r="A18" s="107">
        <v>43634</v>
      </c>
      <c r="B18" s="108">
        <v>407</v>
      </c>
      <c r="C18" s="109">
        <v>7.4999999999999997E-2</v>
      </c>
      <c r="D18" s="108">
        <v>723</v>
      </c>
      <c r="E18" s="109">
        <v>4.2000000000000003E-2</v>
      </c>
      <c r="F18" s="110">
        <v>88172</v>
      </c>
      <c r="G18" s="109">
        <v>3.3000000000000002E-2</v>
      </c>
      <c r="H18" s="109">
        <v>5.7000000000000002E-2</v>
      </c>
      <c r="I18" s="110">
        <v>39721770</v>
      </c>
      <c r="J18" s="108" t="s">
        <v>8787</v>
      </c>
      <c r="K18" s="110">
        <v>5044</v>
      </c>
      <c r="L18" s="108" t="s">
        <v>8788</v>
      </c>
      <c r="M18" s="110">
        <v>7588545910</v>
      </c>
      <c r="N18" s="110">
        <v>855308</v>
      </c>
      <c r="O18" s="108">
        <v>5</v>
      </c>
    </row>
    <row r="19" spans="1:15" ht="27" x14ac:dyDescent="0.3">
      <c r="A19" s="107">
        <v>43635</v>
      </c>
      <c r="B19" s="108">
        <v>157</v>
      </c>
      <c r="C19" s="109">
        <v>3.1E-2</v>
      </c>
      <c r="D19" s="108">
        <v>246</v>
      </c>
      <c r="E19" s="109">
        <v>1.4E-2</v>
      </c>
      <c r="F19" s="110">
        <v>28883</v>
      </c>
      <c r="G19" s="109">
        <v>0.01</v>
      </c>
      <c r="H19" s="109">
        <v>7.3999999999999996E-2</v>
      </c>
      <c r="I19" s="110">
        <v>16382370</v>
      </c>
      <c r="J19" s="108" t="s">
        <v>8789</v>
      </c>
      <c r="K19" s="110">
        <v>2143</v>
      </c>
      <c r="L19" s="108" t="s">
        <v>8790</v>
      </c>
      <c r="M19" s="110">
        <v>7604928280</v>
      </c>
      <c r="N19" s="110">
        <v>857451</v>
      </c>
      <c r="O19" s="108">
        <v>7</v>
      </c>
    </row>
    <row r="20" spans="1:15" ht="27" x14ac:dyDescent="0.3">
      <c r="A20" s="107">
        <v>43636</v>
      </c>
      <c r="B20" s="108">
        <v>53</v>
      </c>
      <c r="C20" s="109">
        <v>8.9999999999999993E-3</v>
      </c>
      <c r="D20" s="108">
        <v>68</v>
      </c>
      <c r="E20" s="109">
        <v>4.0000000000000001E-3</v>
      </c>
      <c r="F20" s="110">
        <v>7834</v>
      </c>
      <c r="G20" s="109">
        <v>3.0000000000000001E-3</v>
      </c>
      <c r="H20" s="109">
        <v>0.13200000000000001</v>
      </c>
      <c r="I20" s="110">
        <v>8141360</v>
      </c>
      <c r="J20" s="108" t="s">
        <v>8791</v>
      </c>
      <c r="K20" s="110">
        <v>1032</v>
      </c>
      <c r="L20" s="108" t="s">
        <v>8792</v>
      </c>
      <c r="M20" s="110">
        <v>7613069640</v>
      </c>
      <c r="N20" s="110">
        <v>858483</v>
      </c>
      <c r="O20" s="108">
        <v>14</v>
      </c>
    </row>
    <row r="21" spans="1:15" ht="27" x14ac:dyDescent="0.3">
      <c r="A21" s="107">
        <v>43637</v>
      </c>
      <c r="B21" s="108">
        <v>47</v>
      </c>
      <c r="C21" s="109">
        <v>8.0000000000000002E-3</v>
      </c>
      <c r="D21" s="108">
        <v>64</v>
      </c>
      <c r="E21" s="109">
        <v>3.0000000000000001E-3</v>
      </c>
      <c r="F21" s="110">
        <v>7248</v>
      </c>
      <c r="G21" s="109">
        <v>2E-3</v>
      </c>
      <c r="H21" s="109">
        <v>0.11600000000000001</v>
      </c>
      <c r="I21" s="110">
        <v>7021240</v>
      </c>
      <c r="J21" s="108" t="s">
        <v>8793</v>
      </c>
      <c r="K21" s="108">
        <v>841</v>
      </c>
      <c r="L21" s="108" t="s">
        <v>8794</v>
      </c>
      <c r="M21" s="110">
        <v>7620090880</v>
      </c>
      <c r="N21" s="110">
        <v>859324</v>
      </c>
      <c r="O21" s="108">
        <v>14</v>
      </c>
    </row>
    <row r="22" spans="1:15" ht="27" x14ac:dyDescent="0.3">
      <c r="A22" s="107">
        <v>43638</v>
      </c>
      <c r="B22" s="108">
        <v>39</v>
      </c>
      <c r="C22" s="109">
        <v>6.0000000000000001E-3</v>
      </c>
      <c r="D22" s="108">
        <v>48</v>
      </c>
      <c r="E22" s="109">
        <v>2E-3</v>
      </c>
      <c r="F22" s="110">
        <v>4853</v>
      </c>
      <c r="G22" s="109">
        <v>2E-3</v>
      </c>
      <c r="H22" s="109">
        <v>0.193</v>
      </c>
      <c r="I22" s="110">
        <v>7960500</v>
      </c>
      <c r="J22" s="108" t="s">
        <v>8795</v>
      </c>
      <c r="K22" s="108">
        <v>935</v>
      </c>
      <c r="L22" s="108" t="s">
        <v>8796</v>
      </c>
      <c r="M22" s="110">
        <v>7628051380</v>
      </c>
      <c r="N22" s="110">
        <v>860259</v>
      </c>
      <c r="O22" s="108">
        <v>14</v>
      </c>
    </row>
    <row r="23" spans="1:15" ht="27" x14ac:dyDescent="0.3">
      <c r="A23" s="107">
        <v>43639</v>
      </c>
      <c r="B23" s="108">
        <v>41</v>
      </c>
      <c r="C23" s="109">
        <v>6.0000000000000001E-3</v>
      </c>
      <c r="D23" s="108">
        <v>49</v>
      </c>
      <c r="E23" s="109">
        <v>2E-3</v>
      </c>
      <c r="F23" s="110">
        <v>5252</v>
      </c>
      <c r="G23" s="109">
        <v>2E-3</v>
      </c>
      <c r="H23" s="109">
        <v>0.126</v>
      </c>
      <c r="I23" s="110">
        <v>5766100</v>
      </c>
      <c r="J23" s="108" t="s">
        <v>8797</v>
      </c>
      <c r="K23" s="108">
        <v>662</v>
      </c>
      <c r="L23" s="108" t="s">
        <v>8798</v>
      </c>
      <c r="M23" s="110">
        <v>7633817480</v>
      </c>
      <c r="N23" s="110">
        <v>860921</v>
      </c>
      <c r="O23" s="108">
        <v>16</v>
      </c>
    </row>
    <row r="24" spans="1:15" ht="27" x14ac:dyDescent="0.3">
      <c r="A24" s="107">
        <v>43640</v>
      </c>
      <c r="B24" s="108">
        <v>39</v>
      </c>
      <c r="C24" s="109">
        <v>7.0000000000000001E-3</v>
      </c>
      <c r="D24" s="108">
        <v>51</v>
      </c>
      <c r="E24" s="109">
        <v>3.0000000000000001E-3</v>
      </c>
      <c r="F24" s="110">
        <v>6272</v>
      </c>
      <c r="G24" s="109">
        <v>2E-3</v>
      </c>
      <c r="H24" s="109">
        <v>7.9000000000000001E-2</v>
      </c>
      <c r="I24" s="110">
        <v>4022140</v>
      </c>
      <c r="J24" s="108" t="s">
        <v>8799</v>
      </c>
      <c r="K24" s="108">
        <v>494</v>
      </c>
      <c r="L24" s="108" t="s">
        <v>8800</v>
      </c>
      <c r="M24" s="110">
        <v>7637839620</v>
      </c>
      <c r="N24" s="110">
        <v>861415</v>
      </c>
      <c r="O24" s="108">
        <v>17</v>
      </c>
    </row>
    <row r="25" spans="1:15" ht="27" x14ac:dyDescent="0.3">
      <c r="A25" s="107">
        <v>43641</v>
      </c>
      <c r="B25" s="108">
        <v>41</v>
      </c>
      <c r="C25" s="109">
        <v>7.0000000000000001E-3</v>
      </c>
      <c r="D25" s="108">
        <v>49</v>
      </c>
      <c r="E25" s="109">
        <v>3.0000000000000001E-3</v>
      </c>
      <c r="F25" s="110">
        <v>6221</v>
      </c>
      <c r="G25" s="109">
        <v>2E-3</v>
      </c>
      <c r="H25" s="109">
        <v>8.5999999999999993E-2</v>
      </c>
      <c r="I25" s="110">
        <v>4460020</v>
      </c>
      <c r="J25" s="108" t="s">
        <v>8801</v>
      </c>
      <c r="K25" s="108">
        <v>536</v>
      </c>
      <c r="L25" s="108" t="s">
        <v>8802</v>
      </c>
      <c r="M25" s="110">
        <v>7642299640</v>
      </c>
      <c r="N25" s="110">
        <v>861951</v>
      </c>
      <c r="O25" s="108">
        <v>23</v>
      </c>
    </row>
    <row r="26" spans="1:15" ht="27" x14ac:dyDescent="0.3">
      <c r="A26" s="107">
        <v>43642</v>
      </c>
      <c r="B26" s="108">
        <v>3</v>
      </c>
      <c r="C26" s="109">
        <v>0</v>
      </c>
      <c r="D26" s="108">
        <v>4</v>
      </c>
      <c r="E26" s="109">
        <v>0</v>
      </c>
      <c r="F26" s="108">
        <v>412</v>
      </c>
      <c r="G26" s="109">
        <v>0</v>
      </c>
      <c r="H26" s="109">
        <v>0.34200000000000003</v>
      </c>
      <c r="I26" s="110">
        <v>766000</v>
      </c>
      <c r="J26" s="108" t="s">
        <v>8803</v>
      </c>
      <c r="K26" s="108">
        <v>141</v>
      </c>
      <c r="L26" s="108" t="s">
        <v>8804</v>
      </c>
      <c r="M26" s="110">
        <v>7643065640</v>
      </c>
      <c r="N26" s="110">
        <v>862092</v>
      </c>
      <c r="O26" s="108">
        <v>35</v>
      </c>
    </row>
    <row r="27" spans="1:15" ht="27" x14ac:dyDescent="0.3">
      <c r="A27" s="107">
        <v>43655</v>
      </c>
      <c r="B27" s="108">
        <v>2</v>
      </c>
      <c r="C27" s="109">
        <v>0</v>
      </c>
      <c r="D27" s="108">
        <v>2</v>
      </c>
      <c r="E27" s="109">
        <v>0</v>
      </c>
      <c r="F27" s="108">
        <v>486</v>
      </c>
      <c r="G27" s="109">
        <v>0</v>
      </c>
      <c r="H27" s="109">
        <v>0.95899999999999996</v>
      </c>
      <c r="I27" s="110">
        <v>4194000</v>
      </c>
      <c r="J27" s="108" t="s">
        <v>8805</v>
      </c>
      <c r="K27" s="108">
        <v>466</v>
      </c>
      <c r="L27" s="108" t="s">
        <v>8806</v>
      </c>
      <c r="M27" s="110">
        <v>7647259640</v>
      </c>
      <c r="N27" s="110">
        <v>862558</v>
      </c>
      <c r="O27" s="108">
        <v>18</v>
      </c>
    </row>
    <row r="28" spans="1:15" ht="27" x14ac:dyDescent="0.3">
      <c r="A28" s="107">
        <v>43660</v>
      </c>
      <c r="B28" s="108">
        <v>1</v>
      </c>
      <c r="C28" s="109">
        <v>0</v>
      </c>
      <c r="D28" s="108">
        <v>1</v>
      </c>
      <c r="E28" s="109">
        <v>0</v>
      </c>
      <c r="F28" s="108">
        <v>75</v>
      </c>
      <c r="G28" s="109">
        <v>0</v>
      </c>
      <c r="H28" s="109">
        <v>1</v>
      </c>
      <c r="I28" s="110">
        <v>824000</v>
      </c>
      <c r="J28" s="108" t="s">
        <v>8807</v>
      </c>
      <c r="K28" s="108">
        <v>75</v>
      </c>
      <c r="L28" s="108" t="s">
        <v>2138</v>
      </c>
      <c r="M28" s="110">
        <v>7648083640</v>
      </c>
      <c r="N28" s="110">
        <v>862633</v>
      </c>
      <c r="O28" s="108">
        <v>50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A90D8-7012-48D9-BDAA-EA73902071D2}">
  <dimension ref="A1:O39"/>
  <sheetViews>
    <sheetView workbookViewId="0">
      <selection activeCell="A5" sqref="A5:O5"/>
    </sheetView>
  </sheetViews>
  <sheetFormatPr defaultRowHeight="16.5" x14ac:dyDescent="0.3"/>
  <sheetData>
    <row r="1" spans="1:15" ht="19.5" x14ac:dyDescent="0.3">
      <c r="A1" s="197" t="s">
        <v>8808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18" t="s">
        <v>111</v>
      </c>
      <c r="B4" s="113" t="s">
        <v>112</v>
      </c>
      <c r="C4" s="113" t="s">
        <v>113</v>
      </c>
      <c r="D4" s="113" t="s">
        <v>114</v>
      </c>
      <c r="E4" s="113" t="s">
        <v>115</v>
      </c>
      <c r="F4" s="113" t="s">
        <v>116</v>
      </c>
      <c r="G4" s="113" t="s">
        <v>117</v>
      </c>
      <c r="H4" s="113" t="s">
        <v>118</v>
      </c>
      <c r="I4" s="113" t="s">
        <v>119</v>
      </c>
      <c r="J4" s="113" t="s">
        <v>120</v>
      </c>
      <c r="K4" s="113" t="s">
        <v>121</v>
      </c>
      <c r="L4" s="113" t="s">
        <v>122</v>
      </c>
      <c r="M4" s="113" t="s">
        <v>123</v>
      </c>
      <c r="N4" s="113" t="s">
        <v>124</v>
      </c>
      <c r="O4" s="119" t="s">
        <v>125</v>
      </c>
    </row>
    <row r="5" spans="1:15" ht="27" x14ac:dyDescent="0.3">
      <c r="A5" s="114">
        <v>43628</v>
      </c>
      <c r="B5" s="117">
        <v>1150</v>
      </c>
      <c r="C5" s="116">
        <v>0.23</v>
      </c>
      <c r="D5" s="117">
        <v>5620</v>
      </c>
      <c r="E5" s="116">
        <v>0.314</v>
      </c>
      <c r="F5" s="117">
        <v>979907</v>
      </c>
      <c r="G5" s="116">
        <v>0.35099999999999998</v>
      </c>
      <c r="H5" s="116">
        <v>0.11799999999999999</v>
      </c>
      <c r="I5" s="117">
        <v>970897390</v>
      </c>
      <c r="J5" s="115" t="s">
        <v>8809</v>
      </c>
      <c r="K5" s="117">
        <v>115149</v>
      </c>
      <c r="L5" s="115" t="s">
        <v>8810</v>
      </c>
      <c r="M5" s="117">
        <v>1007557390</v>
      </c>
      <c r="N5" s="117">
        <v>118289</v>
      </c>
      <c r="O5" s="115">
        <v>2</v>
      </c>
    </row>
    <row r="6" spans="1:15" ht="40.5" x14ac:dyDescent="0.3">
      <c r="A6" s="114">
        <v>43629</v>
      </c>
      <c r="B6" s="117">
        <v>1081</v>
      </c>
      <c r="C6" s="116">
        <v>0.2</v>
      </c>
      <c r="D6" s="117">
        <v>5080</v>
      </c>
      <c r="E6" s="116">
        <v>0.28499999999999998</v>
      </c>
      <c r="F6" s="117">
        <v>897148</v>
      </c>
      <c r="G6" s="116">
        <v>0.32300000000000001</v>
      </c>
      <c r="H6" s="116">
        <v>8.6999999999999994E-2</v>
      </c>
      <c r="I6" s="117">
        <v>661229210</v>
      </c>
      <c r="J6" s="115" t="s">
        <v>8811</v>
      </c>
      <c r="K6" s="117">
        <v>77956</v>
      </c>
      <c r="L6" s="115" t="s">
        <v>8812</v>
      </c>
      <c r="M6" s="117">
        <v>1668786600</v>
      </c>
      <c r="N6" s="117">
        <v>196245</v>
      </c>
      <c r="O6" s="115">
        <v>3</v>
      </c>
    </row>
    <row r="7" spans="1:15" ht="27" x14ac:dyDescent="0.3">
      <c r="A7" s="114">
        <v>43630</v>
      </c>
      <c r="B7" s="117">
        <v>1055</v>
      </c>
      <c r="C7" s="116">
        <v>0.189</v>
      </c>
      <c r="D7" s="117">
        <v>4847</v>
      </c>
      <c r="E7" s="116">
        <v>0.26500000000000001</v>
      </c>
      <c r="F7" s="117">
        <v>844432</v>
      </c>
      <c r="G7" s="116">
        <v>0.29599999999999999</v>
      </c>
      <c r="H7" s="116">
        <v>0.12</v>
      </c>
      <c r="I7" s="117">
        <v>934647590</v>
      </c>
      <c r="J7" s="115" t="s">
        <v>8813</v>
      </c>
      <c r="K7" s="117">
        <v>101672</v>
      </c>
      <c r="L7" s="115" t="s">
        <v>8814</v>
      </c>
      <c r="M7" s="117">
        <v>2603434190</v>
      </c>
      <c r="N7" s="117">
        <v>297917</v>
      </c>
      <c r="O7" s="115">
        <v>3</v>
      </c>
    </row>
    <row r="8" spans="1:15" ht="27" x14ac:dyDescent="0.3">
      <c r="A8" s="114">
        <v>43631</v>
      </c>
      <c r="B8" s="117">
        <v>1008</v>
      </c>
      <c r="C8" s="116">
        <v>0.16600000000000001</v>
      </c>
      <c r="D8" s="117">
        <v>4283</v>
      </c>
      <c r="E8" s="116">
        <v>0.22500000000000001</v>
      </c>
      <c r="F8" s="117">
        <v>688743</v>
      </c>
      <c r="G8" s="116">
        <v>0.23499999999999999</v>
      </c>
      <c r="H8" s="116">
        <v>0.27400000000000002</v>
      </c>
      <c r="I8" s="117">
        <v>1712100860</v>
      </c>
      <c r="J8" s="115" t="s">
        <v>8815</v>
      </c>
      <c r="K8" s="117">
        <v>188674</v>
      </c>
      <c r="L8" s="115" t="s">
        <v>8816</v>
      </c>
      <c r="M8" s="117">
        <v>4315535050</v>
      </c>
      <c r="N8" s="117">
        <v>486591</v>
      </c>
      <c r="O8" s="115">
        <v>3</v>
      </c>
    </row>
    <row r="9" spans="1:15" ht="40.5" x14ac:dyDescent="0.3">
      <c r="A9" s="114">
        <v>43632</v>
      </c>
      <c r="B9" s="115">
        <v>969</v>
      </c>
      <c r="C9" s="116">
        <v>0.161</v>
      </c>
      <c r="D9" s="117">
        <v>4101</v>
      </c>
      <c r="E9" s="116">
        <v>0.219</v>
      </c>
      <c r="F9" s="117">
        <v>654914</v>
      </c>
      <c r="G9" s="116">
        <v>0.22600000000000001</v>
      </c>
      <c r="H9" s="116">
        <v>0.23100000000000001</v>
      </c>
      <c r="I9" s="117">
        <v>1371969960</v>
      </c>
      <c r="J9" s="115" t="s">
        <v>8817</v>
      </c>
      <c r="K9" s="117">
        <v>151156</v>
      </c>
      <c r="L9" s="115" t="s">
        <v>8818</v>
      </c>
      <c r="M9" s="117">
        <v>5687505010</v>
      </c>
      <c r="N9" s="117">
        <v>637747</v>
      </c>
      <c r="O9" s="115">
        <v>3</v>
      </c>
    </row>
    <row r="10" spans="1:15" ht="54" x14ac:dyDescent="0.3">
      <c r="A10" s="114">
        <v>43633</v>
      </c>
      <c r="B10" s="115">
        <v>894</v>
      </c>
      <c r="C10" s="116">
        <v>0.17</v>
      </c>
      <c r="D10" s="117">
        <v>3887</v>
      </c>
      <c r="E10" s="116">
        <v>0.224</v>
      </c>
      <c r="F10" s="117">
        <v>621374</v>
      </c>
      <c r="G10" s="116">
        <v>0.23</v>
      </c>
      <c r="H10" s="116">
        <v>6.9000000000000006E-2</v>
      </c>
      <c r="I10" s="117">
        <v>356415330</v>
      </c>
      <c r="J10" s="115" t="s">
        <v>8819</v>
      </c>
      <c r="K10" s="117">
        <v>42644</v>
      </c>
      <c r="L10" s="115" t="s">
        <v>8820</v>
      </c>
      <c r="M10" s="117">
        <v>6043920340</v>
      </c>
      <c r="N10" s="117">
        <v>680391</v>
      </c>
      <c r="O10" s="115">
        <v>3</v>
      </c>
    </row>
    <row r="11" spans="1:15" ht="27" x14ac:dyDescent="0.3">
      <c r="A11" s="114">
        <v>43634</v>
      </c>
      <c r="B11" s="115">
        <v>921</v>
      </c>
      <c r="C11" s="116">
        <v>0.16900000000000001</v>
      </c>
      <c r="D11" s="117">
        <v>3745</v>
      </c>
      <c r="E11" s="116">
        <v>0.216</v>
      </c>
      <c r="F11" s="117">
        <v>597012</v>
      </c>
      <c r="G11" s="116">
        <v>0.221</v>
      </c>
      <c r="H11" s="116">
        <v>6.6000000000000003E-2</v>
      </c>
      <c r="I11" s="117">
        <v>330596060</v>
      </c>
      <c r="J11" s="115" t="s">
        <v>8821</v>
      </c>
      <c r="K11" s="117">
        <v>39523</v>
      </c>
      <c r="L11" s="115" t="s">
        <v>8822</v>
      </c>
      <c r="M11" s="117">
        <v>6374516400</v>
      </c>
      <c r="N11" s="117">
        <v>719914</v>
      </c>
      <c r="O11" s="115">
        <v>3</v>
      </c>
    </row>
    <row r="12" spans="1:15" ht="40.5" x14ac:dyDescent="0.3">
      <c r="A12" s="114">
        <v>43635</v>
      </c>
      <c r="B12" s="115">
        <v>671</v>
      </c>
      <c r="C12" s="116">
        <v>0.13200000000000001</v>
      </c>
      <c r="D12" s="117">
        <v>2371</v>
      </c>
      <c r="E12" s="116">
        <v>0.13300000000000001</v>
      </c>
      <c r="F12" s="117">
        <v>341099</v>
      </c>
      <c r="G12" s="116">
        <v>0.124</v>
      </c>
      <c r="H12" s="116">
        <v>7.5999999999999998E-2</v>
      </c>
      <c r="I12" s="117">
        <v>214646530</v>
      </c>
      <c r="J12" s="115" t="s">
        <v>8823</v>
      </c>
      <c r="K12" s="117">
        <v>26084</v>
      </c>
      <c r="L12" s="115" t="s">
        <v>8824</v>
      </c>
      <c r="M12" s="117">
        <v>6589162930</v>
      </c>
      <c r="N12" s="117">
        <v>745998</v>
      </c>
      <c r="O12" s="115">
        <v>4</v>
      </c>
    </row>
    <row r="13" spans="1:15" ht="27" x14ac:dyDescent="0.3">
      <c r="A13" s="114">
        <v>43636</v>
      </c>
      <c r="B13" s="115">
        <v>500</v>
      </c>
      <c r="C13" s="116">
        <v>8.7999999999999995E-2</v>
      </c>
      <c r="D13" s="117">
        <v>1277</v>
      </c>
      <c r="E13" s="116">
        <v>6.8000000000000005E-2</v>
      </c>
      <c r="F13" s="117">
        <v>168289</v>
      </c>
      <c r="G13" s="116">
        <v>5.7000000000000002E-2</v>
      </c>
      <c r="H13" s="116">
        <v>0.09</v>
      </c>
      <c r="I13" s="117">
        <v>120211230</v>
      </c>
      <c r="J13" s="115" t="s">
        <v>8825</v>
      </c>
      <c r="K13" s="117">
        <v>15117</v>
      </c>
      <c r="L13" s="115" t="s">
        <v>8826</v>
      </c>
      <c r="M13" s="117">
        <v>6709374160</v>
      </c>
      <c r="N13" s="117">
        <v>761115</v>
      </c>
      <c r="O13" s="115">
        <v>5</v>
      </c>
    </row>
    <row r="14" spans="1:15" ht="27" x14ac:dyDescent="0.3">
      <c r="A14" s="114">
        <v>43637</v>
      </c>
      <c r="B14" s="115">
        <v>497</v>
      </c>
      <c r="C14" s="116">
        <v>8.5999999999999993E-2</v>
      </c>
      <c r="D14" s="117">
        <v>1168</v>
      </c>
      <c r="E14" s="116">
        <v>6.0999999999999999E-2</v>
      </c>
      <c r="F14" s="117">
        <v>149745</v>
      </c>
      <c r="G14" s="116">
        <v>0.05</v>
      </c>
      <c r="H14" s="116">
        <v>0.112</v>
      </c>
      <c r="I14" s="117">
        <v>146269210</v>
      </c>
      <c r="J14" s="115" t="s">
        <v>8827</v>
      </c>
      <c r="K14" s="117">
        <v>16809</v>
      </c>
      <c r="L14" s="115" t="s">
        <v>8828</v>
      </c>
      <c r="M14" s="117">
        <v>6855643370</v>
      </c>
      <c r="N14" s="117">
        <v>777924</v>
      </c>
      <c r="O14" s="115">
        <v>5</v>
      </c>
    </row>
    <row r="15" spans="1:15" ht="27" x14ac:dyDescent="0.3">
      <c r="A15" s="114">
        <v>43638</v>
      </c>
      <c r="B15" s="115">
        <v>417</v>
      </c>
      <c r="C15" s="116">
        <v>6.5000000000000002E-2</v>
      </c>
      <c r="D15" s="115">
        <v>764</v>
      </c>
      <c r="E15" s="116">
        <v>3.7999999999999999E-2</v>
      </c>
      <c r="F15" s="117">
        <v>95805</v>
      </c>
      <c r="G15" s="116">
        <v>3.1E-2</v>
      </c>
      <c r="H15" s="116">
        <v>0.22600000000000001</v>
      </c>
      <c r="I15" s="117">
        <v>190860720</v>
      </c>
      <c r="J15" s="115" t="s">
        <v>8829</v>
      </c>
      <c r="K15" s="117">
        <v>21699</v>
      </c>
      <c r="L15" s="115" t="s">
        <v>8830</v>
      </c>
      <c r="M15" s="117">
        <v>7046504090</v>
      </c>
      <c r="N15" s="117">
        <v>799623</v>
      </c>
      <c r="O15" s="115">
        <v>6</v>
      </c>
    </row>
    <row r="16" spans="1:15" ht="27" x14ac:dyDescent="0.3">
      <c r="A16" s="114">
        <v>43639</v>
      </c>
      <c r="B16" s="115">
        <v>381</v>
      </c>
      <c r="C16" s="116">
        <v>5.8999999999999997E-2</v>
      </c>
      <c r="D16" s="115">
        <v>686</v>
      </c>
      <c r="E16" s="116">
        <v>3.5000000000000003E-2</v>
      </c>
      <c r="F16" s="117">
        <v>83386</v>
      </c>
      <c r="G16" s="116">
        <v>2.7E-2</v>
      </c>
      <c r="H16" s="116">
        <v>0.20100000000000001</v>
      </c>
      <c r="I16" s="117">
        <v>147236120</v>
      </c>
      <c r="J16" s="115" t="s">
        <v>8831</v>
      </c>
      <c r="K16" s="117">
        <v>16763</v>
      </c>
      <c r="L16" s="115" t="s">
        <v>8832</v>
      </c>
      <c r="M16" s="117">
        <v>7193740210</v>
      </c>
      <c r="N16" s="117">
        <v>816386</v>
      </c>
      <c r="O16" s="115">
        <v>7</v>
      </c>
    </row>
    <row r="17" spans="1:15" ht="27" x14ac:dyDescent="0.3">
      <c r="A17" s="114">
        <v>43640</v>
      </c>
      <c r="B17" s="115">
        <v>417</v>
      </c>
      <c r="C17" s="116">
        <v>7.5999999999999998E-2</v>
      </c>
      <c r="D17" s="115">
        <v>822</v>
      </c>
      <c r="E17" s="116">
        <v>4.4999999999999998E-2</v>
      </c>
      <c r="F17" s="117">
        <v>106843</v>
      </c>
      <c r="G17" s="116">
        <v>3.6999999999999998E-2</v>
      </c>
      <c r="H17" s="116">
        <v>6.4000000000000001E-2</v>
      </c>
      <c r="I17" s="117">
        <v>56383770</v>
      </c>
      <c r="J17" s="115" t="s">
        <v>8833</v>
      </c>
      <c r="K17" s="117">
        <v>6866</v>
      </c>
      <c r="L17" s="115" t="s">
        <v>8834</v>
      </c>
      <c r="M17" s="117">
        <v>7250123980</v>
      </c>
      <c r="N17" s="117">
        <v>823252</v>
      </c>
      <c r="O17" s="115">
        <v>5</v>
      </c>
    </row>
    <row r="18" spans="1:15" ht="27" x14ac:dyDescent="0.3">
      <c r="A18" s="114">
        <v>43641</v>
      </c>
      <c r="B18" s="115">
        <v>410</v>
      </c>
      <c r="C18" s="116">
        <v>7.2999999999999995E-2</v>
      </c>
      <c r="D18" s="115">
        <v>804</v>
      </c>
      <c r="E18" s="116">
        <v>4.3999999999999997E-2</v>
      </c>
      <c r="F18" s="117">
        <v>105100</v>
      </c>
      <c r="G18" s="116">
        <v>3.6999999999999998E-2</v>
      </c>
      <c r="H18" s="116">
        <v>6.0999999999999999E-2</v>
      </c>
      <c r="I18" s="117">
        <v>51273840</v>
      </c>
      <c r="J18" s="115" t="s">
        <v>8835</v>
      </c>
      <c r="K18" s="117">
        <v>6382</v>
      </c>
      <c r="L18" s="115" t="s">
        <v>8836</v>
      </c>
      <c r="M18" s="117">
        <v>7301397820</v>
      </c>
      <c r="N18" s="117">
        <v>829634</v>
      </c>
      <c r="O18" s="115">
        <v>5</v>
      </c>
    </row>
    <row r="19" spans="1:15" ht="27" x14ac:dyDescent="0.3">
      <c r="A19" s="114">
        <v>43642</v>
      </c>
      <c r="B19" s="115">
        <v>96</v>
      </c>
      <c r="C19" s="116">
        <v>1.4999999999999999E-2</v>
      </c>
      <c r="D19" s="115">
        <v>106</v>
      </c>
      <c r="E19" s="116">
        <v>6.0000000000000001E-3</v>
      </c>
      <c r="F19" s="117">
        <v>14410</v>
      </c>
      <c r="G19" s="116">
        <v>5.0000000000000001E-3</v>
      </c>
      <c r="H19" s="116">
        <v>0.309</v>
      </c>
      <c r="I19" s="117">
        <v>24137300</v>
      </c>
      <c r="J19" s="115" t="s">
        <v>8837</v>
      </c>
      <c r="K19" s="117">
        <v>4459</v>
      </c>
      <c r="L19" s="115" t="s">
        <v>8838</v>
      </c>
      <c r="M19" s="117">
        <v>7325535120</v>
      </c>
      <c r="N19" s="117">
        <v>834093</v>
      </c>
      <c r="O19" s="115">
        <v>10</v>
      </c>
    </row>
    <row r="20" spans="1:15" ht="27" x14ac:dyDescent="0.3">
      <c r="A20" s="114">
        <v>43643</v>
      </c>
      <c r="B20" s="115">
        <v>65</v>
      </c>
      <c r="C20" s="116">
        <v>1.0999999999999999E-2</v>
      </c>
      <c r="D20" s="115">
        <v>73</v>
      </c>
      <c r="E20" s="116">
        <v>4.0000000000000001E-3</v>
      </c>
      <c r="F20" s="117">
        <v>9845</v>
      </c>
      <c r="G20" s="116">
        <v>3.0000000000000001E-3</v>
      </c>
      <c r="H20" s="116">
        <v>0.08</v>
      </c>
      <c r="I20" s="117">
        <v>6271200</v>
      </c>
      <c r="J20" s="115" t="s">
        <v>8839</v>
      </c>
      <c r="K20" s="115">
        <v>791</v>
      </c>
      <c r="L20" s="115" t="s">
        <v>8840</v>
      </c>
      <c r="M20" s="117">
        <v>7331806320</v>
      </c>
      <c r="N20" s="117">
        <v>834884</v>
      </c>
      <c r="O20" s="115">
        <v>18</v>
      </c>
    </row>
    <row r="21" spans="1:15" ht="27" x14ac:dyDescent="0.3">
      <c r="A21" s="114">
        <v>43644</v>
      </c>
      <c r="B21" s="115">
        <v>66</v>
      </c>
      <c r="C21" s="116">
        <v>1.0999999999999999E-2</v>
      </c>
      <c r="D21" s="115">
        <v>72</v>
      </c>
      <c r="E21" s="116">
        <v>4.0000000000000001E-3</v>
      </c>
      <c r="F21" s="117">
        <v>10365</v>
      </c>
      <c r="G21" s="116">
        <v>4.0000000000000001E-3</v>
      </c>
      <c r="H21" s="116">
        <v>6.3E-2</v>
      </c>
      <c r="I21" s="117">
        <v>5608800</v>
      </c>
      <c r="J21" s="115" t="s">
        <v>8841</v>
      </c>
      <c r="K21" s="115">
        <v>656</v>
      </c>
      <c r="L21" s="115" t="s">
        <v>8842</v>
      </c>
      <c r="M21" s="117">
        <v>7337415120</v>
      </c>
      <c r="N21" s="117">
        <v>835540</v>
      </c>
      <c r="O21" s="115">
        <v>18</v>
      </c>
    </row>
    <row r="22" spans="1:15" ht="27" x14ac:dyDescent="0.3">
      <c r="A22" s="114">
        <v>43645</v>
      </c>
      <c r="B22" s="115">
        <v>95</v>
      </c>
      <c r="C22" s="116">
        <v>1.4E-2</v>
      </c>
      <c r="D22" s="115">
        <v>110</v>
      </c>
      <c r="E22" s="116">
        <v>6.0000000000000001E-3</v>
      </c>
      <c r="F22" s="117">
        <v>14335</v>
      </c>
      <c r="G22" s="116">
        <v>5.0000000000000001E-3</v>
      </c>
      <c r="H22" s="116">
        <v>0.39700000000000002</v>
      </c>
      <c r="I22" s="117">
        <v>45842800</v>
      </c>
      <c r="J22" s="115" t="s">
        <v>8843</v>
      </c>
      <c r="K22" s="117">
        <v>5688</v>
      </c>
      <c r="L22" s="115" t="s">
        <v>8844</v>
      </c>
      <c r="M22" s="117">
        <v>7383257920</v>
      </c>
      <c r="N22" s="117">
        <v>841228</v>
      </c>
      <c r="O22" s="115">
        <v>10</v>
      </c>
    </row>
    <row r="23" spans="1:15" ht="27" x14ac:dyDescent="0.3">
      <c r="A23" s="114">
        <v>43646</v>
      </c>
      <c r="B23" s="115">
        <v>72</v>
      </c>
      <c r="C23" s="116">
        <v>1.0999999999999999E-2</v>
      </c>
      <c r="D23" s="115">
        <v>86</v>
      </c>
      <c r="E23" s="116">
        <v>4.0000000000000001E-3</v>
      </c>
      <c r="F23" s="117">
        <v>10418</v>
      </c>
      <c r="G23" s="116">
        <v>3.0000000000000001E-3</v>
      </c>
      <c r="H23" s="116">
        <v>0.23200000000000001</v>
      </c>
      <c r="I23" s="117">
        <v>22544800</v>
      </c>
      <c r="J23" s="115" t="s">
        <v>8845</v>
      </c>
      <c r="K23" s="117">
        <v>2421</v>
      </c>
      <c r="L23" s="115" t="s">
        <v>8846</v>
      </c>
      <c r="M23" s="117">
        <v>7405802720</v>
      </c>
      <c r="N23" s="117">
        <v>843649</v>
      </c>
      <c r="O23" s="115">
        <v>13</v>
      </c>
    </row>
    <row r="24" spans="1:15" ht="27" x14ac:dyDescent="0.3">
      <c r="A24" s="114">
        <v>43647</v>
      </c>
      <c r="B24" s="115">
        <v>59</v>
      </c>
      <c r="C24" s="116">
        <v>8.9999999999999993E-3</v>
      </c>
      <c r="D24" s="115">
        <v>69</v>
      </c>
      <c r="E24" s="116">
        <v>4.0000000000000001E-3</v>
      </c>
      <c r="F24" s="117">
        <v>9735</v>
      </c>
      <c r="G24" s="116">
        <v>3.0000000000000001E-3</v>
      </c>
      <c r="H24" s="116">
        <v>4.9000000000000002E-2</v>
      </c>
      <c r="I24" s="117">
        <v>3931600</v>
      </c>
      <c r="J24" s="115" t="s">
        <v>8847</v>
      </c>
      <c r="K24" s="115">
        <v>481</v>
      </c>
      <c r="L24" s="115" t="s">
        <v>8848</v>
      </c>
      <c r="M24" s="117">
        <v>7409734320</v>
      </c>
      <c r="N24" s="117">
        <v>844130</v>
      </c>
      <c r="O24" s="115">
        <v>18</v>
      </c>
    </row>
    <row r="25" spans="1:15" ht="27" x14ac:dyDescent="0.3">
      <c r="A25" s="114">
        <v>43648</v>
      </c>
      <c r="B25" s="115">
        <v>37</v>
      </c>
      <c r="C25" s="116">
        <v>6.0000000000000001E-3</v>
      </c>
      <c r="D25" s="115">
        <v>39</v>
      </c>
      <c r="E25" s="116">
        <v>2E-3</v>
      </c>
      <c r="F25" s="117">
        <v>5339</v>
      </c>
      <c r="G25" s="116">
        <v>2E-3</v>
      </c>
      <c r="H25" s="116">
        <v>3.5999999999999997E-2</v>
      </c>
      <c r="I25" s="117">
        <v>1542550</v>
      </c>
      <c r="J25" s="115" t="s">
        <v>8849</v>
      </c>
      <c r="K25" s="115">
        <v>190</v>
      </c>
      <c r="L25" s="115" t="s">
        <v>8850</v>
      </c>
      <c r="M25" s="117">
        <v>7411276870</v>
      </c>
      <c r="N25" s="117">
        <v>844320</v>
      </c>
      <c r="O25" s="115">
        <v>28</v>
      </c>
    </row>
    <row r="26" spans="1:15" ht="27" x14ac:dyDescent="0.3">
      <c r="A26" s="114">
        <v>43649</v>
      </c>
      <c r="B26" s="115">
        <v>54</v>
      </c>
      <c r="C26" s="116">
        <v>0.01</v>
      </c>
      <c r="D26" s="115">
        <v>57</v>
      </c>
      <c r="E26" s="116">
        <v>3.0000000000000001E-3</v>
      </c>
      <c r="F26" s="117">
        <v>7515</v>
      </c>
      <c r="G26" s="116">
        <v>3.0000000000000001E-3</v>
      </c>
      <c r="H26" s="116">
        <v>5.1999999999999998E-2</v>
      </c>
      <c r="I26" s="117">
        <v>2952700</v>
      </c>
      <c r="J26" s="115" t="s">
        <v>8851</v>
      </c>
      <c r="K26" s="115">
        <v>394</v>
      </c>
      <c r="L26" s="115" t="s">
        <v>8852</v>
      </c>
      <c r="M26" s="117">
        <v>7414229570</v>
      </c>
      <c r="N26" s="117">
        <v>844714</v>
      </c>
      <c r="O26" s="115">
        <v>17</v>
      </c>
    </row>
    <row r="27" spans="1:15" ht="27" x14ac:dyDescent="0.3">
      <c r="A27" s="114">
        <v>43650</v>
      </c>
      <c r="B27" s="115">
        <v>62</v>
      </c>
      <c r="C27" s="116">
        <v>1.0999999999999999E-2</v>
      </c>
      <c r="D27" s="115">
        <v>66</v>
      </c>
      <c r="E27" s="116">
        <v>4.0000000000000001E-3</v>
      </c>
      <c r="F27" s="117">
        <v>9495</v>
      </c>
      <c r="G27" s="116">
        <v>3.0000000000000001E-3</v>
      </c>
      <c r="H27" s="116">
        <v>0.24399999999999999</v>
      </c>
      <c r="I27" s="117">
        <v>12582900</v>
      </c>
      <c r="J27" s="115" t="s">
        <v>8853</v>
      </c>
      <c r="K27" s="117">
        <v>2319</v>
      </c>
      <c r="L27" s="115" t="s">
        <v>8854</v>
      </c>
      <c r="M27" s="117">
        <v>7426812470</v>
      </c>
      <c r="N27" s="117">
        <v>847033</v>
      </c>
      <c r="O27" s="115">
        <v>10</v>
      </c>
    </row>
    <row r="28" spans="1:15" ht="27" x14ac:dyDescent="0.3">
      <c r="A28" s="114">
        <v>43651</v>
      </c>
      <c r="B28" s="115">
        <v>50</v>
      </c>
      <c r="C28" s="116">
        <v>8.9999999999999993E-3</v>
      </c>
      <c r="D28" s="115">
        <v>53</v>
      </c>
      <c r="E28" s="116">
        <v>3.0000000000000001E-3</v>
      </c>
      <c r="F28" s="117">
        <v>6691</v>
      </c>
      <c r="G28" s="116">
        <v>2E-3</v>
      </c>
      <c r="H28" s="116">
        <v>6.2E-2</v>
      </c>
      <c r="I28" s="117">
        <v>3569200</v>
      </c>
      <c r="J28" s="115" t="s">
        <v>8855</v>
      </c>
      <c r="K28" s="115">
        <v>414</v>
      </c>
      <c r="L28" s="115" t="s">
        <v>8856</v>
      </c>
      <c r="M28" s="117">
        <v>7430381670</v>
      </c>
      <c r="N28" s="117">
        <v>847447</v>
      </c>
      <c r="O28" s="115">
        <v>18</v>
      </c>
    </row>
    <row r="29" spans="1:15" ht="27" x14ac:dyDescent="0.3">
      <c r="A29" s="114">
        <v>43652</v>
      </c>
      <c r="B29" s="115">
        <v>64</v>
      </c>
      <c r="C29" s="116">
        <v>1.0999999999999999E-2</v>
      </c>
      <c r="D29" s="115">
        <v>66</v>
      </c>
      <c r="E29" s="116">
        <v>3.0000000000000001E-3</v>
      </c>
      <c r="F29" s="117">
        <v>7794</v>
      </c>
      <c r="G29" s="116">
        <v>3.0000000000000001E-3</v>
      </c>
      <c r="H29" s="116">
        <v>0.113</v>
      </c>
      <c r="I29" s="117">
        <v>5911000</v>
      </c>
      <c r="J29" s="115" t="s">
        <v>8857</v>
      </c>
      <c r="K29" s="115">
        <v>880</v>
      </c>
      <c r="L29" s="115" t="s">
        <v>8858</v>
      </c>
      <c r="M29" s="117">
        <v>7436292670</v>
      </c>
      <c r="N29" s="117">
        <v>848327</v>
      </c>
      <c r="O29" s="115">
        <v>16</v>
      </c>
    </row>
    <row r="30" spans="1:15" ht="27" x14ac:dyDescent="0.3">
      <c r="A30" s="114">
        <v>43653</v>
      </c>
      <c r="B30" s="115">
        <v>59</v>
      </c>
      <c r="C30" s="116">
        <v>0.01</v>
      </c>
      <c r="D30" s="115">
        <v>62</v>
      </c>
      <c r="E30" s="116">
        <v>3.0000000000000001E-3</v>
      </c>
      <c r="F30" s="117">
        <v>7475</v>
      </c>
      <c r="G30" s="116">
        <v>3.0000000000000001E-3</v>
      </c>
      <c r="H30" s="116">
        <v>0.115</v>
      </c>
      <c r="I30" s="117">
        <v>5842900</v>
      </c>
      <c r="J30" s="115" t="s">
        <v>8859</v>
      </c>
      <c r="K30" s="115">
        <v>858</v>
      </c>
      <c r="L30" s="115" t="s">
        <v>8860</v>
      </c>
      <c r="M30" s="117">
        <v>7442135570</v>
      </c>
      <c r="N30" s="117">
        <v>849185</v>
      </c>
      <c r="O30" s="115">
        <v>15</v>
      </c>
    </row>
    <row r="31" spans="1:15" ht="27" x14ac:dyDescent="0.3">
      <c r="A31" s="114">
        <v>43654</v>
      </c>
      <c r="B31" s="115">
        <v>54</v>
      </c>
      <c r="C31" s="116">
        <v>0.01</v>
      </c>
      <c r="D31" s="115">
        <v>57</v>
      </c>
      <c r="E31" s="116">
        <v>3.0000000000000001E-3</v>
      </c>
      <c r="F31" s="117">
        <v>7304</v>
      </c>
      <c r="G31" s="116">
        <v>3.0000000000000001E-3</v>
      </c>
      <c r="H31" s="116">
        <v>8.5000000000000006E-2</v>
      </c>
      <c r="I31" s="117">
        <v>4936900</v>
      </c>
      <c r="J31" s="115" t="s">
        <v>8861</v>
      </c>
      <c r="K31" s="115">
        <v>624</v>
      </c>
      <c r="L31" s="115" t="s">
        <v>8862</v>
      </c>
      <c r="M31" s="117">
        <v>7447072470</v>
      </c>
      <c r="N31" s="117">
        <v>849809</v>
      </c>
      <c r="O31" s="115">
        <v>14</v>
      </c>
    </row>
    <row r="32" spans="1:15" ht="27" x14ac:dyDescent="0.3">
      <c r="A32" s="114">
        <v>43655</v>
      </c>
      <c r="B32" s="115">
        <v>55</v>
      </c>
      <c r="C32" s="116">
        <v>0.01</v>
      </c>
      <c r="D32" s="115">
        <v>62</v>
      </c>
      <c r="E32" s="116">
        <v>3.0000000000000001E-3</v>
      </c>
      <c r="F32" s="117">
        <v>8212</v>
      </c>
      <c r="G32" s="116">
        <v>3.0000000000000001E-3</v>
      </c>
      <c r="H32" s="116">
        <v>3.7999999999999999E-2</v>
      </c>
      <c r="I32" s="117">
        <v>2131300</v>
      </c>
      <c r="J32" s="115" t="s">
        <v>8863</v>
      </c>
      <c r="K32" s="115">
        <v>316</v>
      </c>
      <c r="L32" s="115" t="s">
        <v>8864</v>
      </c>
      <c r="M32" s="117">
        <v>7449203770</v>
      </c>
      <c r="N32" s="117">
        <v>850125</v>
      </c>
      <c r="O32" s="115">
        <v>25</v>
      </c>
    </row>
    <row r="33" spans="1:15" ht="27" x14ac:dyDescent="0.3">
      <c r="A33" s="114">
        <v>43656</v>
      </c>
      <c r="B33" s="115">
        <v>9</v>
      </c>
      <c r="C33" s="116">
        <v>2E-3</v>
      </c>
      <c r="D33" s="115">
        <v>10</v>
      </c>
      <c r="E33" s="116">
        <v>1E-3</v>
      </c>
      <c r="F33" s="117">
        <v>1216</v>
      </c>
      <c r="G33" s="116">
        <v>0</v>
      </c>
      <c r="H33" s="116">
        <v>5.8999999999999997E-2</v>
      </c>
      <c r="I33" s="117">
        <v>467600</v>
      </c>
      <c r="J33" s="115" t="s">
        <v>8865</v>
      </c>
      <c r="K33" s="115">
        <v>72</v>
      </c>
      <c r="L33" s="115" t="s">
        <v>8866</v>
      </c>
      <c r="M33" s="117">
        <v>7449671370</v>
      </c>
      <c r="N33" s="117">
        <v>850197</v>
      </c>
      <c r="O33" s="115">
        <v>47</v>
      </c>
    </row>
    <row r="34" spans="1:15" ht="27" x14ac:dyDescent="0.3">
      <c r="A34" s="114">
        <v>43657</v>
      </c>
      <c r="B34" s="115">
        <v>9</v>
      </c>
      <c r="C34" s="116">
        <v>2E-3</v>
      </c>
      <c r="D34" s="115">
        <v>10</v>
      </c>
      <c r="E34" s="116">
        <v>1E-3</v>
      </c>
      <c r="F34" s="117">
        <v>1265</v>
      </c>
      <c r="G34" s="116">
        <v>0</v>
      </c>
      <c r="H34" s="116">
        <v>7.8E-2</v>
      </c>
      <c r="I34" s="117">
        <v>690600</v>
      </c>
      <c r="J34" s="115" t="s">
        <v>8867</v>
      </c>
      <c r="K34" s="115">
        <v>99</v>
      </c>
      <c r="L34" s="115" t="s">
        <v>8868</v>
      </c>
      <c r="M34" s="117">
        <v>7450361970</v>
      </c>
      <c r="N34" s="117">
        <v>850296</v>
      </c>
      <c r="O34" s="115">
        <v>50</v>
      </c>
    </row>
    <row r="35" spans="1:15" ht="27" x14ac:dyDescent="0.3">
      <c r="A35" s="114">
        <v>43658</v>
      </c>
      <c r="B35" s="115">
        <v>9</v>
      </c>
      <c r="C35" s="116">
        <v>1E-3</v>
      </c>
      <c r="D35" s="115">
        <v>9</v>
      </c>
      <c r="E35" s="116">
        <v>0</v>
      </c>
      <c r="F35" s="117">
        <v>1215</v>
      </c>
      <c r="G35" s="116">
        <v>0</v>
      </c>
      <c r="H35" s="116">
        <v>7.4999999999999997E-2</v>
      </c>
      <c r="I35" s="117">
        <v>613500</v>
      </c>
      <c r="J35" s="115" t="s">
        <v>8869</v>
      </c>
      <c r="K35" s="115">
        <v>91</v>
      </c>
      <c r="L35" s="115" t="s">
        <v>8870</v>
      </c>
      <c r="M35" s="117">
        <v>7450975470</v>
      </c>
      <c r="N35" s="117">
        <v>850387</v>
      </c>
      <c r="O35" s="115">
        <v>49</v>
      </c>
    </row>
    <row r="36" spans="1:15" ht="27" x14ac:dyDescent="0.3">
      <c r="A36" s="114">
        <v>43659</v>
      </c>
      <c r="B36" s="115">
        <v>9</v>
      </c>
      <c r="C36" s="116">
        <v>1E-3</v>
      </c>
      <c r="D36" s="115">
        <v>9</v>
      </c>
      <c r="E36" s="116">
        <v>0</v>
      </c>
      <c r="F36" s="117">
        <v>1173</v>
      </c>
      <c r="G36" s="116">
        <v>0</v>
      </c>
      <c r="H36" s="116">
        <v>0.191</v>
      </c>
      <c r="I36" s="117">
        <v>1528600</v>
      </c>
      <c r="J36" s="115" t="s">
        <v>8871</v>
      </c>
      <c r="K36" s="115">
        <v>224</v>
      </c>
      <c r="L36" s="115" t="s">
        <v>8872</v>
      </c>
      <c r="M36" s="117">
        <v>7452504070</v>
      </c>
      <c r="N36" s="117">
        <v>850611</v>
      </c>
      <c r="O36" s="115">
        <v>33</v>
      </c>
    </row>
    <row r="37" spans="1:15" ht="27" x14ac:dyDescent="0.3">
      <c r="A37" s="114">
        <v>43660</v>
      </c>
      <c r="B37" s="115">
        <v>11</v>
      </c>
      <c r="C37" s="116">
        <v>2E-3</v>
      </c>
      <c r="D37" s="115">
        <v>11</v>
      </c>
      <c r="E37" s="116">
        <v>1E-3</v>
      </c>
      <c r="F37" s="117">
        <v>1583</v>
      </c>
      <c r="G37" s="116">
        <v>1E-3</v>
      </c>
      <c r="H37" s="116">
        <v>0.112</v>
      </c>
      <c r="I37" s="117">
        <v>1198900</v>
      </c>
      <c r="J37" s="115" t="s">
        <v>8873</v>
      </c>
      <c r="K37" s="115">
        <v>177</v>
      </c>
      <c r="L37" s="115" t="s">
        <v>8874</v>
      </c>
      <c r="M37" s="117">
        <v>7453702970</v>
      </c>
      <c r="N37" s="117">
        <v>850788</v>
      </c>
      <c r="O37" s="115">
        <v>33</v>
      </c>
    </row>
    <row r="38" spans="1:15" ht="27" x14ac:dyDescent="0.3">
      <c r="A38" s="114">
        <v>43661</v>
      </c>
      <c r="B38" s="115">
        <v>8</v>
      </c>
      <c r="C38" s="116">
        <v>1E-3</v>
      </c>
      <c r="D38" s="115">
        <v>9</v>
      </c>
      <c r="E38" s="116">
        <v>1E-3</v>
      </c>
      <c r="F38" s="117">
        <v>1343</v>
      </c>
      <c r="G38" s="116">
        <v>0</v>
      </c>
      <c r="H38" s="116">
        <v>4.5999999999999999E-2</v>
      </c>
      <c r="I38" s="117">
        <v>398300</v>
      </c>
      <c r="J38" s="115" t="s">
        <v>8875</v>
      </c>
      <c r="K38" s="115">
        <v>62</v>
      </c>
      <c r="L38" s="115" t="s">
        <v>8876</v>
      </c>
      <c r="M38" s="117">
        <v>7454101270</v>
      </c>
      <c r="N38" s="117">
        <v>850850</v>
      </c>
      <c r="O38" s="115">
        <v>52</v>
      </c>
    </row>
    <row r="39" spans="1:15" ht="27" x14ac:dyDescent="0.3">
      <c r="A39" s="114">
        <v>43662</v>
      </c>
      <c r="B39" s="115">
        <v>8</v>
      </c>
      <c r="C39" s="116">
        <v>1E-3</v>
      </c>
      <c r="D39" s="115">
        <v>9</v>
      </c>
      <c r="E39" s="116">
        <v>0</v>
      </c>
      <c r="F39" s="117">
        <v>1400</v>
      </c>
      <c r="G39" s="116">
        <v>1E-3</v>
      </c>
      <c r="H39" s="116">
        <v>5.7000000000000002E-2</v>
      </c>
      <c r="I39" s="117">
        <v>536300</v>
      </c>
      <c r="J39" s="115" t="s">
        <v>8877</v>
      </c>
      <c r="K39" s="115">
        <v>80</v>
      </c>
      <c r="L39" s="115" t="s">
        <v>8878</v>
      </c>
      <c r="M39" s="117">
        <v>7454637570</v>
      </c>
      <c r="N39" s="117">
        <v>850930</v>
      </c>
      <c r="O39" s="115">
        <v>58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58880-D106-438E-8B7A-CC861565C0F5}">
  <dimension ref="A1:O30"/>
  <sheetViews>
    <sheetView workbookViewId="0">
      <selection activeCell="A5" sqref="A5:O11"/>
    </sheetView>
  </sheetViews>
  <sheetFormatPr defaultRowHeight="16.5" x14ac:dyDescent="0.3"/>
  <sheetData>
    <row r="1" spans="1:15" ht="19.5" x14ac:dyDescent="0.3">
      <c r="A1" s="197" t="s">
        <v>8879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25" t="s">
        <v>111</v>
      </c>
      <c r="B4" s="120" t="s">
        <v>112</v>
      </c>
      <c r="C4" s="120" t="s">
        <v>113</v>
      </c>
      <c r="D4" s="120" t="s">
        <v>114</v>
      </c>
      <c r="E4" s="120" t="s">
        <v>115</v>
      </c>
      <c r="F4" s="120" t="s">
        <v>116</v>
      </c>
      <c r="G4" s="120" t="s">
        <v>117</v>
      </c>
      <c r="H4" s="120" t="s">
        <v>118</v>
      </c>
      <c r="I4" s="120" t="s">
        <v>119</v>
      </c>
      <c r="J4" s="120" t="s">
        <v>120</v>
      </c>
      <c r="K4" s="120" t="s">
        <v>121</v>
      </c>
      <c r="L4" s="120" t="s">
        <v>122</v>
      </c>
      <c r="M4" s="120" t="s">
        <v>123</v>
      </c>
      <c r="N4" s="120" t="s">
        <v>124</v>
      </c>
      <c r="O4" s="126" t="s">
        <v>125</v>
      </c>
    </row>
    <row r="5" spans="1:15" ht="40.5" x14ac:dyDescent="0.3">
      <c r="A5" s="121">
        <v>43638</v>
      </c>
      <c r="B5" s="122">
        <v>361</v>
      </c>
      <c r="C5" s="123">
        <v>5.6000000000000001E-2</v>
      </c>
      <c r="D5" s="122">
        <v>645</v>
      </c>
      <c r="E5" s="123">
        <v>3.2000000000000001E-2</v>
      </c>
      <c r="F5" s="124">
        <v>86183</v>
      </c>
      <c r="G5" s="123">
        <v>2.7E-2</v>
      </c>
      <c r="H5" s="123">
        <v>0.41599999999999998</v>
      </c>
      <c r="I5" s="124">
        <v>339094888</v>
      </c>
      <c r="J5" s="122" t="s">
        <v>8880</v>
      </c>
      <c r="K5" s="124">
        <v>35829</v>
      </c>
      <c r="L5" s="122" t="s">
        <v>8881</v>
      </c>
      <c r="M5" s="124">
        <v>373560072</v>
      </c>
      <c r="N5" s="124">
        <v>39782</v>
      </c>
      <c r="O5" s="122">
        <v>5</v>
      </c>
    </row>
    <row r="6" spans="1:15" ht="27" x14ac:dyDescent="0.3">
      <c r="A6" s="121">
        <v>43639</v>
      </c>
      <c r="B6" s="122">
        <v>357</v>
      </c>
      <c r="C6" s="123">
        <v>5.5E-2</v>
      </c>
      <c r="D6" s="122">
        <v>635</v>
      </c>
      <c r="E6" s="123">
        <v>3.2000000000000001E-2</v>
      </c>
      <c r="F6" s="124">
        <v>85001</v>
      </c>
      <c r="G6" s="123">
        <v>2.8000000000000001E-2</v>
      </c>
      <c r="H6" s="123">
        <v>0.39200000000000002</v>
      </c>
      <c r="I6" s="124">
        <v>317893100</v>
      </c>
      <c r="J6" s="122" t="s">
        <v>8882</v>
      </c>
      <c r="K6" s="124">
        <v>33356</v>
      </c>
      <c r="L6" s="122" t="s">
        <v>8883</v>
      </c>
      <c r="M6" s="124">
        <v>691453172</v>
      </c>
      <c r="N6" s="124">
        <v>73138</v>
      </c>
      <c r="O6" s="122">
        <v>5</v>
      </c>
    </row>
    <row r="7" spans="1:15" ht="40.5" x14ac:dyDescent="0.3">
      <c r="A7" s="121">
        <v>43640</v>
      </c>
      <c r="B7" s="122">
        <v>4</v>
      </c>
      <c r="C7" s="123">
        <v>1E-3</v>
      </c>
      <c r="D7" s="122">
        <v>4</v>
      </c>
      <c r="E7" s="123">
        <v>0</v>
      </c>
      <c r="F7" s="122">
        <v>825</v>
      </c>
      <c r="G7" s="123">
        <v>0</v>
      </c>
      <c r="H7" s="123">
        <v>1</v>
      </c>
      <c r="I7" s="124">
        <v>7425000</v>
      </c>
      <c r="J7" s="122" t="s">
        <v>8884</v>
      </c>
      <c r="K7" s="122">
        <v>825</v>
      </c>
      <c r="L7" s="122" t="s">
        <v>8885</v>
      </c>
      <c r="M7" s="124">
        <v>698878172</v>
      </c>
      <c r="N7" s="124">
        <v>73963</v>
      </c>
      <c r="O7" s="122">
        <v>11</v>
      </c>
    </row>
    <row r="8" spans="1:15" ht="27" x14ac:dyDescent="0.3">
      <c r="A8" s="121">
        <v>43641</v>
      </c>
      <c r="B8" s="122">
        <v>1</v>
      </c>
      <c r="C8" s="123">
        <v>0</v>
      </c>
      <c r="D8" s="122">
        <v>1</v>
      </c>
      <c r="E8" s="123">
        <v>0</v>
      </c>
      <c r="F8" s="122">
        <v>214</v>
      </c>
      <c r="G8" s="123">
        <v>0</v>
      </c>
      <c r="H8" s="123">
        <v>1</v>
      </c>
      <c r="I8" s="124">
        <v>1926000</v>
      </c>
      <c r="J8" s="122" t="s">
        <v>8886</v>
      </c>
      <c r="K8" s="122">
        <v>214</v>
      </c>
      <c r="L8" s="122" t="s">
        <v>8887</v>
      </c>
      <c r="M8" s="124">
        <v>700804172</v>
      </c>
      <c r="N8" s="124">
        <v>74177</v>
      </c>
      <c r="O8" s="122">
        <v>31</v>
      </c>
    </row>
    <row r="9" spans="1:15" ht="40.5" x14ac:dyDescent="0.3">
      <c r="A9" s="121">
        <v>43642</v>
      </c>
      <c r="B9" s="122">
        <v>742</v>
      </c>
      <c r="C9" s="123">
        <v>0.11600000000000001</v>
      </c>
      <c r="D9" s="124">
        <v>2457</v>
      </c>
      <c r="E9" s="123">
        <v>0.13200000000000001</v>
      </c>
      <c r="F9" s="124">
        <v>364822</v>
      </c>
      <c r="G9" s="123">
        <v>0.126</v>
      </c>
      <c r="H9" s="123">
        <v>0.36199999999999999</v>
      </c>
      <c r="I9" s="124">
        <v>848509060</v>
      </c>
      <c r="J9" s="122" t="s">
        <v>8888</v>
      </c>
      <c r="K9" s="124">
        <v>132023</v>
      </c>
      <c r="L9" s="122" t="s">
        <v>8889</v>
      </c>
      <c r="M9" s="124">
        <v>1549313232</v>
      </c>
      <c r="N9" s="124">
        <v>206200</v>
      </c>
      <c r="O9" s="122">
        <v>3</v>
      </c>
    </row>
    <row r="10" spans="1:15" ht="40.5" x14ac:dyDescent="0.3">
      <c r="A10" s="121">
        <v>43643</v>
      </c>
      <c r="B10" s="122">
        <v>743</v>
      </c>
      <c r="C10" s="123">
        <v>0.123</v>
      </c>
      <c r="D10" s="124">
        <v>2626</v>
      </c>
      <c r="E10" s="123">
        <v>0.14099999999999999</v>
      </c>
      <c r="F10" s="124">
        <v>399979</v>
      </c>
      <c r="G10" s="123">
        <v>0.13800000000000001</v>
      </c>
      <c r="H10" s="123">
        <v>0.19800000000000001</v>
      </c>
      <c r="I10" s="124">
        <v>652817230</v>
      </c>
      <c r="J10" s="122" t="s">
        <v>8890</v>
      </c>
      <c r="K10" s="124">
        <v>79106</v>
      </c>
      <c r="L10" s="122" t="s">
        <v>8891</v>
      </c>
      <c r="M10" s="124">
        <v>2202130462</v>
      </c>
      <c r="N10" s="124">
        <v>285306</v>
      </c>
      <c r="O10" s="122">
        <v>2</v>
      </c>
    </row>
    <row r="11" spans="1:15" ht="27" x14ac:dyDescent="0.3">
      <c r="A11" s="121">
        <v>43644</v>
      </c>
      <c r="B11" s="122">
        <v>793</v>
      </c>
      <c r="C11" s="123">
        <v>0.129</v>
      </c>
      <c r="D11" s="124">
        <v>2854</v>
      </c>
      <c r="E11" s="123">
        <v>0.151</v>
      </c>
      <c r="F11" s="124">
        <v>439439</v>
      </c>
      <c r="G11" s="123">
        <v>0.15</v>
      </c>
      <c r="H11" s="123">
        <v>0.20300000000000001</v>
      </c>
      <c r="I11" s="124">
        <v>818899410</v>
      </c>
      <c r="J11" s="122" t="s">
        <v>8892</v>
      </c>
      <c r="K11" s="124">
        <v>89401</v>
      </c>
      <c r="L11" s="122" t="s">
        <v>8893</v>
      </c>
      <c r="M11" s="124">
        <v>3021029872</v>
      </c>
      <c r="N11" s="124">
        <v>374707</v>
      </c>
      <c r="O11" s="122">
        <v>3</v>
      </c>
    </row>
    <row r="12" spans="1:15" ht="27" x14ac:dyDescent="0.3">
      <c r="A12" s="121">
        <v>43645</v>
      </c>
      <c r="B12" s="122">
        <v>848</v>
      </c>
      <c r="C12" s="123">
        <v>0.126</v>
      </c>
      <c r="D12" s="124">
        <v>2993</v>
      </c>
      <c r="E12" s="123">
        <v>0.151</v>
      </c>
      <c r="F12" s="124">
        <v>450071</v>
      </c>
      <c r="G12" s="123">
        <v>0.14699999999999999</v>
      </c>
      <c r="H12" s="123">
        <v>0.36799999999999999</v>
      </c>
      <c r="I12" s="124">
        <v>1525734520</v>
      </c>
      <c r="J12" s="122" t="s">
        <v>8894</v>
      </c>
      <c r="K12" s="124">
        <v>165714</v>
      </c>
      <c r="L12" s="122" t="s">
        <v>8895</v>
      </c>
      <c r="M12" s="124">
        <v>4546764392</v>
      </c>
      <c r="N12" s="124">
        <v>540421</v>
      </c>
      <c r="O12" s="122">
        <v>3</v>
      </c>
    </row>
    <row r="13" spans="1:15" ht="40.5" x14ac:dyDescent="0.3">
      <c r="A13" s="121">
        <v>43646</v>
      </c>
      <c r="B13" s="122">
        <v>832</v>
      </c>
      <c r="C13" s="123">
        <v>0.124</v>
      </c>
      <c r="D13" s="124">
        <v>2913</v>
      </c>
      <c r="E13" s="123">
        <v>0.15</v>
      </c>
      <c r="F13" s="124">
        <v>440999</v>
      </c>
      <c r="G13" s="123">
        <v>0.14699999999999999</v>
      </c>
      <c r="H13" s="123">
        <v>0.307</v>
      </c>
      <c r="I13" s="124">
        <v>1238626050</v>
      </c>
      <c r="J13" s="122" t="s">
        <v>8896</v>
      </c>
      <c r="K13" s="124">
        <v>135379</v>
      </c>
      <c r="L13" s="122" t="s">
        <v>8897</v>
      </c>
      <c r="M13" s="124">
        <v>5785390442</v>
      </c>
      <c r="N13" s="124">
        <v>675800</v>
      </c>
      <c r="O13" s="122">
        <v>3</v>
      </c>
    </row>
    <row r="14" spans="1:15" ht="40.5" x14ac:dyDescent="0.3">
      <c r="A14" s="121">
        <v>43647</v>
      </c>
      <c r="B14" s="122">
        <v>760</v>
      </c>
      <c r="C14" s="123">
        <v>0.115</v>
      </c>
      <c r="D14" s="124">
        <v>2866</v>
      </c>
      <c r="E14" s="123">
        <v>0.154</v>
      </c>
      <c r="F14" s="124">
        <v>446062</v>
      </c>
      <c r="G14" s="123">
        <v>0.153</v>
      </c>
      <c r="H14" s="123">
        <v>0.11700000000000001</v>
      </c>
      <c r="I14" s="124">
        <v>423863460</v>
      </c>
      <c r="J14" s="122" t="s">
        <v>8898</v>
      </c>
      <c r="K14" s="124">
        <v>52091</v>
      </c>
      <c r="L14" s="122" t="s">
        <v>8899</v>
      </c>
      <c r="M14" s="124">
        <v>6209253902</v>
      </c>
      <c r="N14" s="124">
        <v>727891</v>
      </c>
      <c r="O14" s="122">
        <v>3</v>
      </c>
    </row>
    <row r="15" spans="1:15" ht="40.5" x14ac:dyDescent="0.3">
      <c r="A15" s="121">
        <v>43648</v>
      </c>
      <c r="B15" s="122">
        <v>553</v>
      </c>
      <c r="C15" s="123">
        <v>9.5000000000000001E-2</v>
      </c>
      <c r="D15" s="124">
        <v>1309</v>
      </c>
      <c r="E15" s="123">
        <v>7.0000000000000007E-2</v>
      </c>
      <c r="F15" s="124">
        <v>160700</v>
      </c>
      <c r="G15" s="123">
        <v>5.6000000000000001E-2</v>
      </c>
      <c r="H15" s="123">
        <v>0.13600000000000001</v>
      </c>
      <c r="I15" s="124">
        <v>178434640</v>
      </c>
      <c r="J15" s="122" t="s">
        <v>8900</v>
      </c>
      <c r="K15" s="124">
        <v>21803</v>
      </c>
      <c r="L15" s="122" t="s">
        <v>8901</v>
      </c>
      <c r="M15" s="124">
        <v>6387688542</v>
      </c>
      <c r="N15" s="124">
        <v>749694</v>
      </c>
      <c r="O15" s="122">
        <v>5</v>
      </c>
    </row>
    <row r="16" spans="1:15" ht="27" x14ac:dyDescent="0.3">
      <c r="A16" s="121">
        <v>43649</v>
      </c>
      <c r="B16" s="122">
        <v>517</v>
      </c>
      <c r="C16" s="123">
        <v>9.2999999999999999E-2</v>
      </c>
      <c r="D16" s="124">
        <v>1261</v>
      </c>
      <c r="E16" s="123">
        <v>6.8000000000000005E-2</v>
      </c>
      <c r="F16" s="124">
        <v>155900</v>
      </c>
      <c r="G16" s="123">
        <v>5.3999999999999999E-2</v>
      </c>
      <c r="H16" s="123">
        <v>0.129</v>
      </c>
      <c r="I16" s="124">
        <v>164689100</v>
      </c>
      <c r="J16" s="122" t="s">
        <v>8902</v>
      </c>
      <c r="K16" s="124">
        <v>20128</v>
      </c>
      <c r="L16" s="122" t="s">
        <v>8903</v>
      </c>
      <c r="M16" s="124">
        <v>6552377642</v>
      </c>
      <c r="N16" s="124">
        <v>769822</v>
      </c>
      <c r="O16" s="122">
        <v>5</v>
      </c>
    </row>
    <row r="17" spans="1:15" ht="27" x14ac:dyDescent="0.3">
      <c r="A17" s="121">
        <v>43650</v>
      </c>
      <c r="B17" s="122">
        <v>518</v>
      </c>
      <c r="C17" s="123">
        <v>9.0999999999999998E-2</v>
      </c>
      <c r="D17" s="124">
        <v>1159</v>
      </c>
      <c r="E17" s="123">
        <v>6.3E-2</v>
      </c>
      <c r="F17" s="124">
        <v>140964</v>
      </c>
      <c r="G17" s="123">
        <v>4.9000000000000002E-2</v>
      </c>
      <c r="H17" s="123">
        <v>0.127</v>
      </c>
      <c r="I17" s="124">
        <v>146363550</v>
      </c>
      <c r="J17" s="122" t="s">
        <v>8904</v>
      </c>
      <c r="K17" s="124">
        <v>17833</v>
      </c>
      <c r="L17" s="122" t="s">
        <v>8905</v>
      </c>
      <c r="M17" s="124">
        <v>6698741192</v>
      </c>
      <c r="N17" s="124">
        <v>787655</v>
      </c>
      <c r="O17" s="122">
        <v>5</v>
      </c>
    </row>
    <row r="18" spans="1:15" ht="27" x14ac:dyDescent="0.3">
      <c r="A18" s="121">
        <v>43651</v>
      </c>
      <c r="B18" s="122">
        <v>517</v>
      </c>
      <c r="C18" s="123">
        <v>0.09</v>
      </c>
      <c r="D18" s="124">
        <v>1054</v>
      </c>
      <c r="E18" s="123">
        <v>5.6000000000000001E-2</v>
      </c>
      <c r="F18" s="124">
        <v>124077</v>
      </c>
      <c r="G18" s="123">
        <v>4.2000000000000003E-2</v>
      </c>
      <c r="H18" s="123">
        <v>0.16900000000000001</v>
      </c>
      <c r="I18" s="124">
        <v>190278300</v>
      </c>
      <c r="J18" s="122" t="s">
        <v>8906</v>
      </c>
      <c r="K18" s="124">
        <v>20977</v>
      </c>
      <c r="L18" s="122" t="s">
        <v>8907</v>
      </c>
      <c r="M18" s="124">
        <v>6889019492</v>
      </c>
      <c r="N18" s="124">
        <v>808632</v>
      </c>
      <c r="O18" s="122">
        <v>5</v>
      </c>
    </row>
    <row r="19" spans="1:15" ht="27" x14ac:dyDescent="0.3">
      <c r="A19" s="121">
        <v>43652</v>
      </c>
      <c r="B19" s="122">
        <v>413</v>
      </c>
      <c r="C19" s="123">
        <v>7.0000000000000007E-2</v>
      </c>
      <c r="D19" s="122">
        <v>663</v>
      </c>
      <c r="E19" s="123">
        <v>3.4000000000000002E-2</v>
      </c>
      <c r="F19" s="124">
        <v>74636</v>
      </c>
      <c r="G19" s="123">
        <v>2.5000000000000001E-2</v>
      </c>
      <c r="H19" s="123">
        <v>0.34300000000000003</v>
      </c>
      <c r="I19" s="124">
        <v>231095270</v>
      </c>
      <c r="J19" s="122" t="s">
        <v>8908</v>
      </c>
      <c r="K19" s="124">
        <v>25608</v>
      </c>
      <c r="L19" s="122" t="s">
        <v>8909</v>
      </c>
      <c r="M19" s="124">
        <v>7120114762</v>
      </c>
      <c r="N19" s="124">
        <v>834240</v>
      </c>
      <c r="O19" s="122">
        <v>5</v>
      </c>
    </row>
    <row r="20" spans="1:15" ht="27" x14ac:dyDescent="0.3">
      <c r="A20" s="121">
        <v>43653</v>
      </c>
      <c r="B20" s="122">
        <v>406</v>
      </c>
      <c r="C20" s="123">
        <v>6.8000000000000005E-2</v>
      </c>
      <c r="D20" s="122">
        <v>634</v>
      </c>
      <c r="E20" s="123">
        <v>3.3000000000000002E-2</v>
      </c>
      <c r="F20" s="124">
        <v>72588</v>
      </c>
      <c r="G20" s="123">
        <v>2.4E-2</v>
      </c>
      <c r="H20" s="123">
        <v>0.26700000000000002</v>
      </c>
      <c r="I20" s="124">
        <v>173779230</v>
      </c>
      <c r="J20" s="122" t="s">
        <v>8910</v>
      </c>
      <c r="K20" s="124">
        <v>19367</v>
      </c>
      <c r="L20" s="122" t="s">
        <v>8911</v>
      </c>
      <c r="M20" s="124">
        <v>7293893992</v>
      </c>
      <c r="N20" s="124">
        <v>853607</v>
      </c>
      <c r="O20" s="122">
        <v>5</v>
      </c>
    </row>
    <row r="21" spans="1:15" ht="27" x14ac:dyDescent="0.3">
      <c r="A21" s="121">
        <v>43654</v>
      </c>
      <c r="B21" s="122">
        <v>494</v>
      </c>
      <c r="C21" s="123">
        <v>0.09</v>
      </c>
      <c r="D21" s="124">
        <v>1003</v>
      </c>
      <c r="E21" s="123">
        <v>5.5E-2</v>
      </c>
      <c r="F21" s="124">
        <v>116413</v>
      </c>
      <c r="G21" s="123">
        <v>4.1000000000000002E-2</v>
      </c>
      <c r="H21" s="123">
        <v>0.124</v>
      </c>
      <c r="I21" s="124">
        <v>119297150</v>
      </c>
      <c r="J21" s="122" t="s">
        <v>8912</v>
      </c>
      <c r="K21" s="124">
        <v>14438</v>
      </c>
      <c r="L21" s="122" t="s">
        <v>8913</v>
      </c>
      <c r="M21" s="124">
        <v>7413191142</v>
      </c>
      <c r="N21" s="124">
        <v>868045</v>
      </c>
      <c r="O21" s="122">
        <v>5</v>
      </c>
    </row>
    <row r="22" spans="1:15" ht="27" x14ac:dyDescent="0.3">
      <c r="A22" s="121">
        <v>43655</v>
      </c>
      <c r="B22" s="122">
        <v>495</v>
      </c>
      <c r="C22" s="123">
        <v>8.6999999999999994E-2</v>
      </c>
      <c r="D22" s="122">
        <v>993</v>
      </c>
      <c r="E22" s="123">
        <v>5.5E-2</v>
      </c>
      <c r="F22" s="124">
        <v>115485</v>
      </c>
      <c r="G22" s="123">
        <v>4.1000000000000002E-2</v>
      </c>
      <c r="H22" s="123">
        <v>0.114</v>
      </c>
      <c r="I22" s="124">
        <v>108835750</v>
      </c>
      <c r="J22" s="122" t="s">
        <v>8914</v>
      </c>
      <c r="K22" s="124">
        <v>13193</v>
      </c>
      <c r="L22" s="122" t="s">
        <v>8915</v>
      </c>
      <c r="M22" s="124">
        <v>7522026892</v>
      </c>
      <c r="N22" s="124">
        <v>881238</v>
      </c>
      <c r="O22" s="122">
        <v>5</v>
      </c>
    </row>
    <row r="23" spans="1:15" ht="27" x14ac:dyDescent="0.3">
      <c r="A23" s="121">
        <v>43656</v>
      </c>
      <c r="B23" s="122">
        <v>257</v>
      </c>
      <c r="C23" s="123">
        <v>4.9000000000000002E-2</v>
      </c>
      <c r="D23" s="122">
        <v>448</v>
      </c>
      <c r="E23" s="123">
        <v>2.4E-2</v>
      </c>
      <c r="F23" s="124">
        <v>55516</v>
      </c>
      <c r="G23" s="123">
        <v>1.9E-2</v>
      </c>
      <c r="H23" s="123">
        <v>0.127</v>
      </c>
      <c r="I23" s="124">
        <v>58871380</v>
      </c>
      <c r="J23" s="122" t="s">
        <v>8916</v>
      </c>
      <c r="K23" s="124">
        <v>7069</v>
      </c>
      <c r="L23" s="122" t="s">
        <v>8917</v>
      </c>
      <c r="M23" s="124">
        <v>7580898272</v>
      </c>
      <c r="N23" s="124">
        <v>888307</v>
      </c>
      <c r="O23" s="122">
        <v>7</v>
      </c>
    </row>
    <row r="24" spans="1:15" ht="27" x14ac:dyDescent="0.3">
      <c r="A24" s="121">
        <v>43657</v>
      </c>
      <c r="B24" s="122">
        <v>183</v>
      </c>
      <c r="C24" s="123">
        <v>3.1E-2</v>
      </c>
      <c r="D24" s="122">
        <v>269</v>
      </c>
      <c r="E24" s="123">
        <v>1.4E-2</v>
      </c>
      <c r="F24" s="124">
        <v>34538</v>
      </c>
      <c r="G24" s="123">
        <v>1.2E-2</v>
      </c>
      <c r="H24" s="123">
        <v>0.13600000000000001</v>
      </c>
      <c r="I24" s="124">
        <v>38952250</v>
      </c>
      <c r="J24" s="122" t="s">
        <v>8918</v>
      </c>
      <c r="K24" s="124">
        <v>4707</v>
      </c>
      <c r="L24" s="122" t="s">
        <v>8919</v>
      </c>
      <c r="M24" s="124">
        <v>7619850522</v>
      </c>
      <c r="N24" s="124">
        <v>893014</v>
      </c>
      <c r="O24" s="122">
        <v>9</v>
      </c>
    </row>
    <row r="25" spans="1:15" ht="27" x14ac:dyDescent="0.3">
      <c r="A25" s="121">
        <v>43658</v>
      </c>
      <c r="B25" s="122">
        <v>187</v>
      </c>
      <c r="C25" s="123">
        <v>3.1E-2</v>
      </c>
      <c r="D25" s="122">
        <v>280</v>
      </c>
      <c r="E25" s="123">
        <v>1.4999999999999999E-2</v>
      </c>
      <c r="F25" s="124">
        <v>35754</v>
      </c>
      <c r="G25" s="123">
        <v>1.2E-2</v>
      </c>
      <c r="H25" s="123">
        <v>0.16</v>
      </c>
      <c r="I25" s="124">
        <v>51871340</v>
      </c>
      <c r="J25" s="122" t="s">
        <v>8920</v>
      </c>
      <c r="K25" s="124">
        <v>5720</v>
      </c>
      <c r="L25" s="122" t="s">
        <v>8921</v>
      </c>
      <c r="M25" s="124">
        <v>7671721862</v>
      </c>
      <c r="N25" s="124">
        <v>898734</v>
      </c>
      <c r="O25" s="122">
        <v>10</v>
      </c>
    </row>
    <row r="26" spans="1:15" ht="27" x14ac:dyDescent="0.3">
      <c r="A26" s="121">
        <v>43659</v>
      </c>
      <c r="B26" s="122">
        <v>143</v>
      </c>
      <c r="C26" s="123">
        <v>2.1999999999999999E-2</v>
      </c>
      <c r="D26" s="122">
        <v>205</v>
      </c>
      <c r="E26" s="123">
        <v>0.01</v>
      </c>
      <c r="F26" s="124">
        <v>25878</v>
      </c>
      <c r="G26" s="123">
        <v>8.0000000000000002E-3</v>
      </c>
      <c r="H26" s="123">
        <v>0.308</v>
      </c>
      <c r="I26" s="124">
        <v>72604450</v>
      </c>
      <c r="J26" s="122" t="s">
        <v>8922</v>
      </c>
      <c r="K26" s="124">
        <v>7969</v>
      </c>
      <c r="L26" s="122" t="s">
        <v>8923</v>
      </c>
      <c r="M26" s="124">
        <v>7744326312</v>
      </c>
      <c r="N26" s="124">
        <v>906703</v>
      </c>
      <c r="O26" s="122">
        <v>10</v>
      </c>
    </row>
    <row r="27" spans="1:15" ht="27" x14ac:dyDescent="0.3">
      <c r="A27" s="121">
        <v>43660</v>
      </c>
      <c r="B27" s="122">
        <v>145</v>
      </c>
      <c r="C27" s="123">
        <v>2.1999999999999999E-2</v>
      </c>
      <c r="D27" s="122">
        <v>206</v>
      </c>
      <c r="E27" s="123">
        <v>0.01</v>
      </c>
      <c r="F27" s="124">
        <v>26419</v>
      </c>
      <c r="G27" s="123">
        <v>8.9999999999999993E-3</v>
      </c>
      <c r="H27" s="123">
        <v>0.24099999999999999</v>
      </c>
      <c r="I27" s="124">
        <v>58220390</v>
      </c>
      <c r="J27" s="122" t="s">
        <v>8924</v>
      </c>
      <c r="K27" s="124">
        <v>6363</v>
      </c>
      <c r="L27" s="122" t="s">
        <v>8925</v>
      </c>
      <c r="M27" s="124">
        <v>7802546702</v>
      </c>
      <c r="N27" s="124">
        <v>913066</v>
      </c>
      <c r="O27" s="122">
        <v>11</v>
      </c>
    </row>
    <row r="28" spans="1:15" ht="27" x14ac:dyDescent="0.3">
      <c r="A28" s="121">
        <v>43661</v>
      </c>
      <c r="B28" s="122">
        <v>177</v>
      </c>
      <c r="C28" s="123">
        <v>3.1E-2</v>
      </c>
      <c r="D28" s="122">
        <v>288</v>
      </c>
      <c r="E28" s="123">
        <v>1.6E-2</v>
      </c>
      <c r="F28" s="124">
        <v>37855</v>
      </c>
      <c r="G28" s="123">
        <v>1.4E-2</v>
      </c>
      <c r="H28" s="123">
        <v>9.9000000000000005E-2</v>
      </c>
      <c r="I28" s="124">
        <v>31317210</v>
      </c>
      <c r="J28" s="122" t="s">
        <v>8926</v>
      </c>
      <c r="K28" s="124">
        <v>3745</v>
      </c>
      <c r="L28" s="122" t="s">
        <v>8927</v>
      </c>
      <c r="M28" s="124">
        <v>7833863912</v>
      </c>
      <c r="N28" s="124">
        <v>916811</v>
      </c>
      <c r="O28" s="122">
        <v>8</v>
      </c>
    </row>
    <row r="29" spans="1:15" ht="27" x14ac:dyDescent="0.3">
      <c r="A29" s="121">
        <v>43662</v>
      </c>
      <c r="B29" s="122">
        <v>185</v>
      </c>
      <c r="C29" s="123">
        <v>3.1E-2</v>
      </c>
      <c r="D29" s="122">
        <v>299</v>
      </c>
      <c r="E29" s="123">
        <v>1.7000000000000001E-2</v>
      </c>
      <c r="F29" s="124">
        <v>39529</v>
      </c>
      <c r="G29" s="123">
        <v>1.4E-2</v>
      </c>
      <c r="H29" s="123">
        <v>0.10199999999999999</v>
      </c>
      <c r="I29" s="124">
        <v>33506600</v>
      </c>
      <c r="J29" s="122" t="s">
        <v>8928</v>
      </c>
      <c r="K29" s="124">
        <v>4014</v>
      </c>
      <c r="L29" s="122" t="s">
        <v>8929</v>
      </c>
      <c r="M29" s="124">
        <v>7867370512</v>
      </c>
      <c r="N29" s="124">
        <v>920825</v>
      </c>
      <c r="O29" s="122">
        <v>8</v>
      </c>
    </row>
    <row r="30" spans="1:15" ht="27" x14ac:dyDescent="0.3">
      <c r="A30" s="121">
        <v>43663</v>
      </c>
      <c r="B30" s="122">
        <v>42</v>
      </c>
      <c r="C30" s="123">
        <v>7.0000000000000001E-3</v>
      </c>
      <c r="D30" s="122">
        <v>55</v>
      </c>
      <c r="E30" s="123">
        <v>3.0000000000000001E-3</v>
      </c>
      <c r="F30" s="124">
        <v>6751</v>
      </c>
      <c r="G30" s="123">
        <v>2E-3</v>
      </c>
      <c r="H30" s="123">
        <v>0.14899999999999999</v>
      </c>
      <c r="I30" s="124">
        <v>8220720</v>
      </c>
      <c r="J30" s="122" t="s">
        <v>8930</v>
      </c>
      <c r="K30" s="124">
        <v>1009</v>
      </c>
      <c r="L30" s="122" t="s">
        <v>8931</v>
      </c>
      <c r="M30" s="124">
        <v>7875591232</v>
      </c>
      <c r="N30" s="124">
        <v>921834</v>
      </c>
      <c r="O30" s="122">
        <v>14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0321-CE24-4CF8-A1AC-6CBB0E527F7A}">
  <dimension ref="A1:O26"/>
  <sheetViews>
    <sheetView workbookViewId="0">
      <selection activeCell="A5" sqref="A5:O7"/>
    </sheetView>
  </sheetViews>
  <sheetFormatPr defaultRowHeight="16.5" x14ac:dyDescent="0.3"/>
  <sheetData>
    <row r="1" spans="1:15" ht="19.5" x14ac:dyDescent="0.3">
      <c r="A1" s="197" t="s">
        <v>8932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32" t="s">
        <v>111</v>
      </c>
      <c r="B4" s="127" t="s">
        <v>112</v>
      </c>
      <c r="C4" s="127" t="s">
        <v>113</v>
      </c>
      <c r="D4" s="127" t="s">
        <v>114</v>
      </c>
      <c r="E4" s="127" t="s">
        <v>115</v>
      </c>
      <c r="F4" s="127" t="s">
        <v>116</v>
      </c>
      <c r="G4" s="127" t="s">
        <v>117</v>
      </c>
      <c r="H4" s="127" t="s">
        <v>118</v>
      </c>
      <c r="I4" s="127" t="s">
        <v>119</v>
      </c>
      <c r="J4" s="127" t="s">
        <v>120</v>
      </c>
      <c r="K4" s="127" t="s">
        <v>121</v>
      </c>
      <c r="L4" s="127" t="s">
        <v>122</v>
      </c>
      <c r="M4" s="127" t="s">
        <v>123</v>
      </c>
      <c r="N4" s="127" t="s">
        <v>124</v>
      </c>
      <c r="O4" s="133" t="s">
        <v>125</v>
      </c>
    </row>
    <row r="5" spans="1:15" ht="40.5" x14ac:dyDescent="0.3">
      <c r="A5" s="128">
        <v>43642</v>
      </c>
      <c r="B5" s="129">
        <v>653</v>
      </c>
      <c r="C5" s="130">
        <v>0.10199999999999999</v>
      </c>
      <c r="D5" s="131">
        <v>1966</v>
      </c>
      <c r="E5" s="130">
        <v>0.106</v>
      </c>
      <c r="F5" s="131">
        <v>282940</v>
      </c>
      <c r="G5" s="130">
        <v>9.8000000000000004E-2</v>
      </c>
      <c r="H5" s="130">
        <v>0.27600000000000002</v>
      </c>
      <c r="I5" s="131">
        <v>510093940</v>
      </c>
      <c r="J5" s="129" t="s">
        <v>8933</v>
      </c>
      <c r="K5" s="131">
        <v>78044</v>
      </c>
      <c r="L5" s="129" t="s">
        <v>8934</v>
      </c>
      <c r="M5" s="131">
        <v>514247940</v>
      </c>
      <c r="N5" s="131">
        <v>78559</v>
      </c>
      <c r="O5" s="129">
        <v>4</v>
      </c>
    </row>
    <row r="6" spans="1:15" ht="40.5" x14ac:dyDescent="0.3">
      <c r="A6" s="128">
        <v>43643</v>
      </c>
      <c r="B6" s="129">
        <v>640</v>
      </c>
      <c r="C6" s="130">
        <v>0.106</v>
      </c>
      <c r="D6" s="131">
        <v>1956</v>
      </c>
      <c r="E6" s="130">
        <v>0.105</v>
      </c>
      <c r="F6" s="131">
        <v>278067</v>
      </c>
      <c r="G6" s="130">
        <v>9.6000000000000002E-2</v>
      </c>
      <c r="H6" s="130">
        <v>0.13900000000000001</v>
      </c>
      <c r="I6" s="131">
        <v>328303660</v>
      </c>
      <c r="J6" s="129" t="s">
        <v>8935</v>
      </c>
      <c r="K6" s="131">
        <v>38668</v>
      </c>
      <c r="L6" s="129" t="s">
        <v>8936</v>
      </c>
      <c r="M6" s="131">
        <v>842551600</v>
      </c>
      <c r="N6" s="131">
        <v>117227</v>
      </c>
      <c r="O6" s="129">
        <v>5</v>
      </c>
    </row>
    <row r="7" spans="1:15" ht="27" x14ac:dyDescent="0.3">
      <c r="A7" s="128">
        <v>43644</v>
      </c>
      <c r="B7" s="129">
        <v>617</v>
      </c>
      <c r="C7" s="130">
        <v>0.10100000000000001</v>
      </c>
      <c r="D7" s="131">
        <v>1889</v>
      </c>
      <c r="E7" s="130">
        <v>0.1</v>
      </c>
      <c r="F7" s="131">
        <v>266118</v>
      </c>
      <c r="G7" s="130">
        <v>9.0999999999999998E-2</v>
      </c>
      <c r="H7" s="130">
        <v>0.17499999999999999</v>
      </c>
      <c r="I7" s="131">
        <v>428843080</v>
      </c>
      <c r="J7" s="129" t="s">
        <v>8937</v>
      </c>
      <c r="K7" s="131">
        <v>46446</v>
      </c>
      <c r="L7" s="129" t="s">
        <v>8938</v>
      </c>
      <c r="M7" s="131">
        <v>1271394680</v>
      </c>
      <c r="N7" s="131">
        <v>163673</v>
      </c>
      <c r="O7" s="129">
        <v>5</v>
      </c>
    </row>
    <row r="8" spans="1:15" ht="27" x14ac:dyDescent="0.3">
      <c r="A8" s="128">
        <v>43645</v>
      </c>
      <c r="B8" s="129">
        <v>644</v>
      </c>
      <c r="C8" s="130">
        <v>9.6000000000000002E-2</v>
      </c>
      <c r="D8" s="131">
        <v>1678</v>
      </c>
      <c r="E8" s="130">
        <v>8.5000000000000006E-2</v>
      </c>
      <c r="F8" s="131">
        <v>229858</v>
      </c>
      <c r="G8" s="130">
        <v>7.4999999999999997E-2</v>
      </c>
      <c r="H8" s="130">
        <v>0.315</v>
      </c>
      <c r="I8" s="131">
        <v>660722790</v>
      </c>
      <c r="J8" s="129" t="s">
        <v>8939</v>
      </c>
      <c r="K8" s="131">
        <v>72325</v>
      </c>
      <c r="L8" s="129" t="s">
        <v>8940</v>
      </c>
      <c r="M8" s="131">
        <v>1932117470</v>
      </c>
      <c r="N8" s="131">
        <v>235998</v>
      </c>
      <c r="O8" s="129">
        <v>5</v>
      </c>
    </row>
    <row r="9" spans="1:15" ht="40.5" x14ac:dyDescent="0.3">
      <c r="A9" s="128">
        <v>43646</v>
      </c>
      <c r="B9" s="129">
        <v>636</v>
      </c>
      <c r="C9" s="130">
        <v>9.5000000000000001E-2</v>
      </c>
      <c r="D9" s="131">
        <v>1603</v>
      </c>
      <c r="E9" s="130">
        <v>8.2000000000000003E-2</v>
      </c>
      <c r="F9" s="131">
        <v>218980</v>
      </c>
      <c r="G9" s="130">
        <v>7.2999999999999995E-2</v>
      </c>
      <c r="H9" s="130">
        <v>0.253</v>
      </c>
      <c r="I9" s="131">
        <v>507048220</v>
      </c>
      <c r="J9" s="129" t="s">
        <v>8941</v>
      </c>
      <c r="K9" s="131">
        <v>55330</v>
      </c>
      <c r="L9" s="129" t="s">
        <v>8942</v>
      </c>
      <c r="M9" s="131">
        <v>2439165690</v>
      </c>
      <c r="N9" s="131">
        <v>291328</v>
      </c>
      <c r="O9" s="129">
        <v>5</v>
      </c>
    </row>
    <row r="10" spans="1:15" ht="40.5" x14ac:dyDescent="0.3">
      <c r="A10" s="128">
        <v>43647</v>
      </c>
      <c r="B10" s="129">
        <v>577</v>
      </c>
      <c r="C10" s="130">
        <v>8.6999999999999994E-2</v>
      </c>
      <c r="D10" s="131">
        <v>1580</v>
      </c>
      <c r="E10" s="130">
        <v>8.5000000000000006E-2</v>
      </c>
      <c r="F10" s="131">
        <v>216105</v>
      </c>
      <c r="G10" s="130">
        <v>7.3999999999999996E-2</v>
      </c>
      <c r="H10" s="130">
        <v>0.109</v>
      </c>
      <c r="I10" s="131">
        <v>199071650</v>
      </c>
      <c r="J10" s="129" t="s">
        <v>8943</v>
      </c>
      <c r="K10" s="131">
        <v>23638</v>
      </c>
      <c r="L10" s="129" t="s">
        <v>8944</v>
      </c>
      <c r="M10" s="131">
        <v>2638237340</v>
      </c>
      <c r="N10" s="131">
        <v>314966</v>
      </c>
      <c r="O10" s="129">
        <v>6</v>
      </c>
    </row>
    <row r="11" spans="1:15" ht="40.5" x14ac:dyDescent="0.3">
      <c r="A11" s="128">
        <v>43648</v>
      </c>
      <c r="B11" s="129">
        <v>370</v>
      </c>
      <c r="C11" s="130">
        <v>6.3E-2</v>
      </c>
      <c r="D11" s="129">
        <v>528</v>
      </c>
      <c r="E11" s="130">
        <v>2.8000000000000001E-2</v>
      </c>
      <c r="F11" s="131">
        <v>60968</v>
      </c>
      <c r="G11" s="130">
        <v>2.1000000000000001E-2</v>
      </c>
      <c r="H11" s="130">
        <v>0.16400000000000001</v>
      </c>
      <c r="I11" s="131">
        <v>83017030</v>
      </c>
      <c r="J11" s="129" t="s">
        <v>8945</v>
      </c>
      <c r="K11" s="131">
        <v>10021</v>
      </c>
      <c r="L11" s="129" t="s">
        <v>8946</v>
      </c>
      <c r="M11" s="131">
        <v>2721254370</v>
      </c>
      <c r="N11" s="131">
        <v>324987</v>
      </c>
      <c r="O11" s="129">
        <v>6</v>
      </c>
    </row>
    <row r="12" spans="1:15" ht="27" x14ac:dyDescent="0.3">
      <c r="A12" s="128">
        <v>43649</v>
      </c>
      <c r="B12" s="129">
        <v>253</v>
      </c>
      <c r="C12" s="130">
        <v>4.5999999999999999E-2</v>
      </c>
      <c r="D12" s="129">
        <v>396</v>
      </c>
      <c r="E12" s="130">
        <v>2.1000000000000001E-2</v>
      </c>
      <c r="F12" s="131">
        <v>45363</v>
      </c>
      <c r="G12" s="130">
        <v>1.6E-2</v>
      </c>
      <c r="H12" s="130">
        <v>0.22800000000000001</v>
      </c>
      <c r="I12" s="131">
        <v>82427330</v>
      </c>
      <c r="J12" s="129" t="s">
        <v>8947</v>
      </c>
      <c r="K12" s="131">
        <v>10337</v>
      </c>
      <c r="L12" s="129" t="s">
        <v>8948</v>
      </c>
      <c r="M12" s="131">
        <v>2803681700</v>
      </c>
      <c r="N12" s="131">
        <v>335324</v>
      </c>
      <c r="O12" s="129">
        <v>6</v>
      </c>
    </row>
    <row r="13" spans="1:15" ht="27" x14ac:dyDescent="0.3">
      <c r="A13" s="128">
        <v>43650</v>
      </c>
      <c r="B13" s="129">
        <v>249</v>
      </c>
      <c r="C13" s="130">
        <v>4.3999999999999997E-2</v>
      </c>
      <c r="D13" s="129">
        <v>369</v>
      </c>
      <c r="E13" s="130">
        <v>0.02</v>
      </c>
      <c r="F13" s="131">
        <v>40708</v>
      </c>
      <c r="G13" s="130">
        <v>1.4E-2</v>
      </c>
      <c r="H13" s="130">
        <v>0.245</v>
      </c>
      <c r="I13" s="131">
        <v>77726560</v>
      </c>
      <c r="J13" s="129" t="s">
        <v>8949</v>
      </c>
      <c r="K13" s="131">
        <v>9984</v>
      </c>
      <c r="L13" s="129" t="s">
        <v>8950</v>
      </c>
      <c r="M13" s="131">
        <v>2881408260</v>
      </c>
      <c r="N13" s="131">
        <v>345308</v>
      </c>
      <c r="O13" s="129">
        <v>6</v>
      </c>
    </row>
    <row r="14" spans="1:15" ht="27" x14ac:dyDescent="0.3">
      <c r="A14" s="128">
        <v>43651</v>
      </c>
      <c r="B14" s="129">
        <v>254</v>
      </c>
      <c r="C14" s="130">
        <v>4.3999999999999997E-2</v>
      </c>
      <c r="D14" s="129">
        <v>374</v>
      </c>
      <c r="E14" s="130">
        <v>0.02</v>
      </c>
      <c r="F14" s="131">
        <v>40876</v>
      </c>
      <c r="G14" s="130">
        <v>1.4E-2</v>
      </c>
      <c r="H14" s="130">
        <v>0.42699999999999999</v>
      </c>
      <c r="I14" s="131">
        <v>142958200</v>
      </c>
      <c r="J14" s="129" t="s">
        <v>8951</v>
      </c>
      <c r="K14" s="131">
        <v>17456</v>
      </c>
      <c r="L14" s="129" t="s">
        <v>8952</v>
      </c>
      <c r="M14" s="131">
        <v>3024366460</v>
      </c>
      <c r="N14" s="131">
        <v>362764</v>
      </c>
      <c r="O14" s="129">
        <v>6</v>
      </c>
    </row>
    <row r="15" spans="1:15" ht="27" x14ac:dyDescent="0.3">
      <c r="A15" s="128">
        <v>43652</v>
      </c>
      <c r="B15" s="129">
        <v>242</v>
      </c>
      <c r="C15" s="130">
        <v>4.1000000000000002E-2</v>
      </c>
      <c r="D15" s="129">
        <v>365</v>
      </c>
      <c r="E15" s="130">
        <v>1.7999999999999999E-2</v>
      </c>
      <c r="F15" s="131">
        <v>39894</v>
      </c>
      <c r="G15" s="130">
        <v>1.2999999999999999E-2</v>
      </c>
      <c r="H15" s="130">
        <v>0.498</v>
      </c>
      <c r="I15" s="131">
        <v>161081720</v>
      </c>
      <c r="J15" s="129" t="s">
        <v>8953</v>
      </c>
      <c r="K15" s="131">
        <v>19858</v>
      </c>
      <c r="L15" s="129" t="s">
        <v>8954</v>
      </c>
      <c r="M15" s="131">
        <v>3185448180</v>
      </c>
      <c r="N15" s="131">
        <v>382622</v>
      </c>
      <c r="O15" s="129">
        <v>6</v>
      </c>
    </row>
    <row r="16" spans="1:15" ht="27" x14ac:dyDescent="0.3">
      <c r="A16" s="128">
        <v>43653</v>
      </c>
      <c r="B16" s="129">
        <v>240</v>
      </c>
      <c r="C16" s="130">
        <v>0.04</v>
      </c>
      <c r="D16" s="129">
        <v>386</v>
      </c>
      <c r="E16" s="130">
        <v>0.02</v>
      </c>
      <c r="F16" s="131">
        <v>42355</v>
      </c>
      <c r="G16" s="130">
        <v>1.4E-2</v>
      </c>
      <c r="H16" s="130">
        <v>0.375</v>
      </c>
      <c r="I16" s="131">
        <v>128429800</v>
      </c>
      <c r="J16" s="129" t="s">
        <v>8955</v>
      </c>
      <c r="K16" s="131">
        <v>15872</v>
      </c>
      <c r="L16" s="129" t="s">
        <v>8956</v>
      </c>
      <c r="M16" s="131">
        <v>3313877980</v>
      </c>
      <c r="N16" s="131">
        <v>398494</v>
      </c>
      <c r="O16" s="129">
        <v>6</v>
      </c>
    </row>
    <row r="17" spans="1:15" ht="27" x14ac:dyDescent="0.3">
      <c r="A17" s="128">
        <v>43654</v>
      </c>
      <c r="B17" s="129">
        <v>261</v>
      </c>
      <c r="C17" s="130">
        <v>4.7E-2</v>
      </c>
      <c r="D17" s="129">
        <v>436</v>
      </c>
      <c r="E17" s="130">
        <v>2.4E-2</v>
      </c>
      <c r="F17" s="131">
        <v>49081</v>
      </c>
      <c r="G17" s="130">
        <v>1.7000000000000001E-2</v>
      </c>
      <c r="H17" s="130">
        <v>0.17499999999999999</v>
      </c>
      <c r="I17" s="131">
        <v>68756690</v>
      </c>
      <c r="J17" s="129" t="s">
        <v>8957</v>
      </c>
      <c r="K17" s="131">
        <v>8580</v>
      </c>
      <c r="L17" s="129" t="s">
        <v>8958</v>
      </c>
      <c r="M17" s="131">
        <v>3382634670</v>
      </c>
      <c r="N17" s="131">
        <v>407074</v>
      </c>
      <c r="O17" s="129">
        <v>6</v>
      </c>
    </row>
    <row r="18" spans="1:15" ht="27" x14ac:dyDescent="0.3">
      <c r="A18" s="128">
        <v>43655</v>
      </c>
      <c r="B18" s="129">
        <v>262</v>
      </c>
      <c r="C18" s="130">
        <v>4.5999999999999999E-2</v>
      </c>
      <c r="D18" s="129">
        <v>443</v>
      </c>
      <c r="E18" s="130">
        <v>2.4E-2</v>
      </c>
      <c r="F18" s="131">
        <v>50664</v>
      </c>
      <c r="G18" s="130">
        <v>1.7999999999999999E-2</v>
      </c>
      <c r="H18" s="130">
        <v>0.218</v>
      </c>
      <c r="I18" s="131">
        <v>86712760</v>
      </c>
      <c r="J18" s="129" t="s">
        <v>8959</v>
      </c>
      <c r="K18" s="131">
        <v>11028</v>
      </c>
      <c r="L18" s="129" t="s">
        <v>8960</v>
      </c>
      <c r="M18" s="131">
        <v>3469347430</v>
      </c>
      <c r="N18" s="131">
        <v>418102</v>
      </c>
      <c r="O18" s="129">
        <v>7</v>
      </c>
    </row>
    <row r="19" spans="1:15" ht="27" x14ac:dyDescent="0.3">
      <c r="A19" s="128">
        <v>43656</v>
      </c>
      <c r="B19" s="129">
        <v>157</v>
      </c>
      <c r="C19" s="130">
        <v>0.03</v>
      </c>
      <c r="D19" s="129">
        <v>270</v>
      </c>
      <c r="E19" s="130">
        <v>1.4999999999999999E-2</v>
      </c>
      <c r="F19" s="131">
        <v>31604</v>
      </c>
      <c r="G19" s="130">
        <v>1.0999999999999999E-2</v>
      </c>
      <c r="H19" s="130">
        <v>0.192</v>
      </c>
      <c r="I19" s="131">
        <v>48485180</v>
      </c>
      <c r="J19" s="129" t="s">
        <v>8961</v>
      </c>
      <c r="K19" s="131">
        <v>6082</v>
      </c>
      <c r="L19" s="129" t="s">
        <v>8962</v>
      </c>
      <c r="M19" s="131">
        <v>3517832610</v>
      </c>
      <c r="N19" s="131">
        <v>424184</v>
      </c>
      <c r="O19" s="129">
        <v>8</v>
      </c>
    </row>
    <row r="20" spans="1:15" ht="27" x14ac:dyDescent="0.3">
      <c r="A20" s="128">
        <v>43657</v>
      </c>
      <c r="B20" s="129">
        <v>136</v>
      </c>
      <c r="C20" s="130">
        <v>2.3E-2</v>
      </c>
      <c r="D20" s="129">
        <v>220</v>
      </c>
      <c r="E20" s="130">
        <v>1.2E-2</v>
      </c>
      <c r="F20" s="131">
        <v>24800</v>
      </c>
      <c r="G20" s="130">
        <v>8.9999999999999993E-3</v>
      </c>
      <c r="H20" s="130">
        <v>0.16400000000000001</v>
      </c>
      <c r="I20" s="131">
        <v>32996280</v>
      </c>
      <c r="J20" s="129" t="s">
        <v>8963</v>
      </c>
      <c r="K20" s="131">
        <v>4064</v>
      </c>
      <c r="L20" s="129" t="s">
        <v>8964</v>
      </c>
      <c r="M20" s="131">
        <v>3550828890</v>
      </c>
      <c r="N20" s="131">
        <v>428248</v>
      </c>
      <c r="O20" s="129">
        <v>10</v>
      </c>
    </row>
    <row r="21" spans="1:15" ht="27" x14ac:dyDescent="0.3">
      <c r="A21" s="128">
        <v>43658</v>
      </c>
      <c r="B21" s="129">
        <v>154</v>
      </c>
      <c r="C21" s="130">
        <v>2.5000000000000001E-2</v>
      </c>
      <c r="D21" s="129">
        <v>263</v>
      </c>
      <c r="E21" s="130">
        <v>1.4E-2</v>
      </c>
      <c r="F21" s="131">
        <v>30327</v>
      </c>
      <c r="G21" s="130">
        <v>0.01</v>
      </c>
      <c r="H21" s="130">
        <v>0.214</v>
      </c>
      <c r="I21" s="131">
        <v>55800640</v>
      </c>
      <c r="J21" s="129" t="s">
        <v>8965</v>
      </c>
      <c r="K21" s="131">
        <v>6504</v>
      </c>
      <c r="L21" s="129" t="s">
        <v>8966</v>
      </c>
      <c r="M21" s="131">
        <v>3606629530</v>
      </c>
      <c r="N21" s="131">
        <v>434752</v>
      </c>
      <c r="O21" s="129">
        <v>8</v>
      </c>
    </row>
    <row r="22" spans="1:15" ht="27" x14ac:dyDescent="0.3">
      <c r="A22" s="128">
        <v>43659</v>
      </c>
      <c r="B22" s="129">
        <v>150</v>
      </c>
      <c r="C22" s="130">
        <v>2.3E-2</v>
      </c>
      <c r="D22" s="129">
        <v>273</v>
      </c>
      <c r="E22" s="130">
        <v>1.4E-2</v>
      </c>
      <c r="F22" s="131">
        <v>30133</v>
      </c>
      <c r="G22" s="130">
        <v>0.01</v>
      </c>
      <c r="H22" s="130">
        <v>0.42599999999999999</v>
      </c>
      <c r="I22" s="131">
        <v>107087140</v>
      </c>
      <c r="J22" s="129" t="s">
        <v>8967</v>
      </c>
      <c r="K22" s="131">
        <v>12824</v>
      </c>
      <c r="L22" s="129" t="s">
        <v>8968</v>
      </c>
      <c r="M22" s="131">
        <v>3713716670</v>
      </c>
      <c r="N22" s="131">
        <v>447576</v>
      </c>
      <c r="O22" s="129">
        <v>8</v>
      </c>
    </row>
    <row r="23" spans="1:15" ht="27" x14ac:dyDescent="0.3">
      <c r="A23" s="128">
        <v>43660</v>
      </c>
      <c r="B23" s="129">
        <v>149</v>
      </c>
      <c r="C23" s="130">
        <v>2.3E-2</v>
      </c>
      <c r="D23" s="129">
        <v>277</v>
      </c>
      <c r="E23" s="130">
        <v>1.4E-2</v>
      </c>
      <c r="F23" s="131">
        <v>30551</v>
      </c>
      <c r="G23" s="130">
        <v>0.01</v>
      </c>
      <c r="H23" s="130">
        <v>0.375</v>
      </c>
      <c r="I23" s="131">
        <v>96116360</v>
      </c>
      <c r="J23" s="129" t="s">
        <v>8969</v>
      </c>
      <c r="K23" s="131">
        <v>11461</v>
      </c>
      <c r="L23" s="129" t="s">
        <v>8970</v>
      </c>
      <c r="M23" s="131">
        <v>3809833030</v>
      </c>
      <c r="N23" s="131">
        <v>459037</v>
      </c>
      <c r="O23" s="129">
        <v>8</v>
      </c>
    </row>
    <row r="24" spans="1:15" ht="27" x14ac:dyDescent="0.3">
      <c r="A24" s="128">
        <v>43661</v>
      </c>
      <c r="B24" s="129">
        <v>134</v>
      </c>
      <c r="C24" s="130">
        <v>2.3E-2</v>
      </c>
      <c r="D24" s="129">
        <v>245</v>
      </c>
      <c r="E24" s="130">
        <v>1.4E-2</v>
      </c>
      <c r="F24" s="131">
        <v>28440</v>
      </c>
      <c r="G24" s="130">
        <v>0.01</v>
      </c>
      <c r="H24" s="130">
        <v>0.11700000000000001</v>
      </c>
      <c r="I24" s="131">
        <v>27682880</v>
      </c>
      <c r="J24" s="129" t="s">
        <v>8971</v>
      </c>
      <c r="K24" s="131">
        <v>3324</v>
      </c>
      <c r="L24" s="129" t="s">
        <v>8972</v>
      </c>
      <c r="M24" s="131">
        <v>3837515910</v>
      </c>
      <c r="N24" s="131">
        <v>462361</v>
      </c>
      <c r="O24" s="129">
        <v>9</v>
      </c>
    </row>
    <row r="25" spans="1:15" ht="27" x14ac:dyDescent="0.3">
      <c r="A25" s="128">
        <v>43662</v>
      </c>
      <c r="B25" s="129">
        <v>144</v>
      </c>
      <c r="C25" s="130">
        <v>2.4E-2</v>
      </c>
      <c r="D25" s="129">
        <v>258</v>
      </c>
      <c r="E25" s="130">
        <v>1.4E-2</v>
      </c>
      <c r="F25" s="131">
        <v>30316</v>
      </c>
      <c r="G25" s="130">
        <v>1.0999999999999999E-2</v>
      </c>
      <c r="H25" s="130">
        <v>0.12</v>
      </c>
      <c r="I25" s="131">
        <v>29760940</v>
      </c>
      <c r="J25" s="129" t="s">
        <v>8973</v>
      </c>
      <c r="K25" s="131">
        <v>3646</v>
      </c>
      <c r="L25" s="129" t="s">
        <v>8974</v>
      </c>
      <c r="M25" s="131">
        <v>3867276850</v>
      </c>
      <c r="N25" s="131">
        <v>466007</v>
      </c>
      <c r="O25" s="129">
        <v>9</v>
      </c>
    </row>
    <row r="26" spans="1:15" ht="27" x14ac:dyDescent="0.3">
      <c r="A26" s="128">
        <v>43663</v>
      </c>
      <c r="B26" s="129">
        <v>55</v>
      </c>
      <c r="C26" s="130">
        <v>0.01</v>
      </c>
      <c r="D26" s="129">
        <v>84</v>
      </c>
      <c r="E26" s="130">
        <v>4.0000000000000001E-3</v>
      </c>
      <c r="F26" s="131">
        <v>9140</v>
      </c>
      <c r="G26" s="130">
        <v>3.0000000000000001E-3</v>
      </c>
      <c r="H26" s="130">
        <v>0.189</v>
      </c>
      <c r="I26" s="131">
        <v>11843020</v>
      </c>
      <c r="J26" s="129" t="s">
        <v>8975</v>
      </c>
      <c r="K26" s="131">
        <v>1727</v>
      </c>
      <c r="L26" s="129" t="s">
        <v>8976</v>
      </c>
      <c r="M26" s="131">
        <v>3879119870</v>
      </c>
      <c r="N26" s="131">
        <v>467734</v>
      </c>
      <c r="O26" s="129">
        <v>10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BEE6-0C76-4897-99E7-976025C6AFCB}">
  <dimension ref="A1:O39"/>
  <sheetViews>
    <sheetView workbookViewId="0">
      <selection activeCell="A5" sqref="A5:O30"/>
    </sheetView>
  </sheetViews>
  <sheetFormatPr defaultRowHeight="16.5" x14ac:dyDescent="0.3"/>
  <sheetData>
    <row r="1" spans="1:15" ht="19.5" x14ac:dyDescent="0.3">
      <c r="A1" s="197" t="s">
        <v>8977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39" t="s">
        <v>111</v>
      </c>
      <c r="B4" s="134" t="s">
        <v>112</v>
      </c>
      <c r="C4" s="134" t="s">
        <v>113</v>
      </c>
      <c r="D4" s="134" t="s">
        <v>114</v>
      </c>
      <c r="E4" s="134" t="s">
        <v>115</v>
      </c>
      <c r="F4" s="134" t="s">
        <v>116</v>
      </c>
      <c r="G4" s="134" t="s">
        <v>117</v>
      </c>
      <c r="H4" s="134" t="s">
        <v>118</v>
      </c>
      <c r="I4" s="134" t="s">
        <v>119</v>
      </c>
      <c r="J4" s="134" t="s">
        <v>120</v>
      </c>
      <c r="K4" s="134" t="s">
        <v>121</v>
      </c>
      <c r="L4" s="134" t="s">
        <v>122</v>
      </c>
      <c r="M4" s="134" t="s">
        <v>123</v>
      </c>
      <c r="N4" s="134" t="s">
        <v>124</v>
      </c>
      <c r="O4" s="140" t="s">
        <v>125</v>
      </c>
    </row>
    <row r="5" spans="1:15" ht="27" x14ac:dyDescent="0.3">
      <c r="A5" s="135">
        <v>43629</v>
      </c>
      <c r="B5" s="136">
        <v>322</v>
      </c>
      <c r="C5" s="137">
        <v>0.06</v>
      </c>
      <c r="D5" s="136">
        <v>446</v>
      </c>
      <c r="E5" s="137">
        <v>2.5000000000000001E-2</v>
      </c>
      <c r="F5" s="138">
        <v>54580</v>
      </c>
      <c r="G5" s="137">
        <v>0.02</v>
      </c>
      <c r="H5" s="137">
        <v>0.14799999999999999</v>
      </c>
      <c r="I5" s="138">
        <v>61486540</v>
      </c>
      <c r="J5" s="136" t="s">
        <v>8978</v>
      </c>
      <c r="K5" s="138">
        <v>8053</v>
      </c>
      <c r="L5" s="136" t="s">
        <v>8979</v>
      </c>
      <c r="M5" s="138">
        <v>152563040</v>
      </c>
      <c r="N5" s="138">
        <v>21176</v>
      </c>
      <c r="O5" s="136">
        <v>4</v>
      </c>
    </row>
    <row r="6" spans="1:15" ht="27" x14ac:dyDescent="0.3">
      <c r="A6" s="135">
        <v>43630</v>
      </c>
      <c r="B6" s="136">
        <v>319</v>
      </c>
      <c r="C6" s="137">
        <v>5.7000000000000002E-2</v>
      </c>
      <c r="D6" s="136">
        <v>458</v>
      </c>
      <c r="E6" s="137">
        <v>2.5000000000000001E-2</v>
      </c>
      <c r="F6" s="138">
        <v>56148</v>
      </c>
      <c r="G6" s="137">
        <v>0.02</v>
      </c>
      <c r="H6" s="137">
        <v>0.125</v>
      </c>
      <c r="I6" s="138">
        <v>57916200</v>
      </c>
      <c r="J6" s="136" t="s">
        <v>8980</v>
      </c>
      <c r="K6" s="138">
        <v>7030</v>
      </c>
      <c r="L6" s="136" t="s">
        <v>8981</v>
      </c>
      <c r="M6" s="138">
        <v>210479240</v>
      </c>
      <c r="N6" s="138">
        <v>28206</v>
      </c>
      <c r="O6" s="136">
        <v>5</v>
      </c>
    </row>
    <row r="7" spans="1:15" ht="27" x14ac:dyDescent="0.3">
      <c r="A7" s="135">
        <v>43631</v>
      </c>
      <c r="B7" s="136">
        <v>368</v>
      </c>
      <c r="C7" s="137">
        <v>6.0999999999999999E-2</v>
      </c>
      <c r="D7" s="136">
        <v>593</v>
      </c>
      <c r="E7" s="137">
        <v>3.1E-2</v>
      </c>
      <c r="F7" s="138">
        <v>71779</v>
      </c>
      <c r="G7" s="137">
        <v>2.4E-2</v>
      </c>
      <c r="H7" s="137">
        <v>0.33500000000000002</v>
      </c>
      <c r="I7" s="138">
        <v>191373210</v>
      </c>
      <c r="J7" s="136" t="s">
        <v>8982</v>
      </c>
      <c r="K7" s="138">
        <v>24061</v>
      </c>
      <c r="L7" s="136" t="s">
        <v>8983</v>
      </c>
      <c r="M7" s="138">
        <v>401852450</v>
      </c>
      <c r="N7" s="138">
        <v>52267</v>
      </c>
      <c r="O7" s="136">
        <v>4</v>
      </c>
    </row>
    <row r="8" spans="1:15" ht="27" x14ac:dyDescent="0.3">
      <c r="A8" s="135">
        <v>43632</v>
      </c>
      <c r="B8" s="136">
        <v>381</v>
      </c>
      <c r="C8" s="137">
        <v>6.3E-2</v>
      </c>
      <c r="D8" s="136">
        <v>583</v>
      </c>
      <c r="E8" s="137">
        <v>3.1E-2</v>
      </c>
      <c r="F8" s="138">
        <v>70773</v>
      </c>
      <c r="G8" s="137">
        <v>2.4E-2</v>
      </c>
      <c r="H8" s="137">
        <v>0.36099999999999999</v>
      </c>
      <c r="I8" s="138">
        <v>201033580</v>
      </c>
      <c r="J8" s="136" t="s">
        <v>8984</v>
      </c>
      <c r="K8" s="138">
        <v>25526</v>
      </c>
      <c r="L8" s="136" t="s">
        <v>8985</v>
      </c>
      <c r="M8" s="138">
        <v>602886030</v>
      </c>
      <c r="N8" s="138">
        <v>77793</v>
      </c>
      <c r="O8" s="136">
        <v>4</v>
      </c>
    </row>
    <row r="9" spans="1:15" ht="40.5" x14ac:dyDescent="0.3">
      <c r="A9" s="135">
        <v>43633</v>
      </c>
      <c r="B9" s="136">
        <v>314</v>
      </c>
      <c r="C9" s="137">
        <v>0.06</v>
      </c>
      <c r="D9" s="136">
        <v>489</v>
      </c>
      <c r="E9" s="137">
        <v>2.8000000000000001E-2</v>
      </c>
      <c r="F9" s="138">
        <v>58908</v>
      </c>
      <c r="G9" s="137">
        <v>2.1999999999999999E-2</v>
      </c>
      <c r="H9" s="137">
        <v>0.129</v>
      </c>
      <c r="I9" s="138">
        <v>58419100</v>
      </c>
      <c r="J9" s="136" t="s">
        <v>8986</v>
      </c>
      <c r="K9" s="138">
        <v>7617</v>
      </c>
      <c r="L9" s="136" t="s">
        <v>8987</v>
      </c>
      <c r="M9" s="138">
        <v>661305130</v>
      </c>
      <c r="N9" s="138">
        <v>85410</v>
      </c>
      <c r="O9" s="136">
        <v>4</v>
      </c>
    </row>
    <row r="10" spans="1:15" ht="27" x14ac:dyDescent="0.3">
      <c r="A10" s="135">
        <v>43634</v>
      </c>
      <c r="B10" s="136">
        <v>326</v>
      </c>
      <c r="C10" s="137">
        <v>0.06</v>
      </c>
      <c r="D10" s="136">
        <v>497</v>
      </c>
      <c r="E10" s="137">
        <v>2.9000000000000001E-2</v>
      </c>
      <c r="F10" s="138">
        <v>60821</v>
      </c>
      <c r="G10" s="137">
        <v>2.3E-2</v>
      </c>
      <c r="H10" s="137">
        <v>0.14499999999999999</v>
      </c>
      <c r="I10" s="138">
        <v>65365370</v>
      </c>
      <c r="J10" s="136" t="s">
        <v>8988</v>
      </c>
      <c r="K10" s="138">
        <v>8820</v>
      </c>
      <c r="L10" s="136" t="s">
        <v>8989</v>
      </c>
      <c r="M10" s="138">
        <v>726670500</v>
      </c>
      <c r="N10" s="138">
        <v>94230</v>
      </c>
      <c r="O10" s="136">
        <v>4</v>
      </c>
    </row>
    <row r="11" spans="1:15" ht="27" x14ac:dyDescent="0.3">
      <c r="A11" s="135">
        <v>43635</v>
      </c>
      <c r="B11" s="136">
        <v>262</v>
      </c>
      <c r="C11" s="137">
        <v>5.0999999999999997E-2</v>
      </c>
      <c r="D11" s="136">
        <v>354</v>
      </c>
      <c r="E11" s="137">
        <v>0.02</v>
      </c>
      <c r="F11" s="138">
        <v>43118</v>
      </c>
      <c r="G11" s="137">
        <v>1.6E-2</v>
      </c>
      <c r="H11" s="137">
        <v>0.14000000000000001</v>
      </c>
      <c r="I11" s="138">
        <v>43533560</v>
      </c>
      <c r="J11" s="136" t="s">
        <v>8990</v>
      </c>
      <c r="K11" s="138">
        <v>6017</v>
      </c>
      <c r="L11" s="136" t="s">
        <v>8991</v>
      </c>
      <c r="M11" s="138">
        <v>770204060</v>
      </c>
      <c r="N11" s="138">
        <v>100247</v>
      </c>
      <c r="O11" s="136">
        <v>5</v>
      </c>
    </row>
    <row r="12" spans="1:15" ht="27" x14ac:dyDescent="0.3">
      <c r="A12" s="135">
        <v>43636</v>
      </c>
      <c r="B12" s="136">
        <v>124</v>
      </c>
      <c r="C12" s="137">
        <v>2.1999999999999999E-2</v>
      </c>
      <c r="D12" s="136">
        <v>164</v>
      </c>
      <c r="E12" s="137">
        <v>8.9999999999999993E-3</v>
      </c>
      <c r="F12" s="138">
        <v>20850</v>
      </c>
      <c r="G12" s="137">
        <v>7.0000000000000001E-3</v>
      </c>
      <c r="H12" s="137">
        <v>0.20799999999999999</v>
      </c>
      <c r="I12" s="138">
        <v>32127580</v>
      </c>
      <c r="J12" s="136" t="s">
        <v>8992</v>
      </c>
      <c r="K12" s="138">
        <v>4346</v>
      </c>
      <c r="L12" s="136" t="s">
        <v>8993</v>
      </c>
      <c r="M12" s="138">
        <v>802331640</v>
      </c>
      <c r="N12" s="138">
        <v>104593</v>
      </c>
      <c r="O12" s="136">
        <v>7</v>
      </c>
    </row>
    <row r="13" spans="1:15" ht="27" x14ac:dyDescent="0.3">
      <c r="A13" s="135">
        <v>43637</v>
      </c>
      <c r="B13" s="136">
        <v>136</v>
      </c>
      <c r="C13" s="137">
        <v>2.3E-2</v>
      </c>
      <c r="D13" s="136">
        <v>180</v>
      </c>
      <c r="E13" s="137">
        <v>8.9999999999999993E-3</v>
      </c>
      <c r="F13" s="138">
        <v>23059</v>
      </c>
      <c r="G13" s="137">
        <v>8.0000000000000002E-3</v>
      </c>
      <c r="H13" s="137">
        <v>0.23899999999999999</v>
      </c>
      <c r="I13" s="138">
        <v>42203260</v>
      </c>
      <c r="J13" s="136" t="s">
        <v>8994</v>
      </c>
      <c r="K13" s="138">
        <v>5506</v>
      </c>
      <c r="L13" s="136" t="s">
        <v>8995</v>
      </c>
      <c r="M13" s="138">
        <v>844534900</v>
      </c>
      <c r="N13" s="138">
        <v>110099</v>
      </c>
      <c r="O13" s="136">
        <v>7</v>
      </c>
    </row>
    <row r="14" spans="1:15" ht="27" x14ac:dyDescent="0.3">
      <c r="A14" s="135">
        <v>43638</v>
      </c>
      <c r="B14" s="136">
        <v>210</v>
      </c>
      <c r="C14" s="137">
        <v>3.3000000000000002E-2</v>
      </c>
      <c r="D14" s="136">
        <v>262</v>
      </c>
      <c r="E14" s="137">
        <v>1.2999999999999999E-2</v>
      </c>
      <c r="F14" s="138">
        <v>31238</v>
      </c>
      <c r="G14" s="137">
        <v>0.01</v>
      </c>
      <c r="H14" s="137">
        <v>0.50900000000000001</v>
      </c>
      <c r="I14" s="138">
        <v>124502330</v>
      </c>
      <c r="J14" s="136" t="s">
        <v>8996</v>
      </c>
      <c r="K14" s="138">
        <v>15903</v>
      </c>
      <c r="L14" s="136" t="s">
        <v>8997</v>
      </c>
      <c r="M14" s="138">
        <v>969037230</v>
      </c>
      <c r="N14" s="138">
        <v>126002</v>
      </c>
      <c r="O14" s="136">
        <v>7</v>
      </c>
    </row>
    <row r="15" spans="1:15" ht="27" x14ac:dyDescent="0.3">
      <c r="A15" s="135">
        <v>43639</v>
      </c>
      <c r="B15" s="136">
        <v>235</v>
      </c>
      <c r="C15" s="137">
        <v>3.5999999999999997E-2</v>
      </c>
      <c r="D15" s="136">
        <v>282</v>
      </c>
      <c r="E15" s="137">
        <v>1.4E-2</v>
      </c>
      <c r="F15" s="138">
        <v>34558</v>
      </c>
      <c r="G15" s="137">
        <v>1.0999999999999999E-2</v>
      </c>
      <c r="H15" s="137">
        <v>0.58099999999999996</v>
      </c>
      <c r="I15" s="138">
        <v>153515200</v>
      </c>
      <c r="J15" s="136" t="s">
        <v>8998</v>
      </c>
      <c r="K15" s="138">
        <v>20084</v>
      </c>
      <c r="L15" s="136" t="s">
        <v>8999</v>
      </c>
      <c r="M15" s="138">
        <v>1122552430</v>
      </c>
      <c r="N15" s="138">
        <v>146086</v>
      </c>
      <c r="O15" s="136">
        <v>6</v>
      </c>
    </row>
    <row r="16" spans="1:15" ht="40.5" x14ac:dyDescent="0.3">
      <c r="A16" s="135">
        <v>43640</v>
      </c>
      <c r="B16" s="136">
        <v>142</v>
      </c>
      <c r="C16" s="137">
        <v>2.5999999999999999E-2</v>
      </c>
      <c r="D16" s="136">
        <v>197</v>
      </c>
      <c r="E16" s="137">
        <v>1.0999999999999999E-2</v>
      </c>
      <c r="F16" s="138">
        <v>24995</v>
      </c>
      <c r="G16" s="137">
        <v>8.9999999999999993E-3</v>
      </c>
      <c r="H16" s="137">
        <v>0.17599999999999999</v>
      </c>
      <c r="I16" s="138">
        <v>33824180</v>
      </c>
      <c r="J16" s="136" t="s">
        <v>9000</v>
      </c>
      <c r="K16" s="138">
        <v>4388</v>
      </c>
      <c r="L16" s="136" t="s">
        <v>9001</v>
      </c>
      <c r="M16" s="138">
        <v>1156376610</v>
      </c>
      <c r="N16" s="138">
        <v>150474</v>
      </c>
      <c r="O16" s="136">
        <v>7</v>
      </c>
    </row>
    <row r="17" spans="1:15" ht="27" x14ac:dyDescent="0.3">
      <c r="A17" s="135">
        <v>43641</v>
      </c>
      <c r="B17" s="136">
        <v>153</v>
      </c>
      <c r="C17" s="137">
        <v>2.7E-2</v>
      </c>
      <c r="D17" s="136">
        <v>211</v>
      </c>
      <c r="E17" s="137">
        <v>1.0999999999999999E-2</v>
      </c>
      <c r="F17" s="138">
        <v>27319</v>
      </c>
      <c r="G17" s="137">
        <v>8.9999999999999993E-3</v>
      </c>
      <c r="H17" s="137">
        <v>0.19400000000000001</v>
      </c>
      <c r="I17" s="138">
        <v>39367160</v>
      </c>
      <c r="J17" s="136" t="s">
        <v>9002</v>
      </c>
      <c r="K17" s="138">
        <v>5307</v>
      </c>
      <c r="L17" s="136" t="s">
        <v>9003</v>
      </c>
      <c r="M17" s="138">
        <v>1195743770</v>
      </c>
      <c r="N17" s="138">
        <v>155781</v>
      </c>
      <c r="O17" s="136">
        <v>6</v>
      </c>
    </row>
    <row r="18" spans="1:15" ht="27" x14ac:dyDescent="0.3">
      <c r="A18" s="135">
        <v>43642</v>
      </c>
      <c r="B18" s="136">
        <v>112</v>
      </c>
      <c r="C18" s="137">
        <v>1.7000000000000001E-2</v>
      </c>
      <c r="D18" s="136">
        <v>131</v>
      </c>
      <c r="E18" s="137">
        <v>7.0000000000000001E-3</v>
      </c>
      <c r="F18" s="138">
        <v>17290</v>
      </c>
      <c r="G18" s="137">
        <v>6.0000000000000001E-3</v>
      </c>
      <c r="H18" s="137">
        <v>0.27400000000000002</v>
      </c>
      <c r="I18" s="138">
        <v>29901340</v>
      </c>
      <c r="J18" s="136" t="s">
        <v>9004</v>
      </c>
      <c r="K18" s="138">
        <v>4733</v>
      </c>
      <c r="L18" s="136" t="s">
        <v>9005</v>
      </c>
      <c r="M18" s="138">
        <v>1225645110</v>
      </c>
      <c r="N18" s="138">
        <v>160514</v>
      </c>
      <c r="O18" s="136">
        <v>9</v>
      </c>
    </row>
    <row r="19" spans="1:15" ht="27" x14ac:dyDescent="0.3">
      <c r="A19" s="135">
        <v>43643</v>
      </c>
      <c r="B19" s="136">
        <v>112</v>
      </c>
      <c r="C19" s="137">
        <v>1.9E-2</v>
      </c>
      <c r="D19" s="136">
        <v>144</v>
      </c>
      <c r="E19" s="137">
        <v>8.0000000000000002E-3</v>
      </c>
      <c r="F19" s="138">
        <v>18318</v>
      </c>
      <c r="G19" s="137">
        <v>6.0000000000000001E-3</v>
      </c>
      <c r="H19" s="137">
        <v>0.23699999999999999</v>
      </c>
      <c r="I19" s="138">
        <v>30794080</v>
      </c>
      <c r="J19" s="136" t="s">
        <v>9006</v>
      </c>
      <c r="K19" s="138">
        <v>4338</v>
      </c>
      <c r="L19" s="136" t="s">
        <v>9007</v>
      </c>
      <c r="M19" s="138">
        <v>1256439190</v>
      </c>
      <c r="N19" s="138">
        <v>164852</v>
      </c>
      <c r="O19" s="136">
        <v>9</v>
      </c>
    </row>
    <row r="20" spans="1:15" ht="27" x14ac:dyDescent="0.3">
      <c r="A20" s="135">
        <v>43644</v>
      </c>
      <c r="B20" s="136">
        <v>118</v>
      </c>
      <c r="C20" s="137">
        <v>1.9E-2</v>
      </c>
      <c r="D20" s="136">
        <v>147</v>
      </c>
      <c r="E20" s="137">
        <v>8.0000000000000002E-3</v>
      </c>
      <c r="F20" s="138">
        <v>18424</v>
      </c>
      <c r="G20" s="137">
        <v>6.0000000000000001E-3</v>
      </c>
      <c r="H20" s="137">
        <v>0.255</v>
      </c>
      <c r="I20" s="138">
        <v>36050470</v>
      </c>
      <c r="J20" s="136" t="s">
        <v>9008</v>
      </c>
      <c r="K20" s="138">
        <v>4694</v>
      </c>
      <c r="L20" s="136" t="s">
        <v>9009</v>
      </c>
      <c r="M20" s="138">
        <v>1292489660</v>
      </c>
      <c r="N20" s="138">
        <v>169546</v>
      </c>
      <c r="O20" s="136">
        <v>9</v>
      </c>
    </row>
    <row r="21" spans="1:15" ht="27" x14ac:dyDescent="0.3">
      <c r="A21" s="135">
        <v>43645</v>
      </c>
      <c r="B21" s="136">
        <v>162</v>
      </c>
      <c r="C21" s="137">
        <v>2.4E-2</v>
      </c>
      <c r="D21" s="136">
        <v>200</v>
      </c>
      <c r="E21" s="137">
        <v>0.01</v>
      </c>
      <c r="F21" s="138">
        <v>24915</v>
      </c>
      <c r="G21" s="137">
        <v>8.0000000000000002E-3</v>
      </c>
      <c r="H21" s="137">
        <v>0.54100000000000004</v>
      </c>
      <c r="I21" s="138">
        <v>104658900</v>
      </c>
      <c r="J21" s="136" t="s">
        <v>9010</v>
      </c>
      <c r="K21" s="138">
        <v>13474</v>
      </c>
      <c r="L21" s="136" t="s">
        <v>9011</v>
      </c>
      <c r="M21" s="138">
        <v>1397148560</v>
      </c>
      <c r="N21" s="138">
        <v>183020</v>
      </c>
      <c r="O21" s="136">
        <v>8</v>
      </c>
    </row>
    <row r="22" spans="1:15" ht="27" x14ac:dyDescent="0.3">
      <c r="A22" s="135">
        <v>43646</v>
      </c>
      <c r="B22" s="136">
        <v>188</v>
      </c>
      <c r="C22" s="137">
        <v>2.8000000000000001E-2</v>
      </c>
      <c r="D22" s="136">
        <v>222</v>
      </c>
      <c r="E22" s="137">
        <v>1.0999999999999999E-2</v>
      </c>
      <c r="F22" s="138">
        <v>27551</v>
      </c>
      <c r="G22" s="137">
        <v>8.9999999999999993E-3</v>
      </c>
      <c r="H22" s="137">
        <v>0.60899999999999999</v>
      </c>
      <c r="I22" s="138">
        <v>123800300</v>
      </c>
      <c r="J22" s="136" t="s">
        <v>9012</v>
      </c>
      <c r="K22" s="138">
        <v>16771</v>
      </c>
      <c r="L22" s="136" t="s">
        <v>9013</v>
      </c>
      <c r="M22" s="138">
        <v>1520948860</v>
      </c>
      <c r="N22" s="138">
        <v>199791</v>
      </c>
      <c r="O22" s="136">
        <v>8</v>
      </c>
    </row>
    <row r="23" spans="1:15" ht="40.5" x14ac:dyDescent="0.3">
      <c r="A23" s="135">
        <v>43647</v>
      </c>
      <c r="B23" s="136">
        <v>104</v>
      </c>
      <c r="C23" s="137">
        <v>1.6E-2</v>
      </c>
      <c r="D23" s="136">
        <v>133</v>
      </c>
      <c r="E23" s="137">
        <v>7.0000000000000001E-3</v>
      </c>
      <c r="F23" s="138">
        <v>16449</v>
      </c>
      <c r="G23" s="137">
        <v>6.0000000000000001E-3</v>
      </c>
      <c r="H23" s="137">
        <v>0.17100000000000001</v>
      </c>
      <c r="I23" s="138">
        <v>21742780</v>
      </c>
      <c r="J23" s="136" t="s">
        <v>9014</v>
      </c>
      <c r="K23" s="138">
        <v>2817</v>
      </c>
      <c r="L23" s="136" t="s">
        <v>9015</v>
      </c>
      <c r="M23" s="138">
        <v>1542691640</v>
      </c>
      <c r="N23" s="138">
        <v>202608</v>
      </c>
      <c r="O23" s="136">
        <v>10</v>
      </c>
    </row>
    <row r="24" spans="1:15" ht="27" x14ac:dyDescent="0.3">
      <c r="A24" s="135">
        <v>43648</v>
      </c>
      <c r="B24" s="136">
        <v>65</v>
      </c>
      <c r="C24" s="137">
        <v>1.0999999999999999E-2</v>
      </c>
      <c r="D24" s="136">
        <v>81</v>
      </c>
      <c r="E24" s="137">
        <v>4.0000000000000001E-3</v>
      </c>
      <c r="F24" s="138">
        <v>9405</v>
      </c>
      <c r="G24" s="137">
        <v>3.0000000000000001E-3</v>
      </c>
      <c r="H24" s="137">
        <v>0.214</v>
      </c>
      <c r="I24" s="138">
        <v>14706000</v>
      </c>
      <c r="J24" s="136" t="s">
        <v>9016</v>
      </c>
      <c r="K24" s="138">
        <v>2013</v>
      </c>
      <c r="L24" s="136" t="s">
        <v>9017</v>
      </c>
      <c r="M24" s="138">
        <v>1557397640</v>
      </c>
      <c r="N24" s="138">
        <v>204621</v>
      </c>
      <c r="O24" s="136">
        <v>9</v>
      </c>
    </row>
    <row r="25" spans="1:15" ht="27" x14ac:dyDescent="0.3">
      <c r="A25" s="135">
        <v>43649</v>
      </c>
      <c r="B25" s="136">
        <v>66</v>
      </c>
      <c r="C25" s="137">
        <v>1.2E-2</v>
      </c>
      <c r="D25" s="136">
        <v>84</v>
      </c>
      <c r="E25" s="137">
        <v>5.0000000000000001E-3</v>
      </c>
      <c r="F25" s="138">
        <v>10291</v>
      </c>
      <c r="G25" s="137">
        <v>4.0000000000000001E-3</v>
      </c>
      <c r="H25" s="137">
        <v>0.254</v>
      </c>
      <c r="I25" s="138">
        <v>17676420</v>
      </c>
      <c r="J25" s="136" t="s">
        <v>9018</v>
      </c>
      <c r="K25" s="138">
        <v>2609</v>
      </c>
      <c r="L25" s="136" t="s">
        <v>9019</v>
      </c>
      <c r="M25" s="138">
        <v>1575074060</v>
      </c>
      <c r="N25" s="138">
        <v>207230</v>
      </c>
      <c r="O25" s="136">
        <v>9</v>
      </c>
    </row>
    <row r="26" spans="1:15" ht="27" x14ac:dyDescent="0.3">
      <c r="A26" s="135">
        <v>43650</v>
      </c>
      <c r="B26" s="136">
        <v>64</v>
      </c>
      <c r="C26" s="137">
        <v>1.0999999999999999E-2</v>
      </c>
      <c r="D26" s="136">
        <v>82</v>
      </c>
      <c r="E26" s="137">
        <v>4.0000000000000001E-3</v>
      </c>
      <c r="F26" s="138">
        <v>10242</v>
      </c>
      <c r="G26" s="137">
        <v>4.0000000000000001E-3</v>
      </c>
      <c r="H26" s="137">
        <v>0.21299999999999999</v>
      </c>
      <c r="I26" s="138">
        <v>15612080</v>
      </c>
      <c r="J26" s="136" t="s">
        <v>9020</v>
      </c>
      <c r="K26" s="138">
        <v>2177</v>
      </c>
      <c r="L26" s="136" t="s">
        <v>9021</v>
      </c>
      <c r="M26" s="138">
        <v>1590686140</v>
      </c>
      <c r="N26" s="138">
        <v>209407</v>
      </c>
      <c r="O26" s="136">
        <v>11</v>
      </c>
    </row>
    <row r="27" spans="1:15" ht="27" x14ac:dyDescent="0.3">
      <c r="A27" s="135">
        <v>43651</v>
      </c>
      <c r="B27" s="136">
        <v>69</v>
      </c>
      <c r="C27" s="137">
        <v>1.2E-2</v>
      </c>
      <c r="D27" s="136">
        <v>85</v>
      </c>
      <c r="E27" s="137">
        <v>4.0000000000000001E-3</v>
      </c>
      <c r="F27" s="138">
        <v>11140</v>
      </c>
      <c r="G27" s="137">
        <v>4.0000000000000001E-3</v>
      </c>
      <c r="H27" s="137">
        <v>0.317</v>
      </c>
      <c r="I27" s="138">
        <v>27071150</v>
      </c>
      <c r="J27" s="136" t="s">
        <v>9022</v>
      </c>
      <c r="K27" s="138">
        <v>3535</v>
      </c>
      <c r="L27" s="136" t="s">
        <v>9023</v>
      </c>
      <c r="M27" s="138">
        <v>1617757290</v>
      </c>
      <c r="N27" s="138">
        <v>212942</v>
      </c>
      <c r="O27" s="136">
        <v>8</v>
      </c>
    </row>
    <row r="28" spans="1:15" ht="27" x14ac:dyDescent="0.3">
      <c r="A28" s="135">
        <v>43652</v>
      </c>
      <c r="B28" s="136">
        <v>82</v>
      </c>
      <c r="C28" s="137">
        <v>1.4E-2</v>
      </c>
      <c r="D28" s="136">
        <v>105</v>
      </c>
      <c r="E28" s="137">
        <v>5.0000000000000001E-3</v>
      </c>
      <c r="F28" s="138">
        <v>12319</v>
      </c>
      <c r="G28" s="137">
        <v>4.0000000000000001E-3</v>
      </c>
      <c r="H28" s="137">
        <v>0.53500000000000003</v>
      </c>
      <c r="I28" s="138">
        <v>51074700</v>
      </c>
      <c r="J28" s="136" t="s">
        <v>9024</v>
      </c>
      <c r="K28" s="138">
        <v>6595</v>
      </c>
      <c r="L28" s="136" t="s">
        <v>9025</v>
      </c>
      <c r="M28" s="138">
        <v>1668831990</v>
      </c>
      <c r="N28" s="138">
        <v>219537</v>
      </c>
      <c r="O28" s="136">
        <v>7</v>
      </c>
    </row>
    <row r="29" spans="1:15" ht="27" x14ac:dyDescent="0.3">
      <c r="A29" s="135">
        <v>43653</v>
      </c>
      <c r="B29" s="136">
        <v>115</v>
      </c>
      <c r="C29" s="137">
        <v>1.9E-2</v>
      </c>
      <c r="D29" s="136">
        <v>133</v>
      </c>
      <c r="E29" s="137">
        <v>7.0000000000000001E-3</v>
      </c>
      <c r="F29" s="138">
        <v>14787</v>
      </c>
      <c r="G29" s="137">
        <v>5.0000000000000001E-3</v>
      </c>
      <c r="H29" s="137">
        <v>0.59699999999999998</v>
      </c>
      <c r="I29" s="138">
        <v>62354660</v>
      </c>
      <c r="J29" s="136" t="s">
        <v>9026</v>
      </c>
      <c r="K29" s="138">
        <v>8828</v>
      </c>
      <c r="L29" s="136" t="s">
        <v>9027</v>
      </c>
      <c r="M29" s="138">
        <v>1731186650</v>
      </c>
      <c r="N29" s="138">
        <v>228365</v>
      </c>
      <c r="O29" s="136">
        <v>7</v>
      </c>
    </row>
    <row r="30" spans="1:15" ht="27" x14ac:dyDescent="0.3">
      <c r="A30" s="135">
        <v>43654</v>
      </c>
      <c r="B30" s="136">
        <v>67</v>
      </c>
      <c r="C30" s="137">
        <v>1.2E-2</v>
      </c>
      <c r="D30" s="136">
        <v>85</v>
      </c>
      <c r="E30" s="137">
        <v>5.0000000000000001E-3</v>
      </c>
      <c r="F30" s="138">
        <v>10239</v>
      </c>
      <c r="G30" s="137">
        <v>4.0000000000000001E-3</v>
      </c>
      <c r="H30" s="137">
        <v>0.17499999999999999</v>
      </c>
      <c r="I30" s="138">
        <v>12997780</v>
      </c>
      <c r="J30" s="136" t="s">
        <v>9028</v>
      </c>
      <c r="K30" s="138">
        <v>1794</v>
      </c>
      <c r="L30" s="136" t="s">
        <v>9029</v>
      </c>
      <c r="M30" s="138">
        <v>1744184430</v>
      </c>
      <c r="N30" s="138">
        <v>230159</v>
      </c>
      <c r="O30" s="136">
        <v>9</v>
      </c>
    </row>
    <row r="31" spans="1:15" ht="27" x14ac:dyDescent="0.3">
      <c r="A31" s="135">
        <v>43655</v>
      </c>
      <c r="B31" s="136">
        <v>70</v>
      </c>
      <c r="C31" s="137">
        <v>1.2E-2</v>
      </c>
      <c r="D31" s="136">
        <v>89</v>
      </c>
      <c r="E31" s="137">
        <v>5.0000000000000001E-3</v>
      </c>
      <c r="F31" s="138">
        <v>10840</v>
      </c>
      <c r="G31" s="137">
        <v>4.0000000000000001E-3</v>
      </c>
      <c r="H31" s="137">
        <v>0.2</v>
      </c>
      <c r="I31" s="138">
        <v>14889780</v>
      </c>
      <c r="J31" s="136" t="s">
        <v>9030</v>
      </c>
      <c r="K31" s="138">
        <v>2171</v>
      </c>
      <c r="L31" s="136" t="s">
        <v>9031</v>
      </c>
      <c r="M31" s="138">
        <v>1759074210</v>
      </c>
      <c r="N31" s="138">
        <v>232330</v>
      </c>
      <c r="O31" s="136">
        <v>9</v>
      </c>
    </row>
    <row r="32" spans="1:15" ht="27" x14ac:dyDescent="0.3">
      <c r="A32" s="135">
        <v>43656</v>
      </c>
      <c r="B32" s="136">
        <v>69</v>
      </c>
      <c r="C32" s="137">
        <v>1.2999999999999999E-2</v>
      </c>
      <c r="D32" s="136">
        <v>86</v>
      </c>
      <c r="E32" s="137">
        <v>5.0000000000000001E-3</v>
      </c>
      <c r="F32" s="138">
        <v>10361</v>
      </c>
      <c r="G32" s="137">
        <v>4.0000000000000001E-3</v>
      </c>
      <c r="H32" s="137">
        <v>0.28399999999999997</v>
      </c>
      <c r="I32" s="138">
        <v>17580020</v>
      </c>
      <c r="J32" s="136" t="s">
        <v>9032</v>
      </c>
      <c r="K32" s="138">
        <v>2947</v>
      </c>
      <c r="L32" s="136" t="s">
        <v>9033</v>
      </c>
      <c r="M32" s="138">
        <v>1776654230</v>
      </c>
      <c r="N32" s="138">
        <v>235277</v>
      </c>
      <c r="O32" s="136">
        <v>9</v>
      </c>
    </row>
    <row r="33" spans="1:15" ht="27" x14ac:dyDescent="0.3">
      <c r="A33" s="135">
        <v>43657</v>
      </c>
      <c r="B33" s="136">
        <v>60</v>
      </c>
      <c r="C33" s="137">
        <v>0.01</v>
      </c>
      <c r="D33" s="136">
        <v>77</v>
      </c>
      <c r="E33" s="137">
        <v>4.0000000000000001E-3</v>
      </c>
      <c r="F33" s="138">
        <v>9799</v>
      </c>
      <c r="G33" s="137">
        <v>3.0000000000000001E-3</v>
      </c>
      <c r="H33" s="137">
        <v>0.19800000000000001</v>
      </c>
      <c r="I33" s="138">
        <v>14122700</v>
      </c>
      <c r="J33" s="136" t="s">
        <v>9034</v>
      </c>
      <c r="K33" s="138">
        <v>1942</v>
      </c>
      <c r="L33" s="136" t="s">
        <v>9035</v>
      </c>
      <c r="M33" s="138">
        <v>1790776930</v>
      </c>
      <c r="N33" s="138">
        <v>237219</v>
      </c>
      <c r="O33" s="136">
        <v>12</v>
      </c>
    </row>
    <row r="34" spans="1:15" ht="27" x14ac:dyDescent="0.3">
      <c r="A34" s="135">
        <v>43658</v>
      </c>
      <c r="B34" s="136">
        <v>90</v>
      </c>
      <c r="C34" s="137">
        <v>1.4999999999999999E-2</v>
      </c>
      <c r="D34" s="136">
        <v>109</v>
      </c>
      <c r="E34" s="137">
        <v>6.0000000000000001E-3</v>
      </c>
      <c r="F34" s="138">
        <v>14372</v>
      </c>
      <c r="G34" s="137">
        <v>5.0000000000000001E-3</v>
      </c>
      <c r="H34" s="137">
        <v>0.41399999999999998</v>
      </c>
      <c r="I34" s="138">
        <v>38877200</v>
      </c>
      <c r="J34" s="136" t="s">
        <v>9036</v>
      </c>
      <c r="K34" s="138">
        <v>5947</v>
      </c>
      <c r="L34" s="136" t="s">
        <v>9037</v>
      </c>
      <c r="M34" s="138">
        <v>1829654130</v>
      </c>
      <c r="N34" s="138">
        <v>243166</v>
      </c>
      <c r="O34" s="136">
        <v>9</v>
      </c>
    </row>
    <row r="35" spans="1:15" ht="27" x14ac:dyDescent="0.3">
      <c r="A35" s="135">
        <v>43659</v>
      </c>
      <c r="B35" s="136">
        <v>80</v>
      </c>
      <c r="C35" s="137">
        <v>1.2E-2</v>
      </c>
      <c r="D35" s="136">
        <v>105</v>
      </c>
      <c r="E35" s="137">
        <v>5.0000000000000001E-3</v>
      </c>
      <c r="F35" s="138">
        <v>11889</v>
      </c>
      <c r="G35" s="137">
        <v>4.0000000000000001E-3</v>
      </c>
      <c r="H35" s="137">
        <v>0.47599999999999998</v>
      </c>
      <c r="I35" s="138">
        <v>41435100</v>
      </c>
      <c r="J35" s="136" t="s">
        <v>9038</v>
      </c>
      <c r="K35" s="138">
        <v>5662</v>
      </c>
      <c r="L35" s="136" t="s">
        <v>9039</v>
      </c>
      <c r="M35" s="138">
        <v>1871089230</v>
      </c>
      <c r="N35" s="138">
        <v>248828</v>
      </c>
      <c r="O35" s="136">
        <v>11</v>
      </c>
    </row>
    <row r="36" spans="1:15" ht="27" x14ac:dyDescent="0.3">
      <c r="A36" s="135">
        <v>43660</v>
      </c>
      <c r="B36" s="136">
        <v>92</v>
      </c>
      <c r="C36" s="137">
        <v>1.4E-2</v>
      </c>
      <c r="D36" s="136">
        <v>114</v>
      </c>
      <c r="E36" s="137">
        <v>6.0000000000000001E-3</v>
      </c>
      <c r="F36" s="138">
        <v>13505</v>
      </c>
      <c r="G36" s="137">
        <v>4.0000000000000001E-3</v>
      </c>
      <c r="H36" s="137">
        <v>0.58099999999999996</v>
      </c>
      <c r="I36" s="138">
        <v>60609440</v>
      </c>
      <c r="J36" s="136" t="s">
        <v>9040</v>
      </c>
      <c r="K36" s="138">
        <v>7850</v>
      </c>
      <c r="L36" s="136" t="s">
        <v>9041</v>
      </c>
      <c r="M36" s="138">
        <v>1931698670</v>
      </c>
      <c r="N36" s="138">
        <v>256678</v>
      </c>
      <c r="O36" s="136">
        <v>10</v>
      </c>
    </row>
    <row r="37" spans="1:15" ht="27" x14ac:dyDescent="0.3">
      <c r="A37" s="135">
        <v>43661</v>
      </c>
      <c r="B37" s="136">
        <v>67</v>
      </c>
      <c r="C37" s="137">
        <v>1.2E-2</v>
      </c>
      <c r="D37" s="136">
        <v>88</v>
      </c>
      <c r="E37" s="137">
        <v>5.0000000000000001E-3</v>
      </c>
      <c r="F37" s="138">
        <v>11141</v>
      </c>
      <c r="G37" s="137">
        <v>4.0000000000000001E-3</v>
      </c>
      <c r="H37" s="137">
        <v>0.17100000000000001</v>
      </c>
      <c r="I37" s="138">
        <v>13580200</v>
      </c>
      <c r="J37" s="136" t="s">
        <v>9042</v>
      </c>
      <c r="K37" s="138">
        <v>1903</v>
      </c>
      <c r="L37" s="136" t="s">
        <v>9043</v>
      </c>
      <c r="M37" s="138">
        <v>1945278870</v>
      </c>
      <c r="N37" s="138">
        <v>258581</v>
      </c>
      <c r="O37" s="136">
        <v>11</v>
      </c>
    </row>
    <row r="38" spans="1:15" ht="27" x14ac:dyDescent="0.3">
      <c r="A38" s="135">
        <v>43662</v>
      </c>
      <c r="B38" s="136">
        <v>69</v>
      </c>
      <c r="C38" s="137">
        <v>1.2E-2</v>
      </c>
      <c r="D38" s="136">
        <v>93</v>
      </c>
      <c r="E38" s="137">
        <v>5.0000000000000001E-3</v>
      </c>
      <c r="F38" s="138">
        <v>12343</v>
      </c>
      <c r="G38" s="137">
        <v>4.0000000000000001E-3</v>
      </c>
      <c r="H38" s="137">
        <v>0.2</v>
      </c>
      <c r="I38" s="138">
        <v>15913100</v>
      </c>
      <c r="J38" s="136" t="s">
        <v>9044</v>
      </c>
      <c r="K38" s="138">
        <v>2472</v>
      </c>
      <c r="L38" s="136" t="s">
        <v>9045</v>
      </c>
      <c r="M38" s="138">
        <v>1961191970</v>
      </c>
      <c r="N38" s="138">
        <v>261053</v>
      </c>
      <c r="O38" s="136">
        <v>11</v>
      </c>
    </row>
    <row r="39" spans="1:15" ht="27" x14ac:dyDescent="0.3">
      <c r="A39" s="135">
        <v>43663</v>
      </c>
      <c r="B39" s="136">
        <v>34</v>
      </c>
      <c r="C39" s="137">
        <v>6.0000000000000001E-3</v>
      </c>
      <c r="D39" s="136">
        <v>50</v>
      </c>
      <c r="E39" s="137">
        <v>3.0000000000000001E-3</v>
      </c>
      <c r="F39" s="138">
        <v>5325</v>
      </c>
      <c r="G39" s="137">
        <v>2E-3</v>
      </c>
      <c r="H39" s="137">
        <v>0.16900000000000001</v>
      </c>
      <c r="I39" s="138">
        <v>5892680</v>
      </c>
      <c r="J39" s="136" t="s">
        <v>9046</v>
      </c>
      <c r="K39" s="136">
        <v>900</v>
      </c>
      <c r="L39" s="136" t="s">
        <v>9047</v>
      </c>
      <c r="M39" s="138">
        <v>1967084650</v>
      </c>
      <c r="N39" s="138">
        <v>261953</v>
      </c>
      <c r="O39" s="136">
        <v>16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1AEA-9FF7-477A-A9C5-A59DCABF20AC}">
  <dimension ref="A1:O26"/>
  <sheetViews>
    <sheetView workbookViewId="0">
      <selection activeCell="A5" sqref="A5:O7"/>
    </sheetView>
  </sheetViews>
  <sheetFormatPr defaultRowHeight="16.5" x14ac:dyDescent="0.3"/>
  <sheetData>
    <row r="1" spans="1:15" ht="19.5" x14ac:dyDescent="0.3">
      <c r="A1" s="197" t="s">
        <v>9048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46" t="s">
        <v>111</v>
      </c>
      <c r="B4" s="141" t="s">
        <v>112</v>
      </c>
      <c r="C4" s="141" t="s">
        <v>113</v>
      </c>
      <c r="D4" s="141" t="s">
        <v>114</v>
      </c>
      <c r="E4" s="141" t="s">
        <v>115</v>
      </c>
      <c r="F4" s="141" t="s">
        <v>116</v>
      </c>
      <c r="G4" s="141" t="s">
        <v>117</v>
      </c>
      <c r="H4" s="141" t="s">
        <v>118</v>
      </c>
      <c r="I4" s="141" t="s">
        <v>119</v>
      </c>
      <c r="J4" s="141" t="s">
        <v>120</v>
      </c>
      <c r="K4" s="141" t="s">
        <v>121</v>
      </c>
      <c r="L4" s="141" t="s">
        <v>122</v>
      </c>
      <c r="M4" s="141" t="s">
        <v>123</v>
      </c>
      <c r="N4" s="141" t="s">
        <v>124</v>
      </c>
      <c r="O4" s="147" t="s">
        <v>125</v>
      </c>
    </row>
    <row r="5" spans="1:15" ht="27" x14ac:dyDescent="0.3">
      <c r="A5" s="142">
        <v>43642</v>
      </c>
      <c r="B5" s="143">
        <v>737</v>
      </c>
      <c r="C5" s="144">
        <v>0.115</v>
      </c>
      <c r="D5" s="145">
        <v>2455</v>
      </c>
      <c r="E5" s="144">
        <v>0.13200000000000001</v>
      </c>
      <c r="F5" s="145">
        <v>350236</v>
      </c>
      <c r="G5" s="144">
        <v>0.121</v>
      </c>
      <c r="H5" s="144">
        <v>0.16700000000000001</v>
      </c>
      <c r="I5" s="145">
        <v>358848190</v>
      </c>
      <c r="J5" s="143" t="s">
        <v>9049</v>
      </c>
      <c r="K5" s="145">
        <v>58443</v>
      </c>
      <c r="L5" s="143" t="s">
        <v>9050</v>
      </c>
      <c r="M5" s="145">
        <v>397970190</v>
      </c>
      <c r="N5" s="145">
        <v>62757</v>
      </c>
      <c r="O5" s="143">
        <v>6</v>
      </c>
    </row>
    <row r="6" spans="1:15" ht="40.5" x14ac:dyDescent="0.3">
      <c r="A6" s="142">
        <v>43643</v>
      </c>
      <c r="B6" s="143">
        <v>703</v>
      </c>
      <c r="C6" s="144">
        <v>0.11600000000000001</v>
      </c>
      <c r="D6" s="145">
        <v>2372</v>
      </c>
      <c r="E6" s="144">
        <v>0.127</v>
      </c>
      <c r="F6" s="145">
        <v>328934</v>
      </c>
      <c r="G6" s="144">
        <v>0.114</v>
      </c>
      <c r="H6" s="144">
        <v>8.4000000000000005E-2</v>
      </c>
      <c r="I6" s="145">
        <v>223595560</v>
      </c>
      <c r="J6" s="143" t="s">
        <v>9051</v>
      </c>
      <c r="K6" s="145">
        <v>27731</v>
      </c>
      <c r="L6" s="143" t="s">
        <v>9052</v>
      </c>
      <c r="M6" s="145">
        <v>621565750</v>
      </c>
      <c r="N6" s="145">
        <v>90488</v>
      </c>
      <c r="O6" s="143">
        <v>7</v>
      </c>
    </row>
    <row r="7" spans="1:15" ht="27" x14ac:dyDescent="0.3">
      <c r="A7" s="142">
        <v>43644</v>
      </c>
      <c r="B7" s="143">
        <v>624</v>
      </c>
      <c r="C7" s="144">
        <v>0.10199999999999999</v>
      </c>
      <c r="D7" s="145">
        <v>2001</v>
      </c>
      <c r="E7" s="144">
        <v>0.106</v>
      </c>
      <c r="F7" s="145">
        <v>271475</v>
      </c>
      <c r="G7" s="144">
        <v>9.2999999999999999E-2</v>
      </c>
      <c r="H7" s="144">
        <v>0.09</v>
      </c>
      <c r="I7" s="145">
        <v>216908750</v>
      </c>
      <c r="J7" s="143" t="s">
        <v>9053</v>
      </c>
      <c r="K7" s="145">
        <v>24374</v>
      </c>
      <c r="L7" s="143" t="s">
        <v>9054</v>
      </c>
      <c r="M7" s="145">
        <v>838474500</v>
      </c>
      <c r="N7" s="145">
        <v>114862</v>
      </c>
      <c r="O7" s="143">
        <v>7</v>
      </c>
    </row>
    <row r="8" spans="1:15" ht="27" x14ac:dyDescent="0.3">
      <c r="A8" s="142">
        <v>43645</v>
      </c>
      <c r="B8" s="143">
        <v>582</v>
      </c>
      <c r="C8" s="144">
        <v>8.6999999999999994E-2</v>
      </c>
      <c r="D8" s="145">
        <v>1416</v>
      </c>
      <c r="E8" s="144">
        <v>7.0999999999999994E-2</v>
      </c>
      <c r="F8" s="145">
        <v>174858</v>
      </c>
      <c r="G8" s="144">
        <v>5.7000000000000002E-2</v>
      </c>
      <c r="H8" s="144">
        <v>0.19700000000000001</v>
      </c>
      <c r="I8" s="145">
        <v>311850830</v>
      </c>
      <c r="J8" s="143" t="s">
        <v>9055</v>
      </c>
      <c r="K8" s="145">
        <v>34516</v>
      </c>
      <c r="L8" s="143" t="s">
        <v>9056</v>
      </c>
      <c r="M8" s="145">
        <v>1150325330</v>
      </c>
      <c r="N8" s="145">
        <v>149378</v>
      </c>
      <c r="O8" s="143">
        <v>7</v>
      </c>
    </row>
    <row r="9" spans="1:15" ht="27" x14ac:dyDescent="0.3">
      <c r="A9" s="142">
        <v>43646</v>
      </c>
      <c r="B9" s="143">
        <v>565</v>
      </c>
      <c r="C9" s="144">
        <v>8.4000000000000005E-2</v>
      </c>
      <c r="D9" s="145">
        <v>1318</v>
      </c>
      <c r="E9" s="144">
        <v>6.8000000000000005E-2</v>
      </c>
      <c r="F9" s="145">
        <v>161120</v>
      </c>
      <c r="G9" s="144">
        <v>5.3999999999999999E-2</v>
      </c>
      <c r="H9" s="144">
        <v>0.17399999999999999</v>
      </c>
      <c r="I9" s="145">
        <v>250440710</v>
      </c>
      <c r="J9" s="143" t="s">
        <v>9057</v>
      </c>
      <c r="K9" s="145">
        <v>27962</v>
      </c>
      <c r="L9" s="143" t="s">
        <v>9058</v>
      </c>
      <c r="M9" s="145">
        <v>1400766040</v>
      </c>
      <c r="N9" s="145">
        <v>177340</v>
      </c>
      <c r="O9" s="143">
        <v>7</v>
      </c>
    </row>
    <row r="10" spans="1:15" ht="40.5" x14ac:dyDescent="0.3">
      <c r="A10" s="142">
        <v>43647</v>
      </c>
      <c r="B10" s="143">
        <v>539</v>
      </c>
      <c r="C10" s="144">
        <v>8.1000000000000003E-2</v>
      </c>
      <c r="D10" s="145">
        <v>1449</v>
      </c>
      <c r="E10" s="144">
        <v>7.8E-2</v>
      </c>
      <c r="F10" s="145">
        <v>182622</v>
      </c>
      <c r="G10" s="144">
        <v>6.3E-2</v>
      </c>
      <c r="H10" s="144">
        <v>6.9000000000000006E-2</v>
      </c>
      <c r="I10" s="145">
        <v>101459490</v>
      </c>
      <c r="J10" s="143" t="s">
        <v>9059</v>
      </c>
      <c r="K10" s="145">
        <v>12564</v>
      </c>
      <c r="L10" s="143" t="s">
        <v>9060</v>
      </c>
      <c r="M10" s="145">
        <v>1502225530</v>
      </c>
      <c r="N10" s="145">
        <v>189904</v>
      </c>
      <c r="O10" s="143">
        <v>8</v>
      </c>
    </row>
    <row r="11" spans="1:15" ht="27" x14ac:dyDescent="0.3">
      <c r="A11" s="142">
        <v>43648</v>
      </c>
      <c r="B11" s="143">
        <v>306</v>
      </c>
      <c r="C11" s="144">
        <v>5.1999999999999998E-2</v>
      </c>
      <c r="D11" s="143">
        <v>375</v>
      </c>
      <c r="E11" s="144">
        <v>0.02</v>
      </c>
      <c r="F11" s="145">
        <v>42484</v>
      </c>
      <c r="G11" s="144">
        <v>1.4999999999999999E-2</v>
      </c>
      <c r="H11" s="144">
        <v>7.9000000000000001E-2</v>
      </c>
      <c r="I11" s="145">
        <v>26382750</v>
      </c>
      <c r="J11" s="143" t="s">
        <v>9061</v>
      </c>
      <c r="K11" s="145">
        <v>3337</v>
      </c>
      <c r="L11" s="143" t="s">
        <v>9062</v>
      </c>
      <c r="M11" s="145">
        <v>1528608280</v>
      </c>
      <c r="N11" s="145">
        <v>193241</v>
      </c>
      <c r="O11" s="143">
        <v>8</v>
      </c>
    </row>
    <row r="12" spans="1:15" ht="27" x14ac:dyDescent="0.3">
      <c r="A12" s="142">
        <v>43649</v>
      </c>
      <c r="B12" s="143">
        <v>125</v>
      </c>
      <c r="C12" s="144">
        <v>2.3E-2</v>
      </c>
      <c r="D12" s="143">
        <v>161</v>
      </c>
      <c r="E12" s="144">
        <v>8.9999999999999993E-3</v>
      </c>
      <c r="F12" s="145">
        <v>15794</v>
      </c>
      <c r="G12" s="144">
        <v>6.0000000000000001E-3</v>
      </c>
      <c r="H12" s="144">
        <v>8.1000000000000003E-2</v>
      </c>
      <c r="I12" s="145">
        <v>10170020</v>
      </c>
      <c r="J12" s="143" t="s">
        <v>9063</v>
      </c>
      <c r="K12" s="145">
        <v>1281</v>
      </c>
      <c r="L12" s="143" t="s">
        <v>9064</v>
      </c>
      <c r="M12" s="145">
        <v>1538778300</v>
      </c>
      <c r="N12" s="145">
        <v>194522</v>
      </c>
      <c r="O12" s="143">
        <v>10</v>
      </c>
    </row>
    <row r="13" spans="1:15" ht="27" x14ac:dyDescent="0.3">
      <c r="A13" s="142">
        <v>43650</v>
      </c>
      <c r="B13" s="143">
        <v>119</v>
      </c>
      <c r="C13" s="144">
        <v>2.1000000000000001E-2</v>
      </c>
      <c r="D13" s="143">
        <v>139</v>
      </c>
      <c r="E13" s="144">
        <v>8.0000000000000002E-3</v>
      </c>
      <c r="F13" s="145">
        <v>13764</v>
      </c>
      <c r="G13" s="144">
        <v>5.0000000000000001E-3</v>
      </c>
      <c r="H13" s="144">
        <v>7.8E-2</v>
      </c>
      <c r="I13" s="145">
        <v>8087440</v>
      </c>
      <c r="J13" s="143" t="s">
        <v>9065</v>
      </c>
      <c r="K13" s="145">
        <v>1067</v>
      </c>
      <c r="L13" s="143" t="s">
        <v>9066</v>
      </c>
      <c r="M13" s="145">
        <v>1546865740</v>
      </c>
      <c r="N13" s="145">
        <v>195589</v>
      </c>
      <c r="O13" s="143">
        <v>16</v>
      </c>
    </row>
    <row r="14" spans="1:15" ht="27" x14ac:dyDescent="0.3">
      <c r="A14" s="142">
        <v>43651</v>
      </c>
      <c r="B14" s="143">
        <v>111</v>
      </c>
      <c r="C14" s="144">
        <v>1.9E-2</v>
      </c>
      <c r="D14" s="143">
        <v>129</v>
      </c>
      <c r="E14" s="144">
        <v>7.0000000000000001E-3</v>
      </c>
      <c r="F14" s="145">
        <v>13153</v>
      </c>
      <c r="G14" s="144">
        <v>4.0000000000000001E-3</v>
      </c>
      <c r="H14" s="144">
        <v>7.1999999999999995E-2</v>
      </c>
      <c r="I14" s="145">
        <v>7399140</v>
      </c>
      <c r="J14" s="143" t="s">
        <v>9067</v>
      </c>
      <c r="K14" s="143">
        <v>949</v>
      </c>
      <c r="L14" s="143" t="s">
        <v>9068</v>
      </c>
      <c r="M14" s="145">
        <v>1554264880</v>
      </c>
      <c r="N14" s="145">
        <v>196538</v>
      </c>
      <c r="O14" s="143">
        <v>12</v>
      </c>
    </row>
    <row r="15" spans="1:15" ht="27" x14ac:dyDescent="0.3">
      <c r="A15" s="142">
        <v>43652</v>
      </c>
      <c r="B15" s="143">
        <v>85</v>
      </c>
      <c r="C15" s="144">
        <v>1.4E-2</v>
      </c>
      <c r="D15" s="143">
        <v>95</v>
      </c>
      <c r="E15" s="144">
        <v>5.0000000000000001E-3</v>
      </c>
      <c r="F15" s="145">
        <v>8983</v>
      </c>
      <c r="G15" s="144">
        <v>3.0000000000000001E-3</v>
      </c>
      <c r="H15" s="144">
        <v>0.14000000000000001</v>
      </c>
      <c r="I15" s="145">
        <v>9534360</v>
      </c>
      <c r="J15" s="143" t="s">
        <v>9069</v>
      </c>
      <c r="K15" s="145">
        <v>1262</v>
      </c>
      <c r="L15" s="143" t="s">
        <v>9070</v>
      </c>
      <c r="M15" s="145">
        <v>1563799240</v>
      </c>
      <c r="N15" s="145">
        <v>197800</v>
      </c>
      <c r="O15" s="143">
        <v>13</v>
      </c>
    </row>
    <row r="16" spans="1:15" ht="27" x14ac:dyDescent="0.3">
      <c r="A16" s="142">
        <v>43653</v>
      </c>
      <c r="B16" s="143">
        <v>89</v>
      </c>
      <c r="C16" s="144">
        <v>1.4999999999999999E-2</v>
      </c>
      <c r="D16" s="143">
        <v>98</v>
      </c>
      <c r="E16" s="144">
        <v>5.0000000000000001E-3</v>
      </c>
      <c r="F16" s="145">
        <v>8991</v>
      </c>
      <c r="G16" s="144">
        <v>3.0000000000000001E-3</v>
      </c>
      <c r="H16" s="144">
        <v>0.13400000000000001</v>
      </c>
      <c r="I16" s="145">
        <v>9214060</v>
      </c>
      <c r="J16" s="143" t="s">
        <v>9071</v>
      </c>
      <c r="K16" s="145">
        <v>1209</v>
      </c>
      <c r="L16" s="143" t="s">
        <v>9072</v>
      </c>
      <c r="M16" s="145">
        <v>1573013300</v>
      </c>
      <c r="N16" s="145">
        <v>199009</v>
      </c>
      <c r="O16" s="143">
        <v>13</v>
      </c>
    </row>
    <row r="17" spans="1:15" ht="27" x14ac:dyDescent="0.3">
      <c r="A17" s="142">
        <v>43654</v>
      </c>
      <c r="B17" s="143">
        <v>93</v>
      </c>
      <c r="C17" s="144">
        <v>1.7000000000000001E-2</v>
      </c>
      <c r="D17" s="143">
        <v>113</v>
      </c>
      <c r="E17" s="144">
        <v>6.0000000000000001E-3</v>
      </c>
      <c r="F17" s="145">
        <v>11129</v>
      </c>
      <c r="G17" s="144">
        <v>4.0000000000000001E-3</v>
      </c>
      <c r="H17" s="144">
        <v>5.3999999999999999E-2</v>
      </c>
      <c r="I17" s="145">
        <v>4315880</v>
      </c>
      <c r="J17" s="143" t="s">
        <v>9073</v>
      </c>
      <c r="K17" s="143">
        <v>601</v>
      </c>
      <c r="L17" s="143" t="s">
        <v>9074</v>
      </c>
      <c r="M17" s="145">
        <v>1577329180</v>
      </c>
      <c r="N17" s="145">
        <v>199610</v>
      </c>
      <c r="O17" s="143">
        <v>15</v>
      </c>
    </row>
    <row r="18" spans="1:15" ht="27" x14ac:dyDescent="0.3">
      <c r="A18" s="142">
        <v>43655</v>
      </c>
      <c r="B18" s="143">
        <v>89</v>
      </c>
      <c r="C18" s="144">
        <v>1.6E-2</v>
      </c>
      <c r="D18" s="143">
        <v>107</v>
      </c>
      <c r="E18" s="144">
        <v>6.0000000000000001E-3</v>
      </c>
      <c r="F18" s="145">
        <v>9776</v>
      </c>
      <c r="G18" s="144">
        <v>3.0000000000000001E-3</v>
      </c>
      <c r="H18" s="144">
        <v>5.6000000000000001E-2</v>
      </c>
      <c r="I18" s="145">
        <v>3875760</v>
      </c>
      <c r="J18" s="143" t="s">
        <v>9075</v>
      </c>
      <c r="K18" s="143">
        <v>543</v>
      </c>
      <c r="L18" s="143" t="s">
        <v>9076</v>
      </c>
      <c r="M18" s="145">
        <v>1581204940</v>
      </c>
      <c r="N18" s="145">
        <v>200153</v>
      </c>
      <c r="O18" s="143">
        <v>15</v>
      </c>
    </row>
    <row r="19" spans="1:15" ht="27" x14ac:dyDescent="0.3">
      <c r="A19" s="142">
        <v>43656</v>
      </c>
      <c r="B19" s="143">
        <v>20</v>
      </c>
      <c r="C19" s="144">
        <v>4.0000000000000001E-3</v>
      </c>
      <c r="D19" s="143">
        <v>22</v>
      </c>
      <c r="E19" s="144">
        <v>1E-3</v>
      </c>
      <c r="F19" s="145">
        <v>2735</v>
      </c>
      <c r="G19" s="144">
        <v>1E-3</v>
      </c>
      <c r="H19" s="144">
        <v>7.5999999999999998E-2</v>
      </c>
      <c r="I19" s="145">
        <v>1495000</v>
      </c>
      <c r="J19" s="143" t="s">
        <v>9077</v>
      </c>
      <c r="K19" s="143">
        <v>207</v>
      </c>
      <c r="L19" s="143" t="s">
        <v>9078</v>
      </c>
      <c r="M19" s="145">
        <v>1582699940</v>
      </c>
      <c r="N19" s="145">
        <v>200360</v>
      </c>
      <c r="O19" s="143">
        <v>29</v>
      </c>
    </row>
    <row r="20" spans="1:15" ht="27" x14ac:dyDescent="0.3">
      <c r="A20" s="142">
        <v>43657</v>
      </c>
      <c r="B20" s="143">
        <v>6</v>
      </c>
      <c r="C20" s="144">
        <v>1E-3</v>
      </c>
      <c r="D20" s="143">
        <v>8</v>
      </c>
      <c r="E20" s="144">
        <v>0</v>
      </c>
      <c r="F20" s="143">
        <v>958</v>
      </c>
      <c r="G20" s="144">
        <v>0</v>
      </c>
      <c r="H20" s="144">
        <v>3.5000000000000003E-2</v>
      </c>
      <c r="I20" s="145">
        <v>252000</v>
      </c>
      <c r="J20" s="143" t="s">
        <v>9079</v>
      </c>
      <c r="K20" s="143">
        <v>34</v>
      </c>
      <c r="L20" s="143" t="s">
        <v>9080</v>
      </c>
      <c r="M20" s="145">
        <v>1582951940</v>
      </c>
      <c r="N20" s="145">
        <v>200394</v>
      </c>
      <c r="O20" s="143">
        <v>71</v>
      </c>
    </row>
    <row r="21" spans="1:15" ht="27" x14ac:dyDescent="0.3">
      <c r="A21" s="142">
        <v>43658</v>
      </c>
      <c r="B21" s="143">
        <v>7</v>
      </c>
      <c r="C21" s="144">
        <v>1E-3</v>
      </c>
      <c r="D21" s="143">
        <v>9</v>
      </c>
      <c r="E21" s="144">
        <v>0</v>
      </c>
      <c r="F21" s="143">
        <v>940</v>
      </c>
      <c r="G21" s="144">
        <v>0</v>
      </c>
      <c r="H21" s="144">
        <v>0.127</v>
      </c>
      <c r="I21" s="145">
        <v>704000</v>
      </c>
      <c r="J21" s="143" t="s">
        <v>9081</v>
      </c>
      <c r="K21" s="143">
        <v>119</v>
      </c>
      <c r="L21" s="143" t="s">
        <v>9082</v>
      </c>
      <c r="M21" s="145">
        <v>1583655940</v>
      </c>
      <c r="N21" s="145">
        <v>200513</v>
      </c>
      <c r="O21" s="143">
        <v>45</v>
      </c>
    </row>
    <row r="22" spans="1:15" ht="27" x14ac:dyDescent="0.3">
      <c r="A22" s="142">
        <v>43659</v>
      </c>
      <c r="B22" s="143">
        <v>6</v>
      </c>
      <c r="C22" s="144">
        <v>1E-3</v>
      </c>
      <c r="D22" s="143">
        <v>9</v>
      </c>
      <c r="E22" s="144">
        <v>0</v>
      </c>
      <c r="F22" s="145">
        <v>1006</v>
      </c>
      <c r="G22" s="144">
        <v>0</v>
      </c>
      <c r="H22" s="144">
        <v>9.5000000000000001E-2</v>
      </c>
      <c r="I22" s="145">
        <v>643650</v>
      </c>
      <c r="J22" s="143" t="s">
        <v>9083</v>
      </c>
      <c r="K22" s="143">
        <v>96</v>
      </c>
      <c r="L22" s="143" t="s">
        <v>9084</v>
      </c>
      <c r="M22" s="145">
        <v>1584299590</v>
      </c>
      <c r="N22" s="145">
        <v>200609</v>
      </c>
      <c r="O22" s="143">
        <v>53</v>
      </c>
    </row>
    <row r="23" spans="1:15" ht="27" x14ac:dyDescent="0.3">
      <c r="A23" s="142">
        <v>43660</v>
      </c>
      <c r="B23" s="143">
        <v>7</v>
      </c>
      <c r="C23" s="144">
        <v>1E-3</v>
      </c>
      <c r="D23" s="143">
        <v>9</v>
      </c>
      <c r="E23" s="144">
        <v>0</v>
      </c>
      <c r="F23" s="143">
        <v>996</v>
      </c>
      <c r="G23" s="144">
        <v>0</v>
      </c>
      <c r="H23" s="144">
        <v>0.111</v>
      </c>
      <c r="I23" s="145">
        <v>820000</v>
      </c>
      <c r="J23" s="143" t="s">
        <v>9085</v>
      </c>
      <c r="K23" s="143">
        <v>111</v>
      </c>
      <c r="L23" s="143" t="s">
        <v>9086</v>
      </c>
      <c r="M23" s="145">
        <v>1585119590</v>
      </c>
      <c r="N23" s="145">
        <v>200720</v>
      </c>
      <c r="O23" s="143">
        <v>44</v>
      </c>
    </row>
    <row r="24" spans="1:15" ht="27" x14ac:dyDescent="0.3">
      <c r="A24" s="142">
        <v>43661</v>
      </c>
      <c r="B24" s="143">
        <v>5</v>
      </c>
      <c r="C24" s="144">
        <v>1E-3</v>
      </c>
      <c r="D24" s="143">
        <v>7</v>
      </c>
      <c r="E24" s="144">
        <v>0</v>
      </c>
      <c r="F24" s="145">
        <v>1094</v>
      </c>
      <c r="G24" s="144">
        <v>0</v>
      </c>
      <c r="H24" s="144">
        <v>4.1000000000000002E-2</v>
      </c>
      <c r="I24" s="145">
        <v>299000</v>
      </c>
      <c r="J24" s="143" t="s">
        <v>9087</v>
      </c>
      <c r="K24" s="143">
        <v>45</v>
      </c>
      <c r="L24" s="143" t="s">
        <v>9088</v>
      </c>
      <c r="M24" s="145">
        <v>1585418590</v>
      </c>
      <c r="N24" s="145">
        <v>200765</v>
      </c>
      <c r="O24" s="143">
        <v>56</v>
      </c>
    </row>
    <row r="25" spans="1:15" ht="27" x14ac:dyDescent="0.3">
      <c r="A25" s="142">
        <v>43662</v>
      </c>
      <c r="B25" s="143">
        <v>23</v>
      </c>
      <c r="C25" s="144">
        <v>4.0000000000000001E-3</v>
      </c>
      <c r="D25" s="143">
        <v>25</v>
      </c>
      <c r="E25" s="144">
        <v>1E-3</v>
      </c>
      <c r="F25" s="145">
        <v>3804</v>
      </c>
      <c r="G25" s="144">
        <v>1E-3</v>
      </c>
      <c r="H25" s="144">
        <v>0.29099999999999998</v>
      </c>
      <c r="I25" s="145">
        <v>9878000</v>
      </c>
      <c r="J25" s="143" t="s">
        <v>9089</v>
      </c>
      <c r="K25" s="145">
        <v>1108</v>
      </c>
      <c r="L25" s="143" t="s">
        <v>9090</v>
      </c>
      <c r="M25" s="145">
        <v>1595296590</v>
      </c>
      <c r="N25" s="145">
        <v>201873</v>
      </c>
      <c r="O25" s="143">
        <v>14</v>
      </c>
    </row>
    <row r="26" spans="1:15" ht="27" x14ac:dyDescent="0.3">
      <c r="A26" s="142">
        <v>43663</v>
      </c>
      <c r="B26" s="143">
        <v>6</v>
      </c>
      <c r="C26" s="144">
        <v>1E-3</v>
      </c>
      <c r="D26" s="143">
        <v>6</v>
      </c>
      <c r="E26" s="144">
        <v>0</v>
      </c>
      <c r="F26" s="143">
        <v>852</v>
      </c>
      <c r="G26" s="144">
        <v>0</v>
      </c>
      <c r="H26" s="144">
        <v>3.9E-2</v>
      </c>
      <c r="I26" s="145">
        <v>222000</v>
      </c>
      <c r="J26" s="143" t="s">
        <v>9091</v>
      </c>
      <c r="K26" s="143">
        <v>33</v>
      </c>
      <c r="L26" s="143" t="s">
        <v>9092</v>
      </c>
      <c r="M26" s="145">
        <v>1595518590</v>
      </c>
      <c r="N26" s="145">
        <v>201906</v>
      </c>
      <c r="O26" s="143">
        <v>70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FAFE9-ECAB-4BFD-B5EA-D72FA014AC44}">
  <dimension ref="A1:O45"/>
  <sheetViews>
    <sheetView workbookViewId="0">
      <selection activeCell="A5" sqref="A5:O10"/>
    </sheetView>
  </sheetViews>
  <sheetFormatPr defaultRowHeight="16.5" x14ac:dyDescent="0.3"/>
  <sheetData>
    <row r="1" spans="1:15" ht="19.5" x14ac:dyDescent="0.3">
      <c r="A1" s="197" t="s">
        <v>9093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53" t="s">
        <v>111</v>
      </c>
      <c r="B4" s="148" t="s">
        <v>112</v>
      </c>
      <c r="C4" s="148" t="s">
        <v>113</v>
      </c>
      <c r="D4" s="148" t="s">
        <v>114</v>
      </c>
      <c r="E4" s="148" t="s">
        <v>115</v>
      </c>
      <c r="F4" s="148" t="s">
        <v>116</v>
      </c>
      <c r="G4" s="148" t="s">
        <v>117</v>
      </c>
      <c r="H4" s="148" t="s">
        <v>118</v>
      </c>
      <c r="I4" s="148" t="s">
        <v>119</v>
      </c>
      <c r="J4" s="148" t="s">
        <v>120</v>
      </c>
      <c r="K4" s="148" t="s">
        <v>121</v>
      </c>
      <c r="L4" s="148" t="s">
        <v>122</v>
      </c>
      <c r="M4" s="148" t="s">
        <v>123</v>
      </c>
      <c r="N4" s="148" t="s">
        <v>124</v>
      </c>
      <c r="O4" s="154" t="s">
        <v>125</v>
      </c>
    </row>
    <row r="5" spans="1:15" ht="27" x14ac:dyDescent="0.3">
      <c r="A5" s="149">
        <v>43622</v>
      </c>
      <c r="B5" s="150">
        <v>397</v>
      </c>
      <c r="C5" s="151">
        <v>6.7000000000000004E-2</v>
      </c>
      <c r="D5" s="150">
        <v>595</v>
      </c>
      <c r="E5" s="151">
        <v>3.1E-2</v>
      </c>
      <c r="F5" s="152">
        <v>71452</v>
      </c>
      <c r="G5" s="151">
        <v>2.4E-2</v>
      </c>
      <c r="H5" s="151">
        <v>0.49299999999999999</v>
      </c>
      <c r="I5" s="152">
        <v>287492740</v>
      </c>
      <c r="J5" s="150" t="s">
        <v>9094</v>
      </c>
      <c r="K5" s="152">
        <v>35234</v>
      </c>
      <c r="L5" s="150" t="s">
        <v>9095</v>
      </c>
      <c r="M5" s="152">
        <v>313177740</v>
      </c>
      <c r="N5" s="152">
        <v>38119</v>
      </c>
      <c r="O5" s="150">
        <v>4</v>
      </c>
    </row>
    <row r="6" spans="1:15" ht="40.5" x14ac:dyDescent="0.3">
      <c r="A6" s="149">
        <v>43623</v>
      </c>
      <c r="B6" s="150">
        <v>411</v>
      </c>
      <c r="C6" s="151">
        <v>6.9000000000000006E-2</v>
      </c>
      <c r="D6" s="150">
        <v>609</v>
      </c>
      <c r="E6" s="151">
        <v>3.2000000000000001E-2</v>
      </c>
      <c r="F6" s="152">
        <v>74090</v>
      </c>
      <c r="G6" s="151">
        <v>2.5000000000000001E-2</v>
      </c>
      <c r="H6" s="151">
        <v>0.23300000000000001</v>
      </c>
      <c r="I6" s="152">
        <v>140858700</v>
      </c>
      <c r="J6" s="150" t="s">
        <v>9096</v>
      </c>
      <c r="K6" s="152">
        <v>17270</v>
      </c>
      <c r="L6" s="150" t="s">
        <v>9097</v>
      </c>
      <c r="M6" s="152">
        <v>454036440</v>
      </c>
      <c r="N6" s="152">
        <v>55389</v>
      </c>
      <c r="O6" s="150">
        <v>4</v>
      </c>
    </row>
    <row r="7" spans="1:15" ht="27" x14ac:dyDescent="0.3">
      <c r="A7" s="149">
        <v>43624</v>
      </c>
      <c r="B7" s="150">
        <v>430</v>
      </c>
      <c r="C7" s="151">
        <v>7.1999999999999995E-2</v>
      </c>
      <c r="D7" s="150">
        <v>690</v>
      </c>
      <c r="E7" s="151">
        <v>3.5000000000000003E-2</v>
      </c>
      <c r="F7" s="152">
        <v>84309</v>
      </c>
      <c r="G7" s="151">
        <v>2.8000000000000001E-2</v>
      </c>
      <c r="H7" s="151">
        <v>0.26200000000000001</v>
      </c>
      <c r="I7" s="152">
        <v>181697020</v>
      </c>
      <c r="J7" s="150" t="s">
        <v>9098</v>
      </c>
      <c r="K7" s="152">
        <v>22107</v>
      </c>
      <c r="L7" s="150" t="s">
        <v>9099</v>
      </c>
      <c r="M7" s="152">
        <v>635733460</v>
      </c>
      <c r="N7" s="152">
        <v>77496</v>
      </c>
      <c r="O7" s="150">
        <v>4</v>
      </c>
    </row>
    <row r="8" spans="1:15" ht="27" x14ac:dyDescent="0.3">
      <c r="A8" s="149">
        <v>43625</v>
      </c>
      <c r="B8" s="150">
        <v>435</v>
      </c>
      <c r="C8" s="151">
        <v>7.3999999999999996E-2</v>
      </c>
      <c r="D8" s="150">
        <v>684</v>
      </c>
      <c r="E8" s="151">
        <v>3.5999999999999997E-2</v>
      </c>
      <c r="F8" s="152">
        <v>83258</v>
      </c>
      <c r="G8" s="151">
        <v>2.8000000000000001E-2</v>
      </c>
      <c r="H8" s="151">
        <v>0.28499999999999998</v>
      </c>
      <c r="I8" s="152">
        <v>195483350</v>
      </c>
      <c r="J8" s="150" t="s">
        <v>9100</v>
      </c>
      <c r="K8" s="152">
        <v>23717</v>
      </c>
      <c r="L8" s="150" t="s">
        <v>9101</v>
      </c>
      <c r="M8" s="152">
        <v>831216810</v>
      </c>
      <c r="N8" s="152">
        <v>101213</v>
      </c>
      <c r="O8" s="150">
        <v>4</v>
      </c>
    </row>
    <row r="9" spans="1:15" ht="40.5" x14ac:dyDescent="0.3">
      <c r="A9" s="149">
        <v>43626</v>
      </c>
      <c r="B9" s="150">
        <v>342</v>
      </c>
      <c r="C9" s="151">
        <v>6.7000000000000004E-2</v>
      </c>
      <c r="D9" s="150">
        <v>545</v>
      </c>
      <c r="E9" s="151">
        <v>3.1E-2</v>
      </c>
      <c r="F9" s="152">
        <v>67693</v>
      </c>
      <c r="G9" s="151">
        <v>2.5000000000000001E-2</v>
      </c>
      <c r="H9" s="151">
        <v>6.9000000000000006E-2</v>
      </c>
      <c r="I9" s="152">
        <v>37835760</v>
      </c>
      <c r="J9" s="150" t="s">
        <v>9102</v>
      </c>
      <c r="K9" s="152">
        <v>4666</v>
      </c>
      <c r="L9" s="150" t="s">
        <v>9103</v>
      </c>
      <c r="M9" s="152">
        <v>869052570</v>
      </c>
      <c r="N9" s="152">
        <v>105879</v>
      </c>
      <c r="O9" s="150">
        <v>5</v>
      </c>
    </row>
    <row r="10" spans="1:15" ht="27" x14ac:dyDescent="0.3">
      <c r="A10" s="149">
        <v>43627</v>
      </c>
      <c r="B10" s="150">
        <v>340</v>
      </c>
      <c r="C10" s="151">
        <v>6.6000000000000003E-2</v>
      </c>
      <c r="D10" s="150">
        <v>533</v>
      </c>
      <c r="E10" s="151">
        <v>3.1E-2</v>
      </c>
      <c r="F10" s="152">
        <v>66302</v>
      </c>
      <c r="G10" s="151">
        <v>2.5000000000000001E-2</v>
      </c>
      <c r="H10" s="151">
        <v>7.4999999999999997E-2</v>
      </c>
      <c r="I10" s="152">
        <v>38378670</v>
      </c>
      <c r="J10" s="150" t="s">
        <v>9104</v>
      </c>
      <c r="K10" s="152">
        <v>4966</v>
      </c>
      <c r="L10" s="150" t="s">
        <v>9105</v>
      </c>
      <c r="M10" s="152">
        <v>907431240</v>
      </c>
      <c r="N10" s="152">
        <v>110845</v>
      </c>
      <c r="O10" s="150">
        <v>5</v>
      </c>
    </row>
    <row r="11" spans="1:15" ht="27" x14ac:dyDescent="0.3">
      <c r="A11" s="149">
        <v>43628</v>
      </c>
      <c r="B11" s="150">
        <v>260</v>
      </c>
      <c r="C11" s="151">
        <v>5.1999999999999998E-2</v>
      </c>
      <c r="D11" s="150">
        <v>365</v>
      </c>
      <c r="E11" s="151">
        <v>0.02</v>
      </c>
      <c r="F11" s="152">
        <v>43178</v>
      </c>
      <c r="G11" s="151">
        <v>1.4999999999999999E-2</v>
      </c>
      <c r="H11" s="151">
        <v>7.9000000000000001E-2</v>
      </c>
      <c r="I11" s="152">
        <v>26854630</v>
      </c>
      <c r="J11" s="150" t="s">
        <v>9106</v>
      </c>
      <c r="K11" s="152">
        <v>3429</v>
      </c>
      <c r="L11" s="150" t="s">
        <v>9107</v>
      </c>
      <c r="M11" s="152">
        <v>934285870</v>
      </c>
      <c r="N11" s="152">
        <v>114274</v>
      </c>
      <c r="O11" s="150">
        <v>5</v>
      </c>
    </row>
    <row r="12" spans="1:15" ht="27" x14ac:dyDescent="0.3">
      <c r="A12" s="149">
        <v>43629</v>
      </c>
      <c r="B12" s="150">
        <v>191</v>
      </c>
      <c r="C12" s="151">
        <v>3.5000000000000003E-2</v>
      </c>
      <c r="D12" s="150">
        <v>247</v>
      </c>
      <c r="E12" s="151">
        <v>1.4E-2</v>
      </c>
      <c r="F12" s="152">
        <v>29312</v>
      </c>
      <c r="G12" s="151">
        <v>1.0999999999999999E-2</v>
      </c>
      <c r="H12" s="151">
        <v>8.6999999999999994E-2</v>
      </c>
      <c r="I12" s="152">
        <v>20093840</v>
      </c>
      <c r="J12" s="150" t="s">
        <v>9108</v>
      </c>
      <c r="K12" s="152">
        <v>2550</v>
      </c>
      <c r="L12" s="150" t="s">
        <v>9109</v>
      </c>
      <c r="M12" s="152">
        <v>954379710</v>
      </c>
      <c r="N12" s="152">
        <v>116824</v>
      </c>
      <c r="O12" s="150">
        <v>8</v>
      </c>
    </row>
    <row r="13" spans="1:15" ht="27" x14ac:dyDescent="0.3">
      <c r="A13" s="149">
        <v>43630</v>
      </c>
      <c r="B13" s="150">
        <v>203</v>
      </c>
      <c r="C13" s="151">
        <v>3.5999999999999997E-2</v>
      </c>
      <c r="D13" s="150">
        <v>262</v>
      </c>
      <c r="E13" s="151">
        <v>1.4E-2</v>
      </c>
      <c r="F13" s="152">
        <v>32597</v>
      </c>
      <c r="G13" s="151">
        <v>1.0999999999999999E-2</v>
      </c>
      <c r="H13" s="151">
        <v>0.1</v>
      </c>
      <c r="I13" s="152">
        <v>27510660</v>
      </c>
      <c r="J13" s="150" t="s">
        <v>9110</v>
      </c>
      <c r="K13" s="152">
        <v>3267</v>
      </c>
      <c r="L13" s="150" t="s">
        <v>9111</v>
      </c>
      <c r="M13" s="152">
        <v>981890370</v>
      </c>
      <c r="N13" s="152">
        <v>120091</v>
      </c>
      <c r="O13" s="150">
        <v>7</v>
      </c>
    </row>
    <row r="14" spans="1:15" ht="27" x14ac:dyDescent="0.3">
      <c r="A14" s="149">
        <v>43631</v>
      </c>
      <c r="B14" s="150">
        <v>285</v>
      </c>
      <c r="C14" s="151">
        <v>4.7E-2</v>
      </c>
      <c r="D14" s="150">
        <v>381</v>
      </c>
      <c r="E14" s="151">
        <v>0.02</v>
      </c>
      <c r="F14" s="152">
        <v>45713</v>
      </c>
      <c r="G14" s="151">
        <v>1.6E-2</v>
      </c>
      <c r="H14" s="151">
        <v>0.24299999999999999</v>
      </c>
      <c r="I14" s="152">
        <v>92744940</v>
      </c>
      <c r="J14" s="150" t="s">
        <v>9112</v>
      </c>
      <c r="K14" s="152">
        <v>11092</v>
      </c>
      <c r="L14" s="150" t="s">
        <v>9113</v>
      </c>
      <c r="M14" s="152">
        <v>1074635310</v>
      </c>
      <c r="N14" s="152">
        <v>131183</v>
      </c>
      <c r="O14" s="150">
        <v>6</v>
      </c>
    </row>
    <row r="15" spans="1:15" ht="27" x14ac:dyDescent="0.3">
      <c r="A15" s="149">
        <v>43632</v>
      </c>
      <c r="B15" s="150">
        <v>295</v>
      </c>
      <c r="C15" s="151">
        <v>4.9000000000000002E-2</v>
      </c>
      <c r="D15" s="150">
        <v>401</v>
      </c>
      <c r="E15" s="151">
        <v>2.1000000000000001E-2</v>
      </c>
      <c r="F15" s="152">
        <v>48964</v>
      </c>
      <c r="G15" s="151">
        <v>1.7000000000000001E-2</v>
      </c>
      <c r="H15" s="151">
        <v>0.22900000000000001</v>
      </c>
      <c r="I15" s="152">
        <v>93062220</v>
      </c>
      <c r="J15" s="150" t="s">
        <v>9114</v>
      </c>
      <c r="K15" s="152">
        <v>11189</v>
      </c>
      <c r="L15" s="150" t="s">
        <v>9115</v>
      </c>
      <c r="M15" s="152">
        <v>1167697530</v>
      </c>
      <c r="N15" s="152">
        <v>142372</v>
      </c>
      <c r="O15" s="150">
        <v>6</v>
      </c>
    </row>
    <row r="16" spans="1:15" ht="27" x14ac:dyDescent="0.3">
      <c r="A16" s="149">
        <v>43633</v>
      </c>
      <c r="B16" s="150">
        <v>197</v>
      </c>
      <c r="C16" s="151">
        <v>3.6999999999999998E-2</v>
      </c>
      <c r="D16" s="150">
        <v>265</v>
      </c>
      <c r="E16" s="151">
        <v>1.4999999999999999E-2</v>
      </c>
      <c r="F16" s="152">
        <v>31685</v>
      </c>
      <c r="G16" s="151">
        <v>1.2E-2</v>
      </c>
      <c r="H16" s="151">
        <v>6.7000000000000004E-2</v>
      </c>
      <c r="I16" s="152">
        <v>17088090</v>
      </c>
      <c r="J16" s="150" t="s">
        <v>9116</v>
      </c>
      <c r="K16" s="152">
        <v>2116</v>
      </c>
      <c r="L16" s="150" t="s">
        <v>9117</v>
      </c>
      <c r="M16" s="152">
        <v>1184785620</v>
      </c>
      <c r="N16" s="152">
        <v>144488</v>
      </c>
      <c r="O16" s="150">
        <v>8</v>
      </c>
    </row>
    <row r="17" spans="1:15" ht="27" x14ac:dyDescent="0.3">
      <c r="A17" s="149">
        <v>43634</v>
      </c>
      <c r="B17" s="150">
        <v>210</v>
      </c>
      <c r="C17" s="151">
        <v>3.9E-2</v>
      </c>
      <c r="D17" s="150">
        <v>280</v>
      </c>
      <c r="E17" s="151">
        <v>1.6E-2</v>
      </c>
      <c r="F17" s="152">
        <v>35255</v>
      </c>
      <c r="G17" s="151">
        <v>1.2999999999999999E-2</v>
      </c>
      <c r="H17" s="151">
        <v>7.0000000000000007E-2</v>
      </c>
      <c r="I17" s="152">
        <v>19684070</v>
      </c>
      <c r="J17" s="150" t="s">
        <v>9118</v>
      </c>
      <c r="K17" s="152">
        <v>2473</v>
      </c>
      <c r="L17" s="150" t="s">
        <v>9119</v>
      </c>
      <c r="M17" s="152">
        <v>1204469690</v>
      </c>
      <c r="N17" s="152">
        <v>146961</v>
      </c>
      <c r="O17" s="150">
        <v>9</v>
      </c>
    </row>
    <row r="18" spans="1:15" ht="27" x14ac:dyDescent="0.3">
      <c r="A18" s="149">
        <v>43635</v>
      </c>
      <c r="B18" s="150">
        <v>146</v>
      </c>
      <c r="C18" s="151">
        <v>2.9000000000000001E-2</v>
      </c>
      <c r="D18" s="150">
        <v>197</v>
      </c>
      <c r="E18" s="151">
        <v>1.0999999999999999E-2</v>
      </c>
      <c r="F18" s="152">
        <v>23566</v>
      </c>
      <c r="G18" s="151">
        <v>8.9999999999999993E-3</v>
      </c>
      <c r="H18" s="151">
        <v>8.7999999999999995E-2</v>
      </c>
      <c r="I18" s="152">
        <v>16411980</v>
      </c>
      <c r="J18" s="150" t="s">
        <v>9120</v>
      </c>
      <c r="K18" s="152">
        <v>2076</v>
      </c>
      <c r="L18" s="150" t="s">
        <v>9121</v>
      </c>
      <c r="M18" s="152">
        <v>1220881670</v>
      </c>
      <c r="N18" s="152">
        <v>149037</v>
      </c>
      <c r="O18" s="150">
        <v>8</v>
      </c>
    </row>
    <row r="19" spans="1:15" ht="27" x14ac:dyDescent="0.3">
      <c r="A19" s="149">
        <v>43636</v>
      </c>
      <c r="B19" s="150">
        <v>64</v>
      </c>
      <c r="C19" s="151">
        <v>1.0999999999999999E-2</v>
      </c>
      <c r="D19" s="150">
        <v>88</v>
      </c>
      <c r="E19" s="151">
        <v>5.0000000000000001E-3</v>
      </c>
      <c r="F19" s="152">
        <v>10485</v>
      </c>
      <c r="G19" s="151">
        <v>4.0000000000000001E-3</v>
      </c>
      <c r="H19" s="151">
        <v>8.3000000000000004E-2</v>
      </c>
      <c r="I19" s="152">
        <v>6951460</v>
      </c>
      <c r="J19" s="150" t="s">
        <v>9122</v>
      </c>
      <c r="K19" s="150">
        <v>870</v>
      </c>
      <c r="L19" s="150" t="s">
        <v>9123</v>
      </c>
      <c r="M19" s="152">
        <v>1227833130</v>
      </c>
      <c r="N19" s="152">
        <v>149907</v>
      </c>
      <c r="O19" s="150">
        <v>16</v>
      </c>
    </row>
    <row r="20" spans="1:15" ht="27" x14ac:dyDescent="0.3">
      <c r="A20" s="149">
        <v>43637</v>
      </c>
      <c r="B20" s="150">
        <v>61</v>
      </c>
      <c r="C20" s="151">
        <v>1.0999999999999999E-2</v>
      </c>
      <c r="D20" s="150">
        <v>84</v>
      </c>
      <c r="E20" s="151">
        <v>4.0000000000000001E-3</v>
      </c>
      <c r="F20" s="152">
        <v>9835</v>
      </c>
      <c r="G20" s="151">
        <v>3.0000000000000001E-3</v>
      </c>
      <c r="H20" s="151">
        <v>0.109</v>
      </c>
      <c r="I20" s="152">
        <v>9585160</v>
      </c>
      <c r="J20" s="150" t="s">
        <v>9124</v>
      </c>
      <c r="K20" s="152">
        <v>1072</v>
      </c>
      <c r="L20" s="150" t="s">
        <v>9125</v>
      </c>
      <c r="M20" s="152">
        <v>1237418290</v>
      </c>
      <c r="N20" s="152">
        <v>150979</v>
      </c>
      <c r="O20" s="150">
        <v>11</v>
      </c>
    </row>
    <row r="21" spans="1:15" ht="27" x14ac:dyDescent="0.3">
      <c r="A21" s="149">
        <v>43638</v>
      </c>
      <c r="B21" s="150">
        <v>59</v>
      </c>
      <c r="C21" s="151">
        <v>8.9999999999999993E-3</v>
      </c>
      <c r="D21" s="150">
        <v>84</v>
      </c>
      <c r="E21" s="151">
        <v>4.0000000000000001E-3</v>
      </c>
      <c r="F21" s="152">
        <v>8818</v>
      </c>
      <c r="G21" s="151">
        <v>3.0000000000000001E-3</v>
      </c>
      <c r="H21" s="151">
        <v>0.246</v>
      </c>
      <c r="I21" s="152">
        <v>18613660</v>
      </c>
      <c r="J21" s="150" t="s">
        <v>9126</v>
      </c>
      <c r="K21" s="152">
        <v>2168</v>
      </c>
      <c r="L21" s="150" t="s">
        <v>9127</v>
      </c>
      <c r="M21" s="152">
        <v>1256031950</v>
      </c>
      <c r="N21" s="152">
        <v>153147</v>
      </c>
      <c r="O21" s="150">
        <v>10</v>
      </c>
    </row>
    <row r="22" spans="1:15" ht="27" x14ac:dyDescent="0.3">
      <c r="A22" s="149">
        <v>43639</v>
      </c>
      <c r="B22" s="150">
        <v>63</v>
      </c>
      <c r="C22" s="151">
        <v>0.01</v>
      </c>
      <c r="D22" s="150">
        <v>88</v>
      </c>
      <c r="E22" s="151">
        <v>4.0000000000000001E-3</v>
      </c>
      <c r="F22" s="152">
        <v>9308</v>
      </c>
      <c r="G22" s="151">
        <v>3.0000000000000001E-3</v>
      </c>
      <c r="H22" s="151">
        <v>0.246</v>
      </c>
      <c r="I22" s="152">
        <v>19519880</v>
      </c>
      <c r="J22" s="150" t="s">
        <v>9128</v>
      </c>
      <c r="K22" s="152">
        <v>2294</v>
      </c>
      <c r="L22" s="150" t="s">
        <v>9129</v>
      </c>
      <c r="M22" s="152">
        <v>1275551830</v>
      </c>
      <c r="N22" s="152">
        <v>155441</v>
      </c>
      <c r="O22" s="150">
        <v>9</v>
      </c>
    </row>
    <row r="23" spans="1:15" ht="27" x14ac:dyDescent="0.3">
      <c r="A23" s="149">
        <v>43640</v>
      </c>
      <c r="B23" s="150">
        <v>50</v>
      </c>
      <c r="C23" s="151">
        <v>8.9999999999999993E-3</v>
      </c>
      <c r="D23" s="150">
        <v>61</v>
      </c>
      <c r="E23" s="151">
        <v>3.0000000000000001E-3</v>
      </c>
      <c r="F23" s="152">
        <v>7549</v>
      </c>
      <c r="G23" s="151">
        <v>3.0000000000000001E-3</v>
      </c>
      <c r="H23" s="151">
        <v>9.7000000000000003E-2</v>
      </c>
      <c r="I23" s="152">
        <v>5854700</v>
      </c>
      <c r="J23" s="150" t="s">
        <v>9130</v>
      </c>
      <c r="K23" s="150">
        <v>735</v>
      </c>
      <c r="L23" s="150" t="s">
        <v>9131</v>
      </c>
      <c r="M23" s="152">
        <v>1281406530</v>
      </c>
      <c r="N23" s="152">
        <v>156176</v>
      </c>
      <c r="O23" s="150">
        <v>14</v>
      </c>
    </row>
    <row r="24" spans="1:15" ht="27" x14ac:dyDescent="0.3">
      <c r="A24" s="149">
        <v>43641</v>
      </c>
      <c r="B24" s="150">
        <v>54</v>
      </c>
      <c r="C24" s="151">
        <v>0.01</v>
      </c>
      <c r="D24" s="150">
        <v>61</v>
      </c>
      <c r="E24" s="151">
        <v>3.0000000000000001E-3</v>
      </c>
      <c r="F24" s="152">
        <v>7628</v>
      </c>
      <c r="G24" s="151">
        <v>3.0000000000000001E-3</v>
      </c>
      <c r="H24" s="151">
        <v>0.13300000000000001</v>
      </c>
      <c r="I24" s="152">
        <v>7515200</v>
      </c>
      <c r="J24" s="150" t="s">
        <v>9132</v>
      </c>
      <c r="K24" s="152">
        <v>1017</v>
      </c>
      <c r="L24" s="150" t="s">
        <v>9133</v>
      </c>
      <c r="M24" s="152">
        <v>1288921730</v>
      </c>
      <c r="N24" s="152">
        <v>157193</v>
      </c>
      <c r="O24" s="150">
        <v>12</v>
      </c>
    </row>
    <row r="25" spans="1:15" ht="27" x14ac:dyDescent="0.3">
      <c r="A25" s="149">
        <v>43642</v>
      </c>
      <c r="B25" s="150">
        <v>16</v>
      </c>
      <c r="C25" s="151">
        <v>2E-3</v>
      </c>
      <c r="D25" s="150">
        <v>19</v>
      </c>
      <c r="E25" s="151">
        <v>1E-3</v>
      </c>
      <c r="F25" s="152">
        <v>1836</v>
      </c>
      <c r="G25" s="151">
        <v>1E-3</v>
      </c>
      <c r="H25" s="151">
        <v>0.13600000000000001</v>
      </c>
      <c r="I25" s="152">
        <v>1721000</v>
      </c>
      <c r="J25" s="150" t="s">
        <v>9134</v>
      </c>
      <c r="K25" s="150">
        <v>249</v>
      </c>
      <c r="L25" s="150" t="s">
        <v>9135</v>
      </c>
      <c r="M25" s="152">
        <v>1290642730</v>
      </c>
      <c r="N25" s="152">
        <v>157442</v>
      </c>
      <c r="O25" s="150">
        <v>25</v>
      </c>
    </row>
    <row r="26" spans="1:15" ht="27" x14ac:dyDescent="0.3">
      <c r="A26" s="149">
        <v>43643</v>
      </c>
      <c r="B26" s="150">
        <v>22</v>
      </c>
      <c r="C26" s="151">
        <v>4.0000000000000001E-3</v>
      </c>
      <c r="D26" s="150">
        <v>25</v>
      </c>
      <c r="E26" s="151">
        <v>1E-3</v>
      </c>
      <c r="F26" s="152">
        <v>2240</v>
      </c>
      <c r="G26" s="151">
        <v>1E-3</v>
      </c>
      <c r="H26" s="151">
        <v>0.13800000000000001</v>
      </c>
      <c r="I26" s="152">
        <v>2446000</v>
      </c>
      <c r="J26" s="150" t="s">
        <v>9136</v>
      </c>
      <c r="K26" s="150">
        <v>308</v>
      </c>
      <c r="L26" s="150" t="s">
        <v>9137</v>
      </c>
      <c r="M26" s="152">
        <v>1293088730</v>
      </c>
      <c r="N26" s="152">
        <v>157750</v>
      </c>
      <c r="O26" s="150">
        <v>27</v>
      </c>
    </row>
    <row r="27" spans="1:15" ht="27" x14ac:dyDescent="0.3">
      <c r="A27" s="149">
        <v>43644</v>
      </c>
      <c r="B27" s="150">
        <v>18</v>
      </c>
      <c r="C27" s="151">
        <v>3.0000000000000001E-3</v>
      </c>
      <c r="D27" s="150">
        <v>21</v>
      </c>
      <c r="E27" s="151">
        <v>1E-3</v>
      </c>
      <c r="F27" s="152">
        <v>1966</v>
      </c>
      <c r="G27" s="151">
        <v>1E-3</v>
      </c>
      <c r="H27" s="151">
        <v>0.13600000000000001</v>
      </c>
      <c r="I27" s="152">
        <v>2386000</v>
      </c>
      <c r="J27" s="150" t="s">
        <v>9138</v>
      </c>
      <c r="K27" s="150">
        <v>267</v>
      </c>
      <c r="L27" s="150" t="s">
        <v>9139</v>
      </c>
      <c r="M27" s="152">
        <v>1295474730</v>
      </c>
      <c r="N27" s="152">
        <v>158017</v>
      </c>
      <c r="O27" s="150">
        <v>22</v>
      </c>
    </row>
    <row r="28" spans="1:15" ht="27" x14ac:dyDescent="0.3">
      <c r="A28" s="149">
        <v>43645</v>
      </c>
      <c r="B28" s="150">
        <v>23</v>
      </c>
      <c r="C28" s="151">
        <v>3.0000000000000001E-3</v>
      </c>
      <c r="D28" s="150">
        <v>29</v>
      </c>
      <c r="E28" s="151">
        <v>1E-3</v>
      </c>
      <c r="F28" s="152">
        <v>2790</v>
      </c>
      <c r="G28" s="151">
        <v>1E-3</v>
      </c>
      <c r="H28" s="151">
        <v>0.31</v>
      </c>
      <c r="I28" s="152">
        <v>7705300</v>
      </c>
      <c r="J28" s="150" t="s">
        <v>9140</v>
      </c>
      <c r="K28" s="150">
        <v>864</v>
      </c>
      <c r="L28" s="150" t="s">
        <v>9141</v>
      </c>
      <c r="M28" s="152">
        <v>1303180030</v>
      </c>
      <c r="N28" s="152">
        <v>158881</v>
      </c>
      <c r="O28" s="150">
        <v>17</v>
      </c>
    </row>
    <row r="29" spans="1:15" ht="27" x14ac:dyDescent="0.3">
      <c r="A29" s="149">
        <v>43646</v>
      </c>
      <c r="B29" s="150">
        <v>22</v>
      </c>
      <c r="C29" s="151">
        <v>3.0000000000000001E-3</v>
      </c>
      <c r="D29" s="150">
        <v>29</v>
      </c>
      <c r="E29" s="151">
        <v>1E-3</v>
      </c>
      <c r="F29" s="152">
        <v>2796</v>
      </c>
      <c r="G29" s="151">
        <v>1E-3</v>
      </c>
      <c r="H29" s="151">
        <v>0.28499999999999998</v>
      </c>
      <c r="I29" s="152">
        <v>6594300</v>
      </c>
      <c r="J29" s="150" t="s">
        <v>9142</v>
      </c>
      <c r="K29" s="150">
        <v>798</v>
      </c>
      <c r="L29" s="150" t="s">
        <v>9143</v>
      </c>
      <c r="M29" s="152">
        <v>1309774330</v>
      </c>
      <c r="N29" s="152">
        <v>159679</v>
      </c>
      <c r="O29" s="150">
        <v>17</v>
      </c>
    </row>
    <row r="30" spans="1:15" ht="27" x14ac:dyDescent="0.3">
      <c r="A30" s="149">
        <v>43647</v>
      </c>
      <c r="B30" s="150">
        <v>18</v>
      </c>
      <c r="C30" s="151">
        <v>3.0000000000000001E-3</v>
      </c>
      <c r="D30" s="150">
        <v>24</v>
      </c>
      <c r="E30" s="151">
        <v>1E-3</v>
      </c>
      <c r="F30" s="152">
        <v>2688</v>
      </c>
      <c r="G30" s="151">
        <v>1E-3</v>
      </c>
      <c r="H30" s="151">
        <v>8.6999999999999994E-2</v>
      </c>
      <c r="I30" s="152">
        <v>1950500</v>
      </c>
      <c r="J30" s="150" t="s">
        <v>9144</v>
      </c>
      <c r="K30" s="150">
        <v>234</v>
      </c>
      <c r="L30" s="150" t="s">
        <v>9145</v>
      </c>
      <c r="M30" s="152">
        <v>1311724830</v>
      </c>
      <c r="N30" s="152">
        <v>159913</v>
      </c>
      <c r="O30" s="150">
        <v>27</v>
      </c>
    </row>
    <row r="31" spans="1:15" ht="27" x14ac:dyDescent="0.3">
      <c r="A31" s="149">
        <v>43648</v>
      </c>
      <c r="B31" s="150">
        <v>16</v>
      </c>
      <c r="C31" s="151">
        <v>3.0000000000000001E-3</v>
      </c>
      <c r="D31" s="150">
        <v>21</v>
      </c>
      <c r="E31" s="151">
        <v>1E-3</v>
      </c>
      <c r="F31" s="152">
        <v>2052</v>
      </c>
      <c r="G31" s="151">
        <v>1E-3</v>
      </c>
      <c r="H31" s="151">
        <v>0.10199999999999999</v>
      </c>
      <c r="I31" s="152">
        <v>1683500</v>
      </c>
      <c r="J31" s="150" t="s">
        <v>9146</v>
      </c>
      <c r="K31" s="150">
        <v>210</v>
      </c>
      <c r="L31" s="150" t="s">
        <v>9147</v>
      </c>
      <c r="M31" s="152">
        <v>1313408330</v>
      </c>
      <c r="N31" s="152">
        <v>160123</v>
      </c>
      <c r="O31" s="150">
        <v>24</v>
      </c>
    </row>
    <row r="32" spans="1:15" ht="27" x14ac:dyDescent="0.3">
      <c r="A32" s="149">
        <v>43649</v>
      </c>
      <c r="B32" s="150">
        <v>16</v>
      </c>
      <c r="C32" s="151">
        <v>3.0000000000000001E-3</v>
      </c>
      <c r="D32" s="150">
        <v>21</v>
      </c>
      <c r="E32" s="151">
        <v>1E-3</v>
      </c>
      <c r="F32" s="152">
        <v>2129</v>
      </c>
      <c r="G32" s="151">
        <v>1E-3</v>
      </c>
      <c r="H32" s="151">
        <v>0.128</v>
      </c>
      <c r="I32" s="152">
        <v>2225500</v>
      </c>
      <c r="J32" s="150" t="s">
        <v>9148</v>
      </c>
      <c r="K32" s="150">
        <v>272</v>
      </c>
      <c r="L32" s="150" t="s">
        <v>9149</v>
      </c>
      <c r="M32" s="152">
        <v>1315633830</v>
      </c>
      <c r="N32" s="152">
        <v>160395</v>
      </c>
      <c r="O32" s="150">
        <v>23</v>
      </c>
    </row>
    <row r="33" spans="1:15" ht="27" x14ac:dyDescent="0.3">
      <c r="A33" s="149">
        <v>43650</v>
      </c>
      <c r="B33" s="150">
        <v>7</v>
      </c>
      <c r="C33" s="151">
        <v>1E-3</v>
      </c>
      <c r="D33" s="150">
        <v>9</v>
      </c>
      <c r="E33" s="151">
        <v>0</v>
      </c>
      <c r="F33" s="152">
        <v>1030</v>
      </c>
      <c r="G33" s="151">
        <v>0</v>
      </c>
      <c r="H33" s="151">
        <v>0.13</v>
      </c>
      <c r="I33" s="152">
        <v>1102300</v>
      </c>
      <c r="J33" s="150" t="s">
        <v>9150</v>
      </c>
      <c r="K33" s="150">
        <v>134</v>
      </c>
      <c r="L33" s="150" t="s">
        <v>9151</v>
      </c>
      <c r="M33" s="152">
        <v>1316736130</v>
      </c>
      <c r="N33" s="152">
        <v>160529</v>
      </c>
      <c r="O33" s="150">
        <v>35</v>
      </c>
    </row>
    <row r="34" spans="1:15" ht="27" x14ac:dyDescent="0.3">
      <c r="A34" s="149">
        <v>43651</v>
      </c>
      <c r="B34" s="150">
        <v>7</v>
      </c>
      <c r="C34" s="151">
        <v>1E-3</v>
      </c>
      <c r="D34" s="150">
        <v>8</v>
      </c>
      <c r="E34" s="151">
        <v>0</v>
      </c>
      <c r="F34" s="150">
        <v>830</v>
      </c>
      <c r="G34" s="151">
        <v>0</v>
      </c>
      <c r="H34" s="151">
        <v>0.114</v>
      </c>
      <c r="I34" s="152">
        <v>856000</v>
      </c>
      <c r="J34" s="150" t="s">
        <v>9152</v>
      </c>
      <c r="K34" s="150">
        <v>95</v>
      </c>
      <c r="L34" s="150" t="s">
        <v>9153</v>
      </c>
      <c r="M34" s="152">
        <v>1317592130</v>
      </c>
      <c r="N34" s="152">
        <v>160624</v>
      </c>
      <c r="O34" s="150">
        <v>37</v>
      </c>
    </row>
    <row r="35" spans="1:15" ht="27" x14ac:dyDescent="0.3">
      <c r="A35" s="149">
        <v>43652</v>
      </c>
      <c r="B35" s="150">
        <v>12</v>
      </c>
      <c r="C35" s="151">
        <v>2E-3</v>
      </c>
      <c r="D35" s="150">
        <v>14</v>
      </c>
      <c r="E35" s="151">
        <v>1E-3</v>
      </c>
      <c r="F35" s="152">
        <v>1323</v>
      </c>
      <c r="G35" s="151">
        <v>0</v>
      </c>
      <c r="H35" s="151">
        <v>0.29799999999999999</v>
      </c>
      <c r="I35" s="152">
        <v>3482500</v>
      </c>
      <c r="J35" s="150" t="s">
        <v>9154</v>
      </c>
      <c r="K35" s="150">
        <v>394</v>
      </c>
      <c r="L35" s="150" t="s">
        <v>9155</v>
      </c>
      <c r="M35" s="152">
        <v>1321074630</v>
      </c>
      <c r="N35" s="152">
        <v>161018</v>
      </c>
      <c r="O35" s="150">
        <v>22</v>
      </c>
    </row>
    <row r="36" spans="1:15" ht="27" x14ac:dyDescent="0.3">
      <c r="A36" s="149">
        <v>43653</v>
      </c>
      <c r="B36" s="150">
        <v>12</v>
      </c>
      <c r="C36" s="151">
        <v>2E-3</v>
      </c>
      <c r="D36" s="150">
        <v>14</v>
      </c>
      <c r="E36" s="151">
        <v>1E-3</v>
      </c>
      <c r="F36" s="152">
        <v>1494</v>
      </c>
      <c r="G36" s="151">
        <v>1E-3</v>
      </c>
      <c r="H36" s="151">
        <v>0.252</v>
      </c>
      <c r="I36" s="152">
        <v>3346100</v>
      </c>
      <c r="J36" s="150" t="s">
        <v>9156</v>
      </c>
      <c r="K36" s="150">
        <v>376</v>
      </c>
      <c r="L36" s="150" t="s">
        <v>9157</v>
      </c>
      <c r="M36" s="152">
        <v>1324420730</v>
      </c>
      <c r="N36" s="152">
        <v>161394</v>
      </c>
      <c r="O36" s="150">
        <v>23</v>
      </c>
    </row>
    <row r="37" spans="1:15" ht="27" x14ac:dyDescent="0.3">
      <c r="A37" s="149">
        <v>43654</v>
      </c>
      <c r="B37" s="150">
        <v>9</v>
      </c>
      <c r="C37" s="151">
        <v>2E-3</v>
      </c>
      <c r="D37" s="150">
        <v>9</v>
      </c>
      <c r="E37" s="151">
        <v>0</v>
      </c>
      <c r="F37" s="152">
        <v>1248</v>
      </c>
      <c r="G37" s="151">
        <v>0</v>
      </c>
      <c r="H37" s="151">
        <v>0.56200000000000006</v>
      </c>
      <c r="I37" s="152">
        <v>6281000</v>
      </c>
      <c r="J37" s="150" t="s">
        <v>9158</v>
      </c>
      <c r="K37" s="150">
        <v>701</v>
      </c>
      <c r="L37" s="150" t="s">
        <v>9159</v>
      </c>
      <c r="M37" s="152">
        <v>1330701730</v>
      </c>
      <c r="N37" s="152">
        <v>162095</v>
      </c>
      <c r="O37" s="150">
        <v>13</v>
      </c>
    </row>
    <row r="38" spans="1:15" ht="27" x14ac:dyDescent="0.3">
      <c r="A38" s="149">
        <v>43655</v>
      </c>
      <c r="B38" s="150">
        <v>5</v>
      </c>
      <c r="C38" s="151">
        <v>1E-3</v>
      </c>
      <c r="D38" s="150">
        <v>5</v>
      </c>
      <c r="E38" s="151">
        <v>0</v>
      </c>
      <c r="F38" s="150">
        <v>479</v>
      </c>
      <c r="G38" s="151">
        <v>0</v>
      </c>
      <c r="H38" s="151">
        <v>0.09</v>
      </c>
      <c r="I38" s="152">
        <v>318500</v>
      </c>
      <c r="J38" s="150" t="s">
        <v>9160</v>
      </c>
      <c r="K38" s="150">
        <v>43</v>
      </c>
      <c r="L38" s="150" t="s">
        <v>9161</v>
      </c>
      <c r="M38" s="152">
        <v>1331020230</v>
      </c>
      <c r="N38" s="152">
        <v>162138</v>
      </c>
      <c r="O38" s="150">
        <v>53</v>
      </c>
    </row>
    <row r="39" spans="1:15" ht="27" x14ac:dyDescent="0.3">
      <c r="A39" s="149">
        <v>43656</v>
      </c>
      <c r="B39" s="150">
        <v>7</v>
      </c>
      <c r="C39" s="151">
        <v>1E-3</v>
      </c>
      <c r="D39" s="150">
        <v>7</v>
      </c>
      <c r="E39" s="151">
        <v>0</v>
      </c>
      <c r="F39" s="150">
        <v>689</v>
      </c>
      <c r="G39" s="151">
        <v>0</v>
      </c>
      <c r="H39" s="151">
        <v>0.151</v>
      </c>
      <c r="I39" s="152">
        <v>879500</v>
      </c>
      <c r="J39" s="150" t="s">
        <v>9162</v>
      </c>
      <c r="K39" s="150">
        <v>104</v>
      </c>
      <c r="L39" s="150" t="s">
        <v>9163</v>
      </c>
      <c r="M39" s="152">
        <v>1331899730</v>
      </c>
      <c r="N39" s="152">
        <v>162242</v>
      </c>
      <c r="O39" s="150">
        <v>41</v>
      </c>
    </row>
    <row r="40" spans="1:15" ht="27" x14ac:dyDescent="0.3">
      <c r="A40" s="149">
        <v>43657</v>
      </c>
      <c r="B40" s="150">
        <v>2</v>
      </c>
      <c r="C40" s="151">
        <v>0</v>
      </c>
      <c r="D40" s="150">
        <v>2</v>
      </c>
      <c r="E40" s="151">
        <v>0</v>
      </c>
      <c r="F40" s="150">
        <v>88</v>
      </c>
      <c r="G40" s="151">
        <v>0</v>
      </c>
      <c r="H40" s="151">
        <v>0.33</v>
      </c>
      <c r="I40" s="152">
        <v>277000</v>
      </c>
      <c r="J40" s="150" t="s">
        <v>9164</v>
      </c>
      <c r="K40" s="150">
        <v>29</v>
      </c>
      <c r="L40" s="150" t="s">
        <v>9165</v>
      </c>
      <c r="M40" s="152">
        <v>1332176730</v>
      </c>
      <c r="N40" s="152">
        <v>162271</v>
      </c>
      <c r="O40" s="150">
        <v>76</v>
      </c>
    </row>
    <row r="41" spans="1:15" ht="27" x14ac:dyDescent="0.3">
      <c r="A41" s="149">
        <v>43658</v>
      </c>
      <c r="B41" s="150">
        <v>1</v>
      </c>
      <c r="C41" s="151">
        <v>0</v>
      </c>
      <c r="D41" s="150">
        <v>1</v>
      </c>
      <c r="E41" s="151">
        <v>0</v>
      </c>
      <c r="F41" s="150">
        <v>58</v>
      </c>
      <c r="G41" s="151">
        <v>0</v>
      </c>
      <c r="H41" s="151">
        <v>8.5999999999999993E-2</v>
      </c>
      <c r="I41" s="152">
        <v>60000</v>
      </c>
      <c r="J41" s="150" t="s">
        <v>9166</v>
      </c>
      <c r="K41" s="150">
        <v>5</v>
      </c>
      <c r="L41" s="150" t="s">
        <v>9167</v>
      </c>
      <c r="M41" s="152">
        <v>1332236730</v>
      </c>
      <c r="N41" s="152">
        <v>162276</v>
      </c>
      <c r="O41" s="150">
        <v>93</v>
      </c>
    </row>
    <row r="42" spans="1:15" ht="27" x14ac:dyDescent="0.3">
      <c r="A42" s="149">
        <v>43659</v>
      </c>
      <c r="B42" s="150">
        <v>5</v>
      </c>
      <c r="C42" s="151">
        <v>1E-3</v>
      </c>
      <c r="D42" s="150">
        <v>5</v>
      </c>
      <c r="E42" s="151">
        <v>0</v>
      </c>
      <c r="F42" s="150">
        <v>402</v>
      </c>
      <c r="G42" s="151">
        <v>0</v>
      </c>
      <c r="H42" s="151">
        <v>0.26900000000000002</v>
      </c>
      <c r="I42" s="152">
        <v>995500</v>
      </c>
      <c r="J42" s="150" t="s">
        <v>9168</v>
      </c>
      <c r="K42" s="150">
        <v>108</v>
      </c>
      <c r="L42" s="150" t="s">
        <v>9169</v>
      </c>
      <c r="M42" s="152">
        <v>1333232230</v>
      </c>
      <c r="N42" s="152">
        <v>162384</v>
      </c>
      <c r="O42" s="150">
        <v>48</v>
      </c>
    </row>
    <row r="43" spans="1:15" ht="27" x14ac:dyDescent="0.3">
      <c r="A43" s="149">
        <v>43660</v>
      </c>
      <c r="B43" s="150">
        <v>1</v>
      </c>
      <c r="C43" s="151">
        <v>0</v>
      </c>
      <c r="D43" s="150">
        <v>2</v>
      </c>
      <c r="E43" s="151">
        <v>0</v>
      </c>
      <c r="F43" s="150">
        <v>184</v>
      </c>
      <c r="G43" s="151">
        <v>0</v>
      </c>
      <c r="H43" s="151">
        <v>0.27700000000000002</v>
      </c>
      <c r="I43" s="152">
        <v>568000</v>
      </c>
      <c r="J43" s="150" t="s">
        <v>9170</v>
      </c>
      <c r="K43" s="150">
        <v>51</v>
      </c>
      <c r="L43" s="150" t="s">
        <v>9171</v>
      </c>
      <c r="M43" s="152">
        <v>1333800230</v>
      </c>
      <c r="N43" s="152">
        <v>162435</v>
      </c>
      <c r="O43" s="150">
        <v>55</v>
      </c>
    </row>
    <row r="44" spans="1:15" ht="27" x14ac:dyDescent="0.3">
      <c r="A44" s="149">
        <v>43661</v>
      </c>
      <c r="B44" s="150">
        <v>3</v>
      </c>
      <c r="C44" s="151">
        <v>1E-3</v>
      </c>
      <c r="D44" s="150">
        <v>3</v>
      </c>
      <c r="E44" s="151">
        <v>0</v>
      </c>
      <c r="F44" s="150">
        <v>240</v>
      </c>
      <c r="G44" s="151">
        <v>0</v>
      </c>
      <c r="H44" s="151">
        <v>7.9000000000000001E-2</v>
      </c>
      <c r="I44" s="152">
        <v>181000</v>
      </c>
      <c r="J44" s="150" t="s">
        <v>9172</v>
      </c>
      <c r="K44" s="150">
        <v>19</v>
      </c>
      <c r="L44" s="150" t="s">
        <v>9173</v>
      </c>
      <c r="M44" s="152">
        <v>1333981230</v>
      </c>
      <c r="N44" s="152">
        <v>162454</v>
      </c>
      <c r="O44" s="150">
        <v>71</v>
      </c>
    </row>
    <row r="45" spans="1:15" ht="27" x14ac:dyDescent="0.3">
      <c r="A45" s="149">
        <v>43662</v>
      </c>
      <c r="B45" s="150">
        <v>1</v>
      </c>
      <c r="C45" s="151">
        <v>0</v>
      </c>
      <c r="D45" s="150">
        <v>1</v>
      </c>
      <c r="E45" s="151">
        <v>0</v>
      </c>
      <c r="F45" s="150">
        <v>92</v>
      </c>
      <c r="G45" s="151">
        <v>0</v>
      </c>
      <c r="H45" s="151">
        <v>3.3000000000000002E-2</v>
      </c>
      <c r="I45" s="152">
        <v>21000</v>
      </c>
      <c r="J45" s="150" t="s">
        <v>9174</v>
      </c>
      <c r="K45" s="150">
        <v>3</v>
      </c>
      <c r="L45" s="150" t="s">
        <v>9175</v>
      </c>
      <c r="M45" s="152">
        <v>1334002230</v>
      </c>
      <c r="N45" s="152">
        <v>162457</v>
      </c>
      <c r="O45" s="150">
        <v>96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AC804-B856-4A17-9CBF-432D3A973C2A}">
  <dimension ref="A1:O46"/>
  <sheetViews>
    <sheetView workbookViewId="0">
      <selection activeCell="A5" sqref="A5:O7"/>
    </sheetView>
  </sheetViews>
  <sheetFormatPr defaultRowHeight="16.5" x14ac:dyDescent="0.3"/>
  <sheetData>
    <row r="1" spans="1:15" ht="19.5" x14ac:dyDescent="0.3">
      <c r="A1" s="197" t="s">
        <v>9176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60" t="s">
        <v>111</v>
      </c>
      <c r="B4" s="155" t="s">
        <v>112</v>
      </c>
      <c r="C4" s="155" t="s">
        <v>113</v>
      </c>
      <c r="D4" s="155" t="s">
        <v>114</v>
      </c>
      <c r="E4" s="155" t="s">
        <v>115</v>
      </c>
      <c r="F4" s="155" t="s">
        <v>116</v>
      </c>
      <c r="G4" s="155" t="s">
        <v>117</v>
      </c>
      <c r="H4" s="155" t="s">
        <v>118</v>
      </c>
      <c r="I4" s="155" t="s">
        <v>119</v>
      </c>
      <c r="J4" s="155" t="s">
        <v>120</v>
      </c>
      <c r="K4" s="155" t="s">
        <v>121</v>
      </c>
      <c r="L4" s="155" t="s">
        <v>122</v>
      </c>
      <c r="M4" s="155" t="s">
        <v>123</v>
      </c>
      <c r="N4" s="155" t="s">
        <v>124</v>
      </c>
      <c r="O4" s="161" t="s">
        <v>125</v>
      </c>
    </row>
    <row r="5" spans="1:15" ht="27" x14ac:dyDescent="0.3">
      <c r="A5" s="156">
        <v>43621</v>
      </c>
      <c r="B5" s="157">
        <v>640</v>
      </c>
      <c r="C5" s="158">
        <v>0.112</v>
      </c>
      <c r="D5" s="159">
        <v>1752</v>
      </c>
      <c r="E5" s="158">
        <v>9.7000000000000003E-2</v>
      </c>
      <c r="F5" s="159">
        <v>228138</v>
      </c>
      <c r="G5" s="158">
        <v>8.1000000000000003E-2</v>
      </c>
      <c r="H5" s="158">
        <v>5.1999999999999998E-2</v>
      </c>
      <c r="I5" s="159">
        <v>94429820</v>
      </c>
      <c r="J5" s="157" t="s">
        <v>9177</v>
      </c>
      <c r="K5" s="159">
        <v>11888</v>
      </c>
      <c r="L5" s="157" t="s">
        <v>9178</v>
      </c>
      <c r="M5" s="159">
        <v>110281820</v>
      </c>
      <c r="N5" s="159">
        <v>13716</v>
      </c>
      <c r="O5" s="157">
        <v>4</v>
      </c>
    </row>
    <row r="6" spans="1:15" ht="27" x14ac:dyDescent="0.3">
      <c r="A6" s="156">
        <v>43622</v>
      </c>
      <c r="B6" s="157">
        <v>555</v>
      </c>
      <c r="C6" s="158">
        <v>9.4E-2</v>
      </c>
      <c r="D6" s="159">
        <v>1252</v>
      </c>
      <c r="E6" s="158">
        <v>6.4000000000000001E-2</v>
      </c>
      <c r="F6" s="159">
        <v>152846</v>
      </c>
      <c r="G6" s="158">
        <v>5.0999999999999997E-2</v>
      </c>
      <c r="H6" s="158">
        <v>0.127</v>
      </c>
      <c r="I6" s="159">
        <v>171666110</v>
      </c>
      <c r="J6" s="157" t="s">
        <v>9179</v>
      </c>
      <c r="K6" s="159">
        <v>19372</v>
      </c>
      <c r="L6" s="157" t="s">
        <v>9180</v>
      </c>
      <c r="M6" s="159">
        <v>281947930</v>
      </c>
      <c r="N6" s="159">
        <v>33088</v>
      </c>
      <c r="O6" s="157">
        <v>5</v>
      </c>
    </row>
    <row r="7" spans="1:15" ht="27" x14ac:dyDescent="0.3">
      <c r="A7" s="156">
        <v>43623</v>
      </c>
      <c r="B7" s="157">
        <v>534</v>
      </c>
      <c r="C7" s="158">
        <v>0.09</v>
      </c>
      <c r="D7" s="159">
        <v>1166</v>
      </c>
      <c r="E7" s="158">
        <v>0.06</v>
      </c>
      <c r="F7" s="159">
        <v>141078</v>
      </c>
      <c r="G7" s="158">
        <v>4.7E-2</v>
      </c>
      <c r="H7" s="158">
        <v>0.08</v>
      </c>
      <c r="I7" s="159">
        <v>99688046</v>
      </c>
      <c r="J7" s="157" t="s">
        <v>9181</v>
      </c>
      <c r="K7" s="159">
        <v>11332</v>
      </c>
      <c r="L7" s="157" t="s">
        <v>9182</v>
      </c>
      <c r="M7" s="159">
        <v>381635976</v>
      </c>
      <c r="N7" s="159">
        <v>44420</v>
      </c>
      <c r="O7" s="157">
        <v>5</v>
      </c>
    </row>
    <row r="8" spans="1:15" ht="27" x14ac:dyDescent="0.3">
      <c r="A8" s="156">
        <v>43624</v>
      </c>
      <c r="B8" s="157">
        <v>505</v>
      </c>
      <c r="C8" s="158">
        <v>8.5000000000000006E-2</v>
      </c>
      <c r="D8" s="157">
        <v>979</v>
      </c>
      <c r="E8" s="158">
        <v>0.05</v>
      </c>
      <c r="F8" s="159">
        <v>116708</v>
      </c>
      <c r="G8" s="158">
        <v>3.7999999999999999E-2</v>
      </c>
      <c r="H8" s="158">
        <v>0.123</v>
      </c>
      <c r="I8" s="159">
        <v>128268667</v>
      </c>
      <c r="J8" s="157" t="s">
        <v>9183</v>
      </c>
      <c r="K8" s="159">
        <v>14317</v>
      </c>
      <c r="L8" s="157" t="s">
        <v>9184</v>
      </c>
      <c r="M8" s="159">
        <v>509904643</v>
      </c>
      <c r="N8" s="159">
        <v>58737</v>
      </c>
      <c r="O8" s="157">
        <v>5</v>
      </c>
    </row>
    <row r="9" spans="1:15" ht="27" x14ac:dyDescent="0.3">
      <c r="A9" s="156">
        <v>43625</v>
      </c>
      <c r="B9" s="157">
        <v>480</v>
      </c>
      <c r="C9" s="158">
        <v>8.1000000000000003E-2</v>
      </c>
      <c r="D9" s="157">
        <v>892</v>
      </c>
      <c r="E9" s="158">
        <v>4.7E-2</v>
      </c>
      <c r="F9" s="159">
        <v>107571</v>
      </c>
      <c r="G9" s="158">
        <v>3.5999999999999997E-2</v>
      </c>
      <c r="H9" s="158">
        <v>0.127</v>
      </c>
      <c r="I9" s="159">
        <v>121357630</v>
      </c>
      <c r="J9" s="157" t="s">
        <v>9185</v>
      </c>
      <c r="K9" s="159">
        <v>13714</v>
      </c>
      <c r="L9" s="157" t="s">
        <v>9186</v>
      </c>
      <c r="M9" s="159">
        <v>631262273</v>
      </c>
      <c r="N9" s="159">
        <v>72451</v>
      </c>
      <c r="O9" s="157">
        <v>5</v>
      </c>
    </row>
    <row r="10" spans="1:15" ht="27" x14ac:dyDescent="0.3">
      <c r="A10" s="156">
        <v>43626</v>
      </c>
      <c r="B10" s="157">
        <v>472</v>
      </c>
      <c r="C10" s="158">
        <v>9.1999999999999998E-2</v>
      </c>
      <c r="D10" s="159">
        <v>1064</v>
      </c>
      <c r="E10" s="158">
        <v>6.0999999999999999E-2</v>
      </c>
      <c r="F10" s="159">
        <v>130121</v>
      </c>
      <c r="G10" s="158">
        <v>4.8000000000000001E-2</v>
      </c>
      <c r="H10" s="158">
        <v>6.0999999999999999E-2</v>
      </c>
      <c r="I10" s="159">
        <v>63936560</v>
      </c>
      <c r="J10" s="157" t="s">
        <v>9187</v>
      </c>
      <c r="K10" s="159">
        <v>7873</v>
      </c>
      <c r="L10" s="157" t="s">
        <v>9188</v>
      </c>
      <c r="M10" s="159">
        <v>695198833</v>
      </c>
      <c r="N10" s="159">
        <v>80324</v>
      </c>
      <c r="O10" s="157">
        <v>4</v>
      </c>
    </row>
    <row r="11" spans="1:15" ht="27" x14ac:dyDescent="0.3">
      <c r="A11" s="156">
        <v>43627</v>
      </c>
      <c r="B11" s="157">
        <v>472</v>
      </c>
      <c r="C11" s="158">
        <v>9.1999999999999998E-2</v>
      </c>
      <c r="D11" s="159">
        <v>1039</v>
      </c>
      <c r="E11" s="158">
        <v>0.06</v>
      </c>
      <c r="F11" s="159">
        <v>128003</v>
      </c>
      <c r="G11" s="158">
        <v>4.7E-2</v>
      </c>
      <c r="H11" s="158">
        <v>6.4000000000000001E-2</v>
      </c>
      <c r="I11" s="159">
        <v>66788190</v>
      </c>
      <c r="J11" s="157" t="s">
        <v>9189</v>
      </c>
      <c r="K11" s="159">
        <v>8181</v>
      </c>
      <c r="L11" s="157" t="s">
        <v>9190</v>
      </c>
      <c r="M11" s="159">
        <v>761987023</v>
      </c>
      <c r="N11" s="159">
        <v>88505</v>
      </c>
      <c r="O11" s="157">
        <v>4</v>
      </c>
    </row>
    <row r="12" spans="1:15" ht="27" x14ac:dyDescent="0.3">
      <c r="A12" s="156">
        <v>43628</v>
      </c>
      <c r="B12" s="157">
        <v>176</v>
      </c>
      <c r="C12" s="158">
        <v>3.5000000000000003E-2</v>
      </c>
      <c r="D12" s="157">
        <v>284</v>
      </c>
      <c r="E12" s="158">
        <v>1.6E-2</v>
      </c>
      <c r="F12" s="159">
        <v>34795</v>
      </c>
      <c r="G12" s="158">
        <v>1.2E-2</v>
      </c>
      <c r="H12" s="158">
        <v>6.9000000000000006E-2</v>
      </c>
      <c r="I12" s="159">
        <v>19741890</v>
      </c>
      <c r="J12" s="157" t="s">
        <v>9191</v>
      </c>
      <c r="K12" s="159">
        <v>2408</v>
      </c>
      <c r="L12" s="157" t="s">
        <v>9192</v>
      </c>
      <c r="M12" s="159">
        <v>781728913</v>
      </c>
      <c r="N12" s="159">
        <v>90913</v>
      </c>
      <c r="O12" s="157">
        <v>6</v>
      </c>
    </row>
    <row r="13" spans="1:15" ht="27" x14ac:dyDescent="0.3">
      <c r="A13" s="156">
        <v>43629</v>
      </c>
      <c r="B13" s="157">
        <v>146</v>
      </c>
      <c r="C13" s="158">
        <v>2.7E-2</v>
      </c>
      <c r="D13" s="157">
        <v>212</v>
      </c>
      <c r="E13" s="158">
        <v>1.2E-2</v>
      </c>
      <c r="F13" s="159">
        <v>26638</v>
      </c>
      <c r="G13" s="158">
        <v>0.01</v>
      </c>
      <c r="H13" s="158">
        <v>6.2E-2</v>
      </c>
      <c r="I13" s="159">
        <v>13181900</v>
      </c>
      <c r="J13" s="157" t="s">
        <v>9193</v>
      </c>
      <c r="K13" s="159">
        <v>1653</v>
      </c>
      <c r="L13" s="157" t="s">
        <v>9194</v>
      </c>
      <c r="M13" s="159">
        <v>794910813</v>
      </c>
      <c r="N13" s="159">
        <v>92566</v>
      </c>
      <c r="O13" s="157">
        <v>10</v>
      </c>
    </row>
    <row r="14" spans="1:15" ht="27" x14ac:dyDescent="0.3">
      <c r="A14" s="156">
        <v>43630</v>
      </c>
      <c r="B14" s="157">
        <v>150</v>
      </c>
      <c r="C14" s="158">
        <v>2.7E-2</v>
      </c>
      <c r="D14" s="157">
        <v>228</v>
      </c>
      <c r="E14" s="158">
        <v>1.2E-2</v>
      </c>
      <c r="F14" s="159">
        <v>29086</v>
      </c>
      <c r="G14" s="158">
        <v>0.01</v>
      </c>
      <c r="H14" s="158">
        <v>0.06</v>
      </c>
      <c r="I14" s="159">
        <v>15948100</v>
      </c>
      <c r="J14" s="157" t="s">
        <v>9195</v>
      </c>
      <c r="K14" s="159">
        <v>1748</v>
      </c>
      <c r="L14" s="157" t="s">
        <v>9196</v>
      </c>
      <c r="M14" s="159">
        <v>810858913</v>
      </c>
      <c r="N14" s="159">
        <v>94314</v>
      </c>
      <c r="O14" s="157">
        <v>9</v>
      </c>
    </row>
    <row r="15" spans="1:15" ht="27" x14ac:dyDescent="0.3">
      <c r="A15" s="156">
        <v>43631</v>
      </c>
      <c r="B15" s="157">
        <v>130</v>
      </c>
      <c r="C15" s="158">
        <v>2.1000000000000001E-2</v>
      </c>
      <c r="D15" s="157">
        <v>166</v>
      </c>
      <c r="E15" s="158">
        <v>8.9999999999999993E-3</v>
      </c>
      <c r="F15" s="159">
        <v>21002</v>
      </c>
      <c r="G15" s="158">
        <v>7.0000000000000001E-3</v>
      </c>
      <c r="H15" s="158">
        <v>0.112</v>
      </c>
      <c r="I15" s="159">
        <v>21808100</v>
      </c>
      <c r="J15" s="157" t="s">
        <v>9197</v>
      </c>
      <c r="K15" s="159">
        <v>2342</v>
      </c>
      <c r="L15" s="157" t="s">
        <v>9198</v>
      </c>
      <c r="M15" s="159">
        <v>832667013</v>
      </c>
      <c r="N15" s="159">
        <v>96656</v>
      </c>
      <c r="O15" s="157">
        <v>11</v>
      </c>
    </row>
    <row r="16" spans="1:15" ht="27" x14ac:dyDescent="0.3">
      <c r="A16" s="156">
        <v>43632</v>
      </c>
      <c r="B16" s="157">
        <v>125</v>
      </c>
      <c r="C16" s="158">
        <v>2.1000000000000001E-2</v>
      </c>
      <c r="D16" s="157">
        <v>162</v>
      </c>
      <c r="E16" s="158">
        <v>8.9999999999999993E-3</v>
      </c>
      <c r="F16" s="159">
        <v>19987</v>
      </c>
      <c r="G16" s="158">
        <v>7.0000000000000001E-3</v>
      </c>
      <c r="H16" s="158">
        <v>0.10199999999999999</v>
      </c>
      <c r="I16" s="159">
        <v>18656700</v>
      </c>
      <c r="J16" s="157" t="s">
        <v>9199</v>
      </c>
      <c r="K16" s="159">
        <v>2047</v>
      </c>
      <c r="L16" s="157" t="s">
        <v>9200</v>
      </c>
      <c r="M16" s="159">
        <v>851323713</v>
      </c>
      <c r="N16" s="159">
        <v>98703</v>
      </c>
      <c r="O16" s="157">
        <v>11</v>
      </c>
    </row>
    <row r="17" spans="1:15" ht="27" x14ac:dyDescent="0.3">
      <c r="A17" s="156">
        <v>43633</v>
      </c>
      <c r="B17" s="157">
        <v>138</v>
      </c>
      <c r="C17" s="158">
        <v>2.5999999999999999E-2</v>
      </c>
      <c r="D17" s="157">
        <v>189</v>
      </c>
      <c r="E17" s="158">
        <v>1.0999999999999999E-2</v>
      </c>
      <c r="F17" s="159">
        <v>24050</v>
      </c>
      <c r="G17" s="158">
        <v>8.9999999999999993E-3</v>
      </c>
      <c r="H17" s="158">
        <v>4.7E-2</v>
      </c>
      <c r="I17" s="159">
        <v>8994900</v>
      </c>
      <c r="J17" s="157" t="s">
        <v>9201</v>
      </c>
      <c r="K17" s="159">
        <v>1126</v>
      </c>
      <c r="L17" s="157" t="s">
        <v>9202</v>
      </c>
      <c r="M17" s="159">
        <v>860318613</v>
      </c>
      <c r="N17" s="159">
        <v>99829</v>
      </c>
      <c r="O17" s="157">
        <v>10</v>
      </c>
    </row>
    <row r="18" spans="1:15" ht="27" x14ac:dyDescent="0.3">
      <c r="A18" s="156">
        <v>43634</v>
      </c>
      <c r="B18" s="157">
        <v>138</v>
      </c>
      <c r="C18" s="158">
        <v>2.5000000000000001E-2</v>
      </c>
      <c r="D18" s="157">
        <v>192</v>
      </c>
      <c r="E18" s="158">
        <v>1.0999999999999999E-2</v>
      </c>
      <c r="F18" s="159">
        <v>24895</v>
      </c>
      <c r="G18" s="158">
        <v>8.9999999999999993E-3</v>
      </c>
      <c r="H18" s="158">
        <v>0.05</v>
      </c>
      <c r="I18" s="159">
        <v>9522450</v>
      </c>
      <c r="J18" s="157" t="s">
        <v>9203</v>
      </c>
      <c r="K18" s="159">
        <v>1240</v>
      </c>
      <c r="L18" s="157" t="s">
        <v>9204</v>
      </c>
      <c r="M18" s="159">
        <v>869841063</v>
      </c>
      <c r="N18" s="159">
        <v>101069</v>
      </c>
      <c r="O18" s="157">
        <v>11</v>
      </c>
    </row>
    <row r="19" spans="1:15" ht="27" x14ac:dyDescent="0.3">
      <c r="A19" s="156">
        <v>43635</v>
      </c>
      <c r="B19" s="157">
        <v>41</v>
      </c>
      <c r="C19" s="158">
        <v>8.0000000000000002E-3</v>
      </c>
      <c r="D19" s="157">
        <v>55</v>
      </c>
      <c r="E19" s="158">
        <v>3.0000000000000001E-3</v>
      </c>
      <c r="F19" s="159">
        <v>7009</v>
      </c>
      <c r="G19" s="158">
        <v>3.0000000000000001E-3</v>
      </c>
      <c r="H19" s="158">
        <v>8.5999999999999993E-2</v>
      </c>
      <c r="I19" s="159">
        <v>4846100</v>
      </c>
      <c r="J19" s="157" t="s">
        <v>9205</v>
      </c>
      <c r="K19" s="157">
        <v>601</v>
      </c>
      <c r="L19" s="157" t="s">
        <v>9206</v>
      </c>
      <c r="M19" s="159">
        <v>874687163</v>
      </c>
      <c r="N19" s="159">
        <v>101670</v>
      </c>
      <c r="O19" s="157">
        <v>12</v>
      </c>
    </row>
    <row r="20" spans="1:15" ht="27" x14ac:dyDescent="0.3">
      <c r="A20" s="156">
        <v>43636</v>
      </c>
      <c r="B20" s="157">
        <v>16</v>
      </c>
      <c r="C20" s="158">
        <v>3.0000000000000001E-3</v>
      </c>
      <c r="D20" s="157">
        <v>19</v>
      </c>
      <c r="E20" s="158">
        <v>1E-3</v>
      </c>
      <c r="F20" s="159">
        <v>3103</v>
      </c>
      <c r="G20" s="158">
        <v>1E-3</v>
      </c>
      <c r="H20" s="158">
        <v>0.13</v>
      </c>
      <c r="I20" s="159">
        <v>3204500</v>
      </c>
      <c r="J20" s="157" t="s">
        <v>9207</v>
      </c>
      <c r="K20" s="157">
        <v>403</v>
      </c>
      <c r="L20" s="157" t="s">
        <v>9208</v>
      </c>
      <c r="M20" s="159">
        <v>877891663</v>
      </c>
      <c r="N20" s="159">
        <v>102073</v>
      </c>
      <c r="O20" s="157">
        <v>24</v>
      </c>
    </row>
    <row r="21" spans="1:15" ht="27" x14ac:dyDescent="0.3">
      <c r="A21" s="156">
        <v>43637</v>
      </c>
      <c r="B21" s="157">
        <v>15</v>
      </c>
      <c r="C21" s="158">
        <v>3.0000000000000001E-3</v>
      </c>
      <c r="D21" s="157">
        <v>16</v>
      </c>
      <c r="E21" s="158">
        <v>1E-3</v>
      </c>
      <c r="F21" s="159">
        <v>1714</v>
      </c>
      <c r="G21" s="158">
        <v>1E-3</v>
      </c>
      <c r="H21" s="158">
        <v>0.186</v>
      </c>
      <c r="I21" s="159">
        <v>2724400</v>
      </c>
      <c r="J21" s="157" t="s">
        <v>9209</v>
      </c>
      <c r="K21" s="157">
        <v>319</v>
      </c>
      <c r="L21" s="157" t="s">
        <v>6507</v>
      </c>
      <c r="M21" s="159">
        <v>880616063</v>
      </c>
      <c r="N21" s="159">
        <v>102392</v>
      </c>
      <c r="O21" s="157">
        <v>19</v>
      </c>
    </row>
    <row r="22" spans="1:15" ht="27" x14ac:dyDescent="0.3">
      <c r="A22" s="156">
        <v>43638</v>
      </c>
      <c r="B22" s="157">
        <v>12</v>
      </c>
      <c r="C22" s="158">
        <v>2E-3</v>
      </c>
      <c r="D22" s="157">
        <v>12</v>
      </c>
      <c r="E22" s="158">
        <v>1E-3</v>
      </c>
      <c r="F22" s="159">
        <v>1652</v>
      </c>
      <c r="G22" s="158">
        <v>1E-3</v>
      </c>
      <c r="H22" s="158">
        <v>0.315</v>
      </c>
      <c r="I22" s="159">
        <v>4681300</v>
      </c>
      <c r="J22" s="157" t="s">
        <v>9210</v>
      </c>
      <c r="K22" s="157">
        <v>521</v>
      </c>
      <c r="L22" s="157" t="s">
        <v>9211</v>
      </c>
      <c r="M22" s="159">
        <v>885297363</v>
      </c>
      <c r="N22" s="159">
        <v>102913</v>
      </c>
      <c r="O22" s="157">
        <v>19</v>
      </c>
    </row>
    <row r="23" spans="1:15" ht="27" x14ac:dyDescent="0.3">
      <c r="A23" s="156">
        <v>43639</v>
      </c>
      <c r="B23" s="157">
        <v>12</v>
      </c>
      <c r="C23" s="158">
        <v>2E-3</v>
      </c>
      <c r="D23" s="157">
        <v>13</v>
      </c>
      <c r="E23" s="158">
        <v>1E-3</v>
      </c>
      <c r="F23" s="159">
        <v>1910</v>
      </c>
      <c r="G23" s="158">
        <v>1E-3</v>
      </c>
      <c r="H23" s="158">
        <v>0.19</v>
      </c>
      <c r="I23" s="159">
        <v>3196700</v>
      </c>
      <c r="J23" s="157" t="s">
        <v>9212</v>
      </c>
      <c r="K23" s="157">
        <v>362</v>
      </c>
      <c r="L23" s="157" t="s">
        <v>9213</v>
      </c>
      <c r="M23" s="159">
        <v>888494063</v>
      </c>
      <c r="N23" s="159">
        <v>103275</v>
      </c>
      <c r="O23" s="157">
        <v>21</v>
      </c>
    </row>
    <row r="24" spans="1:15" ht="27" x14ac:dyDescent="0.3">
      <c r="A24" s="156">
        <v>43640</v>
      </c>
      <c r="B24" s="157">
        <v>11</v>
      </c>
      <c r="C24" s="158">
        <v>2E-3</v>
      </c>
      <c r="D24" s="157">
        <v>16</v>
      </c>
      <c r="E24" s="158">
        <v>1E-3</v>
      </c>
      <c r="F24" s="159">
        <v>2634</v>
      </c>
      <c r="G24" s="158">
        <v>1E-3</v>
      </c>
      <c r="H24" s="158">
        <v>0.108</v>
      </c>
      <c r="I24" s="159">
        <v>2316100</v>
      </c>
      <c r="J24" s="157" t="s">
        <v>9214</v>
      </c>
      <c r="K24" s="157">
        <v>285</v>
      </c>
      <c r="L24" s="157" t="s">
        <v>9215</v>
      </c>
      <c r="M24" s="159">
        <v>890810163</v>
      </c>
      <c r="N24" s="159">
        <v>103560</v>
      </c>
      <c r="O24" s="157">
        <v>24</v>
      </c>
    </row>
    <row r="25" spans="1:15" ht="27" x14ac:dyDescent="0.3">
      <c r="A25" s="156">
        <v>43641</v>
      </c>
      <c r="B25" s="157">
        <v>9</v>
      </c>
      <c r="C25" s="158">
        <v>2E-3</v>
      </c>
      <c r="D25" s="157">
        <v>13</v>
      </c>
      <c r="E25" s="158">
        <v>1E-3</v>
      </c>
      <c r="F25" s="159">
        <v>2029</v>
      </c>
      <c r="G25" s="158">
        <v>1E-3</v>
      </c>
      <c r="H25" s="158">
        <v>9.0999999999999998E-2</v>
      </c>
      <c r="I25" s="159">
        <v>1465100</v>
      </c>
      <c r="J25" s="157" t="s">
        <v>9216</v>
      </c>
      <c r="K25" s="157">
        <v>184</v>
      </c>
      <c r="L25" s="157" t="s">
        <v>9217</v>
      </c>
      <c r="M25" s="159">
        <v>892275263</v>
      </c>
      <c r="N25" s="159">
        <v>103744</v>
      </c>
      <c r="O25" s="157">
        <v>35</v>
      </c>
    </row>
    <row r="26" spans="1:15" ht="27" x14ac:dyDescent="0.3">
      <c r="A26" s="156">
        <v>43642</v>
      </c>
      <c r="B26" s="157">
        <v>7</v>
      </c>
      <c r="C26" s="158">
        <v>1E-3</v>
      </c>
      <c r="D26" s="157">
        <v>7</v>
      </c>
      <c r="E26" s="158">
        <v>0</v>
      </c>
      <c r="F26" s="159">
        <v>1090</v>
      </c>
      <c r="G26" s="158">
        <v>0</v>
      </c>
      <c r="H26" s="158">
        <v>0.106</v>
      </c>
      <c r="I26" s="159">
        <v>767500</v>
      </c>
      <c r="J26" s="157" t="s">
        <v>9218</v>
      </c>
      <c r="K26" s="157">
        <v>115</v>
      </c>
      <c r="L26" s="157" t="s">
        <v>9219</v>
      </c>
      <c r="M26" s="159">
        <v>893042763</v>
      </c>
      <c r="N26" s="159">
        <v>103859</v>
      </c>
      <c r="O26" s="157">
        <v>40</v>
      </c>
    </row>
    <row r="27" spans="1:15" ht="27" x14ac:dyDescent="0.3">
      <c r="A27" s="156">
        <v>43643</v>
      </c>
      <c r="B27" s="157">
        <v>7</v>
      </c>
      <c r="C27" s="158">
        <v>1E-3</v>
      </c>
      <c r="D27" s="157">
        <v>11</v>
      </c>
      <c r="E27" s="158">
        <v>1E-3</v>
      </c>
      <c r="F27" s="159">
        <v>1511</v>
      </c>
      <c r="G27" s="158">
        <v>1E-3</v>
      </c>
      <c r="H27" s="158">
        <v>9.7000000000000003E-2</v>
      </c>
      <c r="I27" s="159">
        <v>1238900</v>
      </c>
      <c r="J27" s="157" t="s">
        <v>9220</v>
      </c>
      <c r="K27" s="157">
        <v>147</v>
      </c>
      <c r="L27" s="157" t="s">
        <v>9221</v>
      </c>
      <c r="M27" s="159">
        <v>894281663</v>
      </c>
      <c r="N27" s="159">
        <v>104006</v>
      </c>
      <c r="O27" s="157">
        <v>40</v>
      </c>
    </row>
    <row r="28" spans="1:15" ht="27" x14ac:dyDescent="0.3">
      <c r="A28" s="156">
        <v>43644</v>
      </c>
      <c r="B28" s="157">
        <v>7</v>
      </c>
      <c r="C28" s="158">
        <v>1E-3</v>
      </c>
      <c r="D28" s="157">
        <v>10</v>
      </c>
      <c r="E28" s="158">
        <v>1E-3</v>
      </c>
      <c r="F28" s="159">
        <v>1481</v>
      </c>
      <c r="G28" s="158">
        <v>1E-3</v>
      </c>
      <c r="H28" s="158">
        <v>8.7999999999999995E-2</v>
      </c>
      <c r="I28" s="159">
        <v>1199300</v>
      </c>
      <c r="J28" s="157" t="s">
        <v>9222</v>
      </c>
      <c r="K28" s="157">
        <v>130</v>
      </c>
      <c r="L28" s="157" t="s">
        <v>9223</v>
      </c>
      <c r="M28" s="159">
        <v>895480963</v>
      </c>
      <c r="N28" s="159">
        <v>104136</v>
      </c>
      <c r="O28" s="157">
        <v>49</v>
      </c>
    </row>
    <row r="29" spans="1:15" ht="27" x14ac:dyDescent="0.3">
      <c r="A29" s="156">
        <v>43645</v>
      </c>
      <c r="B29" s="157">
        <v>8</v>
      </c>
      <c r="C29" s="158">
        <v>1E-3</v>
      </c>
      <c r="D29" s="157">
        <v>13</v>
      </c>
      <c r="E29" s="158">
        <v>1E-3</v>
      </c>
      <c r="F29" s="159">
        <v>1856</v>
      </c>
      <c r="G29" s="158">
        <v>1E-3</v>
      </c>
      <c r="H29" s="158">
        <v>0.193</v>
      </c>
      <c r="I29" s="159">
        <v>3380200</v>
      </c>
      <c r="J29" s="157" t="s">
        <v>9224</v>
      </c>
      <c r="K29" s="157">
        <v>358</v>
      </c>
      <c r="L29" s="157" t="s">
        <v>9225</v>
      </c>
      <c r="M29" s="159">
        <v>898861163</v>
      </c>
      <c r="N29" s="159">
        <v>104494</v>
      </c>
      <c r="O29" s="157">
        <v>24</v>
      </c>
    </row>
    <row r="30" spans="1:15" ht="27" x14ac:dyDescent="0.3">
      <c r="A30" s="156">
        <v>43646</v>
      </c>
      <c r="B30" s="157">
        <v>8</v>
      </c>
      <c r="C30" s="158">
        <v>1E-3</v>
      </c>
      <c r="D30" s="157">
        <v>11</v>
      </c>
      <c r="E30" s="158">
        <v>1E-3</v>
      </c>
      <c r="F30" s="159">
        <v>1664</v>
      </c>
      <c r="G30" s="158">
        <v>1E-3</v>
      </c>
      <c r="H30" s="158">
        <v>0.189</v>
      </c>
      <c r="I30" s="159">
        <v>2815000</v>
      </c>
      <c r="J30" s="157" t="s">
        <v>9226</v>
      </c>
      <c r="K30" s="157">
        <v>315</v>
      </c>
      <c r="L30" s="157" t="s">
        <v>9227</v>
      </c>
      <c r="M30" s="159">
        <v>901676163</v>
      </c>
      <c r="N30" s="159">
        <v>104809</v>
      </c>
      <c r="O30" s="157">
        <v>24</v>
      </c>
    </row>
    <row r="31" spans="1:15" ht="27" x14ac:dyDescent="0.3">
      <c r="A31" s="156">
        <v>43647</v>
      </c>
      <c r="B31" s="157">
        <v>5</v>
      </c>
      <c r="C31" s="158">
        <v>1E-3</v>
      </c>
      <c r="D31" s="157">
        <v>6</v>
      </c>
      <c r="E31" s="158">
        <v>0</v>
      </c>
      <c r="F31" s="157">
        <v>938</v>
      </c>
      <c r="G31" s="158">
        <v>0</v>
      </c>
      <c r="H31" s="158">
        <v>8.5999999999999993E-2</v>
      </c>
      <c r="I31" s="159">
        <v>690500</v>
      </c>
      <c r="J31" s="157" t="s">
        <v>9228</v>
      </c>
      <c r="K31" s="157">
        <v>81</v>
      </c>
      <c r="L31" s="157" t="s">
        <v>9229</v>
      </c>
      <c r="M31" s="159">
        <v>902366663</v>
      </c>
      <c r="N31" s="159">
        <v>104890</v>
      </c>
      <c r="O31" s="157">
        <v>50</v>
      </c>
    </row>
    <row r="32" spans="1:15" ht="27" x14ac:dyDescent="0.3">
      <c r="A32" s="156">
        <v>43648</v>
      </c>
      <c r="B32" s="157">
        <v>5</v>
      </c>
      <c r="C32" s="158">
        <v>1E-3</v>
      </c>
      <c r="D32" s="157">
        <v>5</v>
      </c>
      <c r="E32" s="158">
        <v>0</v>
      </c>
      <c r="F32" s="157">
        <v>724</v>
      </c>
      <c r="G32" s="158">
        <v>0</v>
      </c>
      <c r="H32" s="158">
        <v>0.115</v>
      </c>
      <c r="I32" s="159">
        <v>686500</v>
      </c>
      <c r="J32" s="157" t="s">
        <v>9230</v>
      </c>
      <c r="K32" s="157">
        <v>83</v>
      </c>
      <c r="L32" s="157" t="s">
        <v>3672</v>
      </c>
      <c r="M32" s="159">
        <v>903053163</v>
      </c>
      <c r="N32" s="159">
        <v>104973</v>
      </c>
      <c r="O32" s="157">
        <v>47</v>
      </c>
    </row>
    <row r="33" spans="1:15" ht="27" x14ac:dyDescent="0.3">
      <c r="A33" s="156">
        <v>43649</v>
      </c>
      <c r="B33" s="157">
        <v>24</v>
      </c>
      <c r="C33" s="158">
        <v>4.0000000000000001E-3</v>
      </c>
      <c r="D33" s="157">
        <v>25</v>
      </c>
      <c r="E33" s="158">
        <v>1E-3</v>
      </c>
      <c r="F33" s="159">
        <v>3289</v>
      </c>
      <c r="G33" s="158">
        <v>1E-3</v>
      </c>
      <c r="H33" s="158">
        <v>0.159</v>
      </c>
      <c r="I33" s="159">
        <v>4082900</v>
      </c>
      <c r="J33" s="157" t="s">
        <v>9231</v>
      </c>
      <c r="K33" s="157">
        <v>524</v>
      </c>
      <c r="L33" s="157" t="s">
        <v>9232</v>
      </c>
      <c r="M33" s="159">
        <v>907136063</v>
      </c>
      <c r="N33" s="159">
        <v>105497</v>
      </c>
      <c r="O33" s="157">
        <v>16</v>
      </c>
    </row>
    <row r="34" spans="1:15" ht="27" x14ac:dyDescent="0.3">
      <c r="A34" s="156">
        <v>43650</v>
      </c>
      <c r="B34" s="157">
        <v>8</v>
      </c>
      <c r="C34" s="158">
        <v>1E-3</v>
      </c>
      <c r="D34" s="157">
        <v>8</v>
      </c>
      <c r="E34" s="158">
        <v>0</v>
      </c>
      <c r="F34" s="159">
        <v>1309</v>
      </c>
      <c r="G34" s="158">
        <v>0</v>
      </c>
      <c r="H34" s="158">
        <v>9.9000000000000005E-2</v>
      </c>
      <c r="I34" s="159">
        <v>997000</v>
      </c>
      <c r="J34" s="157" t="s">
        <v>9233</v>
      </c>
      <c r="K34" s="157">
        <v>129</v>
      </c>
      <c r="L34" s="157" t="s">
        <v>9234</v>
      </c>
      <c r="M34" s="159">
        <v>908133063</v>
      </c>
      <c r="N34" s="159">
        <v>105626</v>
      </c>
      <c r="O34" s="157">
        <v>37</v>
      </c>
    </row>
    <row r="35" spans="1:15" ht="27" x14ac:dyDescent="0.3">
      <c r="A35" s="156">
        <v>43651</v>
      </c>
      <c r="B35" s="157">
        <v>5</v>
      </c>
      <c r="C35" s="158">
        <v>1E-3</v>
      </c>
      <c r="D35" s="157">
        <v>5</v>
      </c>
      <c r="E35" s="158">
        <v>0</v>
      </c>
      <c r="F35" s="157">
        <v>582</v>
      </c>
      <c r="G35" s="158">
        <v>0</v>
      </c>
      <c r="H35" s="158">
        <v>0.13400000000000001</v>
      </c>
      <c r="I35" s="159">
        <v>690000</v>
      </c>
      <c r="J35" s="157" t="s">
        <v>9235</v>
      </c>
      <c r="K35" s="157">
        <v>78</v>
      </c>
      <c r="L35" s="157" t="s">
        <v>9236</v>
      </c>
      <c r="M35" s="159">
        <v>908823063</v>
      </c>
      <c r="N35" s="159">
        <v>105704</v>
      </c>
      <c r="O35" s="157">
        <v>40</v>
      </c>
    </row>
    <row r="36" spans="1:15" ht="27" x14ac:dyDescent="0.3">
      <c r="A36" s="156">
        <v>43652</v>
      </c>
      <c r="B36" s="157">
        <v>4</v>
      </c>
      <c r="C36" s="158">
        <v>1E-3</v>
      </c>
      <c r="D36" s="157">
        <v>4</v>
      </c>
      <c r="E36" s="158">
        <v>0</v>
      </c>
      <c r="F36" s="157">
        <v>608</v>
      </c>
      <c r="G36" s="158">
        <v>0</v>
      </c>
      <c r="H36" s="158">
        <v>0.224</v>
      </c>
      <c r="I36" s="159">
        <v>1393000</v>
      </c>
      <c r="J36" s="157" t="s">
        <v>9237</v>
      </c>
      <c r="K36" s="157">
        <v>136</v>
      </c>
      <c r="L36" s="157" t="s">
        <v>9238</v>
      </c>
      <c r="M36" s="159">
        <v>910216063</v>
      </c>
      <c r="N36" s="159">
        <v>105840</v>
      </c>
      <c r="O36" s="157">
        <v>37</v>
      </c>
    </row>
    <row r="37" spans="1:15" ht="27" x14ac:dyDescent="0.3">
      <c r="A37" s="156">
        <v>43653</v>
      </c>
      <c r="B37" s="157">
        <v>3</v>
      </c>
      <c r="C37" s="158">
        <v>1E-3</v>
      </c>
      <c r="D37" s="157">
        <v>4</v>
      </c>
      <c r="E37" s="158">
        <v>0</v>
      </c>
      <c r="F37" s="157">
        <v>368</v>
      </c>
      <c r="G37" s="158">
        <v>0</v>
      </c>
      <c r="H37" s="158">
        <v>0.32900000000000001</v>
      </c>
      <c r="I37" s="159">
        <v>1294500</v>
      </c>
      <c r="J37" s="157" t="s">
        <v>9239</v>
      </c>
      <c r="K37" s="157">
        <v>121</v>
      </c>
      <c r="L37" s="157" t="s">
        <v>9240</v>
      </c>
      <c r="M37" s="159">
        <v>911510563</v>
      </c>
      <c r="N37" s="159">
        <v>105961</v>
      </c>
      <c r="O37" s="157">
        <v>35</v>
      </c>
    </row>
    <row r="38" spans="1:15" ht="27" x14ac:dyDescent="0.3">
      <c r="A38" s="156">
        <v>43654</v>
      </c>
      <c r="B38" s="157">
        <v>6</v>
      </c>
      <c r="C38" s="158">
        <v>1E-3</v>
      </c>
      <c r="D38" s="157">
        <v>7</v>
      </c>
      <c r="E38" s="158">
        <v>0</v>
      </c>
      <c r="F38" s="159">
        <v>1262</v>
      </c>
      <c r="G38" s="158">
        <v>0</v>
      </c>
      <c r="H38" s="158">
        <v>0.58199999999999996</v>
      </c>
      <c r="I38" s="159">
        <v>6624000</v>
      </c>
      <c r="J38" s="157" t="s">
        <v>9241</v>
      </c>
      <c r="K38" s="157">
        <v>735</v>
      </c>
      <c r="L38" s="157" t="s">
        <v>9242</v>
      </c>
      <c r="M38" s="159">
        <v>918134563</v>
      </c>
      <c r="N38" s="159">
        <v>106696</v>
      </c>
      <c r="O38" s="157">
        <v>12</v>
      </c>
    </row>
    <row r="39" spans="1:15" ht="27" x14ac:dyDescent="0.3">
      <c r="A39" s="156">
        <v>43655</v>
      </c>
      <c r="B39" s="157">
        <v>2</v>
      </c>
      <c r="C39" s="158">
        <v>0</v>
      </c>
      <c r="D39" s="157">
        <v>2</v>
      </c>
      <c r="E39" s="158">
        <v>0</v>
      </c>
      <c r="F39" s="157">
        <v>284</v>
      </c>
      <c r="G39" s="158">
        <v>0</v>
      </c>
      <c r="H39" s="158">
        <v>0.13</v>
      </c>
      <c r="I39" s="159">
        <v>323000</v>
      </c>
      <c r="J39" s="157" t="s">
        <v>9243</v>
      </c>
      <c r="K39" s="157">
        <v>37</v>
      </c>
      <c r="L39" s="157" t="s">
        <v>9244</v>
      </c>
      <c r="M39" s="159">
        <v>918457563</v>
      </c>
      <c r="N39" s="159">
        <v>106733</v>
      </c>
      <c r="O39" s="157">
        <v>55</v>
      </c>
    </row>
    <row r="40" spans="1:15" ht="27" x14ac:dyDescent="0.3">
      <c r="A40" s="156">
        <v>43656</v>
      </c>
      <c r="B40" s="157">
        <v>3</v>
      </c>
      <c r="C40" s="158">
        <v>1E-3</v>
      </c>
      <c r="D40" s="157">
        <v>3</v>
      </c>
      <c r="E40" s="158">
        <v>0</v>
      </c>
      <c r="F40" s="157">
        <v>412</v>
      </c>
      <c r="G40" s="158">
        <v>0</v>
      </c>
      <c r="H40" s="158">
        <v>6.3E-2</v>
      </c>
      <c r="I40" s="159">
        <v>184000</v>
      </c>
      <c r="J40" s="157" t="s">
        <v>9245</v>
      </c>
      <c r="K40" s="157">
        <v>26</v>
      </c>
      <c r="L40" s="157" t="s">
        <v>9246</v>
      </c>
      <c r="M40" s="159">
        <v>918641563</v>
      </c>
      <c r="N40" s="159">
        <v>106759</v>
      </c>
      <c r="O40" s="157">
        <v>64</v>
      </c>
    </row>
    <row r="41" spans="1:15" ht="27" x14ac:dyDescent="0.3">
      <c r="A41" s="156">
        <v>43657</v>
      </c>
      <c r="B41" s="157">
        <v>1</v>
      </c>
      <c r="C41" s="158">
        <v>0</v>
      </c>
      <c r="D41" s="157">
        <v>1</v>
      </c>
      <c r="E41" s="158">
        <v>0</v>
      </c>
      <c r="F41" s="157">
        <v>92</v>
      </c>
      <c r="G41" s="158">
        <v>0</v>
      </c>
      <c r="H41" s="158">
        <v>5.3999999999999999E-2</v>
      </c>
      <c r="I41" s="159">
        <v>45000</v>
      </c>
      <c r="J41" s="157" t="s">
        <v>9247</v>
      </c>
      <c r="K41" s="157">
        <v>5</v>
      </c>
      <c r="L41" s="157" t="s">
        <v>1863</v>
      </c>
      <c r="M41" s="159">
        <v>918686563</v>
      </c>
      <c r="N41" s="159">
        <v>106764</v>
      </c>
      <c r="O41" s="157">
        <v>89</v>
      </c>
    </row>
    <row r="42" spans="1:15" ht="27" x14ac:dyDescent="0.3">
      <c r="A42" s="156">
        <v>43658</v>
      </c>
      <c r="B42" s="157">
        <v>7</v>
      </c>
      <c r="C42" s="158">
        <v>1E-3</v>
      </c>
      <c r="D42" s="157">
        <v>7</v>
      </c>
      <c r="E42" s="158">
        <v>0</v>
      </c>
      <c r="F42" s="157">
        <v>892</v>
      </c>
      <c r="G42" s="158">
        <v>0</v>
      </c>
      <c r="H42" s="158">
        <v>0.28999999999999998</v>
      </c>
      <c r="I42" s="159">
        <v>2140000</v>
      </c>
      <c r="J42" s="157" t="s">
        <v>9248</v>
      </c>
      <c r="K42" s="157">
        <v>259</v>
      </c>
      <c r="L42" s="157" t="s">
        <v>9249</v>
      </c>
      <c r="M42" s="159">
        <v>920826563</v>
      </c>
      <c r="N42" s="159">
        <v>107023</v>
      </c>
      <c r="O42" s="157">
        <v>33</v>
      </c>
    </row>
    <row r="43" spans="1:15" ht="27" x14ac:dyDescent="0.3">
      <c r="A43" s="156">
        <v>43659</v>
      </c>
      <c r="B43" s="157">
        <v>2</v>
      </c>
      <c r="C43" s="158">
        <v>0</v>
      </c>
      <c r="D43" s="157">
        <v>2</v>
      </c>
      <c r="E43" s="158">
        <v>0</v>
      </c>
      <c r="F43" s="157">
        <v>224</v>
      </c>
      <c r="G43" s="158">
        <v>0</v>
      </c>
      <c r="H43" s="158">
        <v>0.219</v>
      </c>
      <c r="I43" s="159">
        <v>478500</v>
      </c>
      <c r="J43" s="157" t="s">
        <v>9250</v>
      </c>
      <c r="K43" s="157">
        <v>49</v>
      </c>
      <c r="L43" s="157" t="s">
        <v>9251</v>
      </c>
      <c r="M43" s="159">
        <v>921305063</v>
      </c>
      <c r="N43" s="159">
        <v>107072</v>
      </c>
      <c r="O43" s="157">
        <v>65</v>
      </c>
    </row>
    <row r="44" spans="1:15" ht="27" x14ac:dyDescent="0.3">
      <c r="A44" s="156">
        <v>43660</v>
      </c>
      <c r="B44" s="157">
        <v>1</v>
      </c>
      <c r="C44" s="158">
        <v>0</v>
      </c>
      <c r="D44" s="157">
        <v>1</v>
      </c>
      <c r="E44" s="158">
        <v>0</v>
      </c>
      <c r="F44" s="157">
        <v>218</v>
      </c>
      <c r="G44" s="158">
        <v>0</v>
      </c>
      <c r="H44" s="158">
        <v>0.106</v>
      </c>
      <c r="I44" s="159">
        <v>186000</v>
      </c>
      <c r="J44" s="157" t="s">
        <v>9252</v>
      </c>
      <c r="K44" s="157">
        <v>23</v>
      </c>
      <c r="L44" s="157" t="s">
        <v>9253</v>
      </c>
      <c r="M44" s="159">
        <v>921491063</v>
      </c>
      <c r="N44" s="159">
        <v>107095</v>
      </c>
      <c r="O44" s="157">
        <v>64</v>
      </c>
    </row>
    <row r="45" spans="1:15" ht="27" x14ac:dyDescent="0.3">
      <c r="A45" s="156">
        <v>43661</v>
      </c>
      <c r="B45" s="157">
        <v>1</v>
      </c>
      <c r="C45" s="158">
        <v>0</v>
      </c>
      <c r="D45" s="157">
        <v>1</v>
      </c>
      <c r="E45" s="158">
        <v>0</v>
      </c>
      <c r="F45" s="157">
        <v>132</v>
      </c>
      <c r="G45" s="158">
        <v>0</v>
      </c>
      <c r="H45" s="158">
        <v>0.50800000000000001</v>
      </c>
      <c r="I45" s="159">
        <v>527000</v>
      </c>
      <c r="J45" s="157" t="s">
        <v>9254</v>
      </c>
      <c r="K45" s="157">
        <v>67</v>
      </c>
      <c r="L45" s="157" t="s">
        <v>9255</v>
      </c>
      <c r="M45" s="159">
        <v>922018063</v>
      </c>
      <c r="N45" s="159">
        <v>107162</v>
      </c>
      <c r="O45" s="157">
        <v>48</v>
      </c>
    </row>
    <row r="46" spans="1:15" ht="27" x14ac:dyDescent="0.3">
      <c r="A46" s="156">
        <v>43662</v>
      </c>
      <c r="B46" s="157">
        <v>1</v>
      </c>
      <c r="C46" s="158">
        <v>0</v>
      </c>
      <c r="D46" s="157">
        <v>1</v>
      </c>
      <c r="E46" s="158">
        <v>0</v>
      </c>
      <c r="F46" s="157">
        <v>132</v>
      </c>
      <c r="G46" s="158">
        <v>0</v>
      </c>
      <c r="H46" s="158">
        <v>0.55300000000000005</v>
      </c>
      <c r="I46" s="159">
        <v>580000</v>
      </c>
      <c r="J46" s="157" t="s">
        <v>9256</v>
      </c>
      <c r="K46" s="157">
        <v>73</v>
      </c>
      <c r="L46" s="157" t="s">
        <v>9257</v>
      </c>
      <c r="M46" s="159">
        <v>922598063</v>
      </c>
      <c r="N46" s="159">
        <v>107235</v>
      </c>
      <c r="O46" s="157">
        <v>60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9F500-DF1D-4B57-8658-D816470D423A}">
  <dimension ref="A1:O23"/>
  <sheetViews>
    <sheetView workbookViewId="0">
      <selection activeCell="A5" sqref="A5"/>
    </sheetView>
  </sheetViews>
  <sheetFormatPr defaultRowHeight="16.5" x14ac:dyDescent="0.3"/>
  <sheetData>
    <row r="1" spans="1:15" ht="19.5" x14ac:dyDescent="0.3">
      <c r="A1" s="197" t="s">
        <v>9258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67" t="s">
        <v>111</v>
      </c>
      <c r="B4" s="162" t="s">
        <v>112</v>
      </c>
      <c r="C4" s="162" t="s">
        <v>113</v>
      </c>
      <c r="D4" s="162" t="s">
        <v>114</v>
      </c>
      <c r="E4" s="162" t="s">
        <v>115</v>
      </c>
      <c r="F4" s="162" t="s">
        <v>116</v>
      </c>
      <c r="G4" s="162" t="s">
        <v>117</v>
      </c>
      <c r="H4" s="162" t="s">
        <v>118</v>
      </c>
      <c r="I4" s="162" t="s">
        <v>119</v>
      </c>
      <c r="J4" s="162" t="s">
        <v>120</v>
      </c>
      <c r="K4" s="162" t="s">
        <v>121</v>
      </c>
      <c r="L4" s="162" t="s">
        <v>122</v>
      </c>
      <c r="M4" s="162" t="s">
        <v>123</v>
      </c>
      <c r="N4" s="162" t="s">
        <v>124</v>
      </c>
      <c r="O4" s="168" t="s">
        <v>125</v>
      </c>
    </row>
    <row r="5" spans="1:15" ht="27" x14ac:dyDescent="0.3">
      <c r="A5" s="163">
        <v>43636</v>
      </c>
      <c r="B5" s="164">
        <v>465</v>
      </c>
      <c r="C5" s="165">
        <v>8.2000000000000003E-2</v>
      </c>
      <c r="D5" s="166">
        <v>1119</v>
      </c>
      <c r="E5" s="165">
        <v>5.8999999999999997E-2</v>
      </c>
      <c r="F5" s="166">
        <v>141792</v>
      </c>
      <c r="G5" s="165">
        <v>4.8000000000000001E-2</v>
      </c>
      <c r="H5" s="165">
        <v>9.5000000000000001E-2</v>
      </c>
      <c r="I5" s="166">
        <v>117109700</v>
      </c>
      <c r="J5" s="164" t="s">
        <v>9259</v>
      </c>
      <c r="K5" s="166">
        <v>13453</v>
      </c>
      <c r="L5" s="164" t="s">
        <v>9260</v>
      </c>
      <c r="M5" s="166">
        <v>117109700</v>
      </c>
      <c r="N5" s="166">
        <v>13453</v>
      </c>
      <c r="O5" s="164">
        <v>6</v>
      </c>
    </row>
    <row r="6" spans="1:15" ht="27" x14ac:dyDescent="0.3">
      <c r="A6" s="163">
        <v>43637</v>
      </c>
      <c r="B6" s="164">
        <v>452</v>
      </c>
      <c r="C6" s="165">
        <v>7.8E-2</v>
      </c>
      <c r="D6" s="166">
        <v>1011</v>
      </c>
      <c r="E6" s="165">
        <v>5.2999999999999999E-2</v>
      </c>
      <c r="F6" s="166">
        <v>125295</v>
      </c>
      <c r="G6" s="165">
        <v>4.2000000000000003E-2</v>
      </c>
      <c r="H6" s="165">
        <v>9.0999999999999998E-2</v>
      </c>
      <c r="I6" s="166">
        <v>109505820</v>
      </c>
      <c r="J6" s="164" t="s">
        <v>9261</v>
      </c>
      <c r="K6" s="166">
        <v>11362</v>
      </c>
      <c r="L6" s="164" t="s">
        <v>9262</v>
      </c>
      <c r="M6" s="166">
        <v>226615520</v>
      </c>
      <c r="N6" s="166">
        <v>24815</v>
      </c>
      <c r="O6" s="164">
        <v>6</v>
      </c>
    </row>
    <row r="7" spans="1:15" ht="27" x14ac:dyDescent="0.3">
      <c r="A7" s="163">
        <v>43638</v>
      </c>
      <c r="B7" s="164">
        <v>430</v>
      </c>
      <c r="C7" s="165">
        <v>6.7000000000000004E-2</v>
      </c>
      <c r="D7" s="164">
        <v>743</v>
      </c>
      <c r="E7" s="165">
        <v>3.6999999999999998E-2</v>
      </c>
      <c r="F7" s="166">
        <v>91067</v>
      </c>
      <c r="G7" s="165">
        <v>2.9000000000000001E-2</v>
      </c>
      <c r="H7" s="165">
        <v>0.13900000000000001</v>
      </c>
      <c r="I7" s="166">
        <v>122145510</v>
      </c>
      <c r="J7" s="164" t="s">
        <v>9263</v>
      </c>
      <c r="K7" s="166">
        <v>12623</v>
      </c>
      <c r="L7" s="164" t="s">
        <v>9264</v>
      </c>
      <c r="M7" s="166">
        <v>348761030</v>
      </c>
      <c r="N7" s="166">
        <v>37438</v>
      </c>
      <c r="O7" s="164">
        <v>8</v>
      </c>
    </row>
    <row r="8" spans="1:15" ht="27" x14ac:dyDescent="0.3">
      <c r="A8" s="163">
        <v>43639</v>
      </c>
      <c r="B8" s="164">
        <v>414</v>
      </c>
      <c r="C8" s="165">
        <v>6.4000000000000001E-2</v>
      </c>
      <c r="D8" s="164">
        <v>692</v>
      </c>
      <c r="E8" s="165">
        <v>3.5000000000000003E-2</v>
      </c>
      <c r="F8" s="166">
        <v>85190</v>
      </c>
      <c r="G8" s="165">
        <v>2.8000000000000001E-2</v>
      </c>
      <c r="H8" s="165">
        <v>0.107</v>
      </c>
      <c r="I8" s="166">
        <v>89647500</v>
      </c>
      <c r="J8" s="164" t="s">
        <v>9265</v>
      </c>
      <c r="K8" s="166">
        <v>9108</v>
      </c>
      <c r="L8" s="164" t="s">
        <v>9266</v>
      </c>
      <c r="M8" s="166">
        <v>438408530</v>
      </c>
      <c r="N8" s="166">
        <v>46546</v>
      </c>
      <c r="O8" s="164">
        <v>8</v>
      </c>
    </row>
    <row r="9" spans="1:15" ht="27" x14ac:dyDescent="0.3">
      <c r="A9" s="163">
        <v>43640</v>
      </c>
      <c r="B9" s="164">
        <v>389</v>
      </c>
      <c r="C9" s="165">
        <v>7.0999999999999994E-2</v>
      </c>
      <c r="D9" s="164">
        <v>721</v>
      </c>
      <c r="E9" s="165">
        <v>3.9E-2</v>
      </c>
      <c r="F9" s="166">
        <v>89829</v>
      </c>
      <c r="G9" s="165">
        <v>3.1E-2</v>
      </c>
      <c r="H9" s="165">
        <v>6.0999999999999999E-2</v>
      </c>
      <c r="I9" s="166">
        <v>48037340</v>
      </c>
      <c r="J9" s="164" t="s">
        <v>9267</v>
      </c>
      <c r="K9" s="166">
        <v>5513</v>
      </c>
      <c r="L9" s="164" t="s">
        <v>9268</v>
      </c>
      <c r="M9" s="166">
        <v>486445870</v>
      </c>
      <c r="N9" s="166">
        <v>52059</v>
      </c>
      <c r="O9" s="164">
        <v>6</v>
      </c>
    </row>
    <row r="10" spans="1:15" ht="27" x14ac:dyDescent="0.3">
      <c r="A10" s="163">
        <v>43641</v>
      </c>
      <c r="B10" s="164">
        <v>374</v>
      </c>
      <c r="C10" s="165">
        <v>6.7000000000000004E-2</v>
      </c>
      <c r="D10" s="164">
        <v>688</v>
      </c>
      <c r="E10" s="165">
        <v>3.6999999999999998E-2</v>
      </c>
      <c r="F10" s="166">
        <v>85763</v>
      </c>
      <c r="G10" s="165">
        <v>0.03</v>
      </c>
      <c r="H10" s="165">
        <v>0.06</v>
      </c>
      <c r="I10" s="166">
        <v>45182040</v>
      </c>
      <c r="J10" s="164" t="s">
        <v>9269</v>
      </c>
      <c r="K10" s="166">
        <v>5159</v>
      </c>
      <c r="L10" s="164" t="s">
        <v>9270</v>
      </c>
      <c r="M10" s="166">
        <v>531627910</v>
      </c>
      <c r="N10" s="166">
        <v>57218</v>
      </c>
      <c r="O10" s="164">
        <v>7</v>
      </c>
    </row>
    <row r="11" spans="1:15" ht="27" x14ac:dyDescent="0.3">
      <c r="A11" s="163">
        <v>43642</v>
      </c>
      <c r="B11" s="164">
        <v>97</v>
      </c>
      <c r="C11" s="165">
        <v>1.4999999999999999E-2</v>
      </c>
      <c r="D11" s="164">
        <v>101</v>
      </c>
      <c r="E11" s="165">
        <v>5.0000000000000001E-3</v>
      </c>
      <c r="F11" s="166">
        <v>14651</v>
      </c>
      <c r="G11" s="165">
        <v>5.0000000000000001E-3</v>
      </c>
      <c r="H11" s="165">
        <v>4.1000000000000002E-2</v>
      </c>
      <c r="I11" s="166">
        <v>5229480</v>
      </c>
      <c r="J11" s="164" t="s">
        <v>9271</v>
      </c>
      <c r="K11" s="164">
        <v>601</v>
      </c>
      <c r="L11" s="164" t="s">
        <v>9272</v>
      </c>
      <c r="M11" s="166">
        <v>536857390</v>
      </c>
      <c r="N11" s="166">
        <v>57819</v>
      </c>
      <c r="O11" s="164">
        <v>16</v>
      </c>
    </row>
    <row r="12" spans="1:15" ht="27" x14ac:dyDescent="0.3">
      <c r="A12" s="163">
        <v>43643</v>
      </c>
      <c r="B12" s="164">
        <v>16</v>
      </c>
      <c r="C12" s="165">
        <v>3.0000000000000001E-3</v>
      </c>
      <c r="D12" s="164">
        <v>16</v>
      </c>
      <c r="E12" s="165">
        <v>1E-3</v>
      </c>
      <c r="F12" s="166">
        <v>2084</v>
      </c>
      <c r="G12" s="165">
        <v>1E-3</v>
      </c>
      <c r="H12" s="165">
        <v>4.4999999999999998E-2</v>
      </c>
      <c r="I12" s="166">
        <v>821500</v>
      </c>
      <c r="J12" s="164" t="s">
        <v>9273</v>
      </c>
      <c r="K12" s="164">
        <v>94</v>
      </c>
      <c r="L12" s="164" t="s">
        <v>9274</v>
      </c>
      <c r="M12" s="166">
        <v>537678890</v>
      </c>
      <c r="N12" s="166">
        <v>57913</v>
      </c>
      <c r="O12" s="164">
        <v>49</v>
      </c>
    </row>
    <row r="13" spans="1:15" ht="27" x14ac:dyDescent="0.3">
      <c r="A13" s="163">
        <v>43644</v>
      </c>
      <c r="B13" s="164">
        <v>13</v>
      </c>
      <c r="C13" s="165">
        <v>2E-3</v>
      </c>
      <c r="D13" s="164">
        <v>13</v>
      </c>
      <c r="E13" s="165">
        <v>1E-3</v>
      </c>
      <c r="F13" s="166">
        <v>1615</v>
      </c>
      <c r="G13" s="165">
        <v>1E-3</v>
      </c>
      <c r="H13" s="165">
        <v>6.5000000000000002E-2</v>
      </c>
      <c r="I13" s="166">
        <v>980500</v>
      </c>
      <c r="J13" s="164" t="s">
        <v>9275</v>
      </c>
      <c r="K13" s="164">
        <v>105</v>
      </c>
      <c r="L13" s="164" t="s">
        <v>9276</v>
      </c>
      <c r="M13" s="166">
        <v>538659390</v>
      </c>
      <c r="N13" s="166">
        <v>58018</v>
      </c>
      <c r="O13" s="164">
        <v>52</v>
      </c>
    </row>
    <row r="14" spans="1:15" ht="27" x14ac:dyDescent="0.3">
      <c r="A14" s="163">
        <v>43645</v>
      </c>
      <c r="B14" s="164">
        <v>10</v>
      </c>
      <c r="C14" s="165">
        <v>1E-3</v>
      </c>
      <c r="D14" s="164">
        <v>10</v>
      </c>
      <c r="E14" s="165">
        <v>1E-3</v>
      </c>
      <c r="F14" s="166">
        <v>1120</v>
      </c>
      <c r="G14" s="165">
        <v>0</v>
      </c>
      <c r="H14" s="165">
        <v>7.3999999999999996E-2</v>
      </c>
      <c r="I14" s="166">
        <v>789300</v>
      </c>
      <c r="J14" s="164" t="s">
        <v>9277</v>
      </c>
      <c r="K14" s="164">
        <v>83</v>
      </c>
      <c r="L14" s="164" t="s">
        <v>9278</v>
      </c>
      <c r="M14" s="166">
        <v>539448690</v>
      </c>
      <c r="N14" s="166">
        <v>58101</v>
      </c>
      <c r="O14" s="164">
        <v>54</v>
      </c>
    </row>
    <row r="15" spans="1:15" ht="27" x14ac:dyDescent="0.3">
      <c r="A15" s="163">
        <v>43646</v>
      </c>
      <c r="B15" s="164">
        <v>10</v>
      </c>
      <c r="C15" s="165">
        <v>1E-3</v>
      </c>
      <c r="D15" s="164">
        <v>10</v>
      </c>
      <c r="E15" s="165">
        <v>1E-3</v>
      </c>
      <c r="F15" s="166">
        <v>1120</v>
      </c>
      <c r="G15" s="165">
        <v>0</v>
      </c>
      <c r="H15" s="165">
        <v>0.107</v>
      </c>
      <c r="I15" s="166">
        <v>1058600</v>
      </c>
      <c r="J15" s="164" t="s">
        <v>9279</v>
      </c>
      <c r="K15" s="164">
        <v>120</v>
      </c>
      <c r="L15" s="164" t="s">
        <v>9280</v>
      </c>
      <c r="M15" s="166">
        <v>540507290</v>
      </c>
      <c r="N15" s="166">
        <v>58221</v>
      </c>
      <c r="O15" s="164">
        <v>39</v>
      </c>
    </row>
    <row r="16" spans="1:15" ht="27" x14ac:dyDescent="0.3">
      <c r="A16" s="163">
        <v>43647</v>
      </c>
      <c r="B16" s="164">
        <v>11</v>
      </c>
      <c r="C16" s="165">
        <v>2E-3</v>
      </c>
      <c r="D16" s="164">
        <v>11</v>
      </c>
      <c r="E16" s="165">
        <v>1E-3</v>
      </c>
      <c r="F16" s="166">
        <v>1174</v>
      </c>
      <c r="G16" s="165">
        <v>0</v>
      </c>
      <c r="H16" s="165">
        <v>9.4E-2</v>
      </c>
      <c r="I16" s="166">
        <v>984300</v>
      </c>
      <c r="J16" s="164" t="s">
        <v>9281</v>
      </c>
      <c r="K16" s="164">
        <v>110</v>
      </c>
      <c r="L16" s="164" t="s">
        <v>9282</v>
      </c>
      <c r="M16" s="166">
        <v>541491590</v>
      </c>
      <c r="N16" s="166">
        <v>58331</v>
      </c>
      <c r="O16" s="164">
        <v>43</v>
      </c>
    </row>
    <row r="17" spans="1:15" ht="27" x14ac:dyDescent="0.3">
      <c r="A17" s="163">
        <v>43648</v>
      </c>
      <c r="B17" s="164">
        <v>5</v>
      </c>
      <c r="C17" s="165">
        <v>1E-3</v>
      </c>
      <c r="D17" s="164">
        <v>5</v>
      </c>
      <c r="E17" s="165">
        <v>0</v>
      </c>
      <c r="F17" s="164">
        <v>744</v>
      </c>
      <c r="G17" s="165">
        <v>0</v>
      </c>
      <c r="H17" s="165">
        <v>6.5000000000000002E-2</v>
      </c>
      <c r="I17" s="166">
        <v>401000</v>
      </c>
      <c r="J17" s="164" t="s">
        <v>9283</v>
      </c>
      <c r="K17" s="164">
        <v>48</v>
      </c>
      <c r="L17" s="164" t="s">
        <v>9284</v>
      </c>
      <c r="M17" s="166">
        <v>541892590</v>
      </c>
      <c r="N17" s="166">
        <v>58379</v>
      </c>
      <c r="O17" s="164">
        <v>57</v>
      </c>
    </row>
    <row r="18" spans="1:15" ht="27" x14ac:dyDescent="0.3">
      <c r="A18" s="163">
        <v>43649</v>
      </c>
      <c r="B18" s="164">
        <v>3</v>
      </c>
      <c r="C18" s="165">
        <v>1E-3</v>
      </c>
      <c r="D18" s="164">
        <v>3</v>
      </c>
      <c r="E18" s="165">
        <v>0</v>
      </c>
      <c r="F18" s="164">
        <v>372</v>
      </c>
      <c r="G18" s="165">
        <v>0</v>
      </c>
      <c r="H18" s="165">
        <v>0.129</v>
      </c>
      <c r="I18" s="166">
        <v>356000</v>
      </c>
      <c r="J18" s="164" t="s">
        <v>9285</v>
      </c>
      <c r="K18" s="164">
        <v>48</v>
      </c>
      <c r="L18" s="164" t="s">
        <v>292</v>
      </c>
      <c r="M18" s="166">
        <v>542248590</v>
      </c>
      <c r="N18" s="166">
        <v>58427</v>
      </c>
      <c r="O18" s="164">
        <v>53</v>
      </c>
    </row>
    <row r="19" spans="1:15" ht="27" x14ac:dyDescent="0.3">
      <c r="A19" s="163">
        <v>43654</v>
      </c>
      <c r="B19" s="164">
        <v>1</v>
      </c>
      <c r="C19" s="165">
        <v>0</v>
      </c>
      <c r="D19" s="164">
        <v>1</v>
      </c>
      <c r="E19" s="165">
        <v>0</v>
      </c>
      <c r="F19" s="164">
        <v>198</v>
      </c>
      <c r="G19" s="165">
        <v>0</v>
      </c>
      <c r="H19" s="165">
        <v>1.4999999999999999E-2</v>
      </c>
      <c r="I19" s="166">
        <v>24000</v>
      </c>
      <c r="J19" s="164" t="s">
        <v>293</v>
      </c>
      <c r="K19" s="164">
        <v>3</v>
      </c>
      <c r="L19" s="164" t="s">
        <v>294</v>
      </c>
      <c r="M19" s="166">
        <v>542272590</v>
      </c>
      <c r="N19" s="166">
        <v>58430</v>
      </c>
      <c r="O19" s="164">
        <v>69</v>
      </c>
    </row>
    <row r="20" spans="1:15" ht="27" x14ac:dyDescent="0.3">
      <c r="A20" s="163">
        <v>43655</v>
      </c>
      <c r="B20" s="164">
        <v>1</v>
      </c>
      <c r="C20" s="165">
        <v>0</v>
      </c>
      <c r="D20" s="164">
        <v>1</v>
      </c>
      <c r="E20" s="165">
        <v>0</v>
      </c>
      <c r="F20" s="164">
        <v>198</v>
      </c>
      <c r="G20" s="165">
        <v>0</v>
      </c>
      <c r="H20" s="165">
        <v>7.0999999999999994E-2</v>
      </c>
      <c r="I20" s="166">
        <v>112000</v>
      </c>
      <c r="J20" s="164" t="s">
        <v>9286</v>
      </c>
      <c r="K20" s="164">
        <v>14</v>
      </c>
      <c r="L20" s="164" t="s">
        <v>9287</v>
      </c>
      <c r="M20" s="166">
        <v>542384590</v>
      </c>
      <c r="N20" s="166">
        <v>58444</v>
      </c>
      <c r="O20" s="164">
        <v>67</v>
      </c>
    </row>
    <row r="21" spans="1:15" ht="27" x14ac:dyDescent="0.3">
      <c r="A21" s="163">
        <v>43656</v>
      </c>
      <c r="B21" s="164">
        <v>10</v>
      </c>
      <c r="C21" s="165">
        <v>2E-3</v>
      </c>
      <c r="D21" s="164">
        <v>10</v>
      </c>
      <c r="E21" s="165">
        <v>1E-3</v>
      </c>
      <c r="F21" s="164">
        <v>769</v>
      </c>
      <c r="G21" s="165">
        <v>0</v>
      </c>
      <c r="H21" s="165">
        <v>0.84</v>
      </c>
      <c r="I21" s="166">
        <v>5168000</v>
      </c>
      <c r="J21" s="164" t="s">
        <v>9288</v>
      </c>
      <c r="K21" s="164">
        <v>646</v>
      </c>
      <c r="L21" s="164" t="s">
        <v>9289</v>
      </c>
      <c r="M21" s="166">
        <v>547552590</v>
      </c>
      <c r="N21" s="166">
        <v>59090</v>
      </c>
      <c r="O21" s="164">
        <v>14</v>
      </c>
    </row>
    <row r="22" spans="1:15" x14ac:dyDescent="0.3">
      <c r="A22" s="163">
        <v>43657</v>
      </c>
      <c r="B22" s="164">
        <v>9</v>
      </c>
      <c r="C22" s="165">
        <v>2E-3</v>
      </c>
      <c r="D22" s="164">
        <v>9</v>
      </c>
      <c r="E22" s="165">
        <v>0</v>
      </c>
      <c r="F22" s="164">
        <v>663</v>
      </c>
      <c r="G22" s="165">
        <v>0</v>
      </c>
      <c r="H22" s="165">
        <v>0.97399999999999998</v>
      </c>
      <c r="I22" s="166">
        <v>5168000</v>
      </c>
      <c r="J22" s="164" t="s">
        <v>292</v>
      </c>
      <c r="K22" s="164">
        <v>646</v>
      </c>
      <c r="L22" s="164" t="s">
        <v>292</v>
      </c>
      <c r="M22" s="166">
        <v>552720590</v>
      </c>
      <c r="N22" s="166">
        <v>59736</v>
      </c>
      <c r="O22" s="164">
        <v>21</v>
      </c>
    </row>
    <row r="23" spans="1:15" ht="27" x14ac:dyDescent="0.3">
      <c r="A23" s="163">
        <v>43658</v>
      </c>
      <c r="B23" s="164">
        <v>9</v>
      </c>
      <c r="C23" s="165">
        <v>1E-3</v>
      </c>
      <c r="D23" s="164">
        <v>10</v>
      </c>
      <c r="E23" s="165">
        <v>1E-3</v>
      </c>
      <c r="F23" s="164">
        <v>756</v>
      </c>
      <c r="G23" s="165">
        <v>0</v>
      </c>
      <c r="H23" s="165">
        <v>0.79900000000000004</v>
      </c>
      <c r="I23" s="166">
        <v>6040000</v>
      </c>
      <c r="J23" s="164" t="s">
        <v>9290</v>
      </c>
      <c r="K23" s="164">
        <v>604</v>
      </c>
      <c r="L23" s="164" t="s">
        <v>9291</v>
      </c>
      <c r="M23" s="166">
        <v>558760590</v>
      </c>
      <c r="N23" s="166">
        <v>60340</v>
      </c>
      <c r="O23" s="164">
        <v>18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E210-2E4F-4264-B4A4-30CBBE511B51}">
  <dimension ref="A1:O37"/>
  <sheetViews>
    <sheetView workbookViewId="0">
      <selection activeCell="A5" sqref="A5:O9"/>
    </sheetView>
  </sheetViews>
  <sheetFormatPr defaultRowHeight="16.5" x14ac:dyDescent="0.3"/>
  <sheetData>
    <row r="1" spans="1:15" ht="19.5" x14ac:dyDescent="0.3">
      <c r="A1" s="197" t="s">
        <v>9292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74" t="s">
        <v>111</v>
      </c>
      <c r="B4" s="169" t="s">
        <v>112</v>
      </c>
      <c r="C4" s="169" t="s">
        <v>113</v>
      </c>
      <c r="D4" s="169" t="s">
        <v>114</v>
      </c>
      <c r="E4" s="169" t="s">
        <v>115</v>
      </c>
      <c r="F4" s="169" t="s">
        <v>116</v>
      </c>
      <c r="G4" s="169" t="s">
        <v>117</v>
      </c>
      <c r="H4" s="169" t="s">
        <v>118</v>
      </c>
      <c r="I4" s="169" t="s">
        <v>119</v>
      </c>
      <c r="J4" s="169" t="s">
        <v>120</v>
      </c>
      <c r="K4" s="169" t="s">
        <v>121</v>
      </c>
      <c r="L4" s="169" t="s">
        <v>122</v>
      </c>
      <c r="M4" s="169" t="s">
        <v>123</v>
      </c>
      <c r="N4" s="169" t="s">
        <v>124</v>
      </c>
      <c r="O4" s="175" t="s">
        <v>125</v>
      </c>
    </row>
    <row r="5" spans="1:15" ht="27" x14ac:dyDescent="0.3">
      <c r="A5" s="170">
        <v>43622</v>
      </c>
      <c r="B5" s="171">
        <v>344</v>
      </c>
      <c r="C5" s="172">
        <v>5.8000000000000003E-2</v>
      </c>
      <c r="D5" s="171">
        <v>420</v>
      </c>
      <c r="E5" s="172">
        <v>2.1999999999999999E-2</v>
      </c>
      <c r="F5" s="173">
        <v>46988</v>
      </c>
      <c r="G5" s="172">
        <v>1.6E-2</v>
      </c>
      <c r="H5" s="172">
        <v>0.38900000000000001</v>
      </c>
      <c r="I5" s="173">
        <v>137771380</v>
      </c>
      <c r="J5" s="171" t="s">
        <v>9293</v>
      </c>
      <c r="K5" s="173">
        <v>18294</v>
      </c>
      <c r="L5" s="171" t="s">
        <v>9294</v>
      </c>
      <c r="M5" s="173">
        <v>155147380</v>
      </c>
      <c r="N5" s="173">
        <v>20201</v>
      </c>
      <c r="O5" s="171">
        <v>6</v>
      </c>
    </row>
    <row r="6" spans="1:15" ht="27" x14ac:dyDescent="0.3">
      <c r="A6" s="170">
        <v>43623</v>
      </c>
      <c r="B6" s="171">
        <v>312</v>
      </c>
      <c r="C6" s="172">
        <v>5.2999999999999999E-2</v>
      </c>
      <c r="D6" s="171">
        <v>342</v>
      </c>
      <c r="E6" s="172">
        <v>1.7999999999999999E-2</v>
      </c>
      <c r="F6" s="173">
        <v>39479</v>
      </c>
      <c r="G6" s="172">
        <v>1.2999999999999999E-2</v>
      </c>
      <c r="H6" s="172">
        <v>0.20699999999999999</v>
      </c>
      <c r="I6" s="173">
        <v>59646450</v>
      </c>
      <c r="J6" s="171" t="s">
        <v>9295</v>
      </c>
      <c r="K6" s="173">
        <v>8156</v>
      </c>
      <c r="L6" s="171" t="s">
        <v>9296</v>
      </c>
      <c r="M6" s="173">
        <v>214793830</v>
      </c>
      <c r="N6" s="173">
        <v>28357</v>
      </c>
      <c r="O6" s="171">
        <v>6</v>
      </c>
    </row>
    <row r="7" spans="1:15" ht="27" x14ac:dyDescent="0.3">
      <c r="A7" s="170">
        <v>43624</v>
      </c>
      <c r="B7" s="171">
        <v>330</v>
      </c>
      <c r="C7" s="172">
        <v>5.5E-2</v>
      </c>
      <c r="D7" s="171">
        <v>376</v>
      </c>
      <c r="E7" s="172">
        <v>1.9E-2</v>
      </c>
      <c r="F7" s="173">
        <v>41355</v>
      </c>
      <c r="G7" s="172">
        <v>1.4E-2</v>
      </c>
      <c r="H7" s="172">
        <v>0.19600000000000001</v>
      </c>
      <c r="I7" s="173">
        <v>60212190</v>
      </c>
      <c r="J7" s="171" t="s">
        <v>9297</v>
      </c>
      <c r="K7" s="173">
        <v>8125</v>
      </c>
      <c r="L7" s="171" t="s">
        <v>9298</v>
      </c>
      <c r="M7" s="173">
        <v>275006020</v>
      </c>
      <c r="N7" s="173">
        <v>36482</v>
      </c>
      <c r="O7" s="171">
        <v>6</v>
      </c>
    </row>
    <row r="8" spans="1:15" ht="27" x14ac:dyDescent="0.3">
      <c r="A8" s="170">
        <v>43625</v>
      </c>
      <c r="B8" s="171">
        <v>320</v>
      </c>
      <c r="C8" s="172">
        <v>5.3999999999999999E-2</v>
      </c>
      <c r="D8" s="171">
        <v>360</v>
      </c>
      <c r="E8" s="172">
        <v>1.9E-2</v>
      </c>
      <c r="F8" s="173">
        <v>39786</v>
      </c>
      <c r="G8" s="172">
        <v>1.2999999999999999E-2</v>
      </c>
      <c r="H8" s="172">
        <v>0.19400000000000001</v>
      </c>
      <c r="I8" s="173">
        <v>58292110</v>
      </c>
      <c r="J8" s="171" t="s">
        <v>9299</v>
      </c>
      <c r="K8" s="173">
        <v>7707</v>
      </c>
      <c r="L8" s="171" t="s">
        <v>9300</v>
      </c>
      <c r="M8" s="173">
        <v>333298130</v>
      </c>
      <c r="N8" s="173">
        <v>44189</v>
      </c>
      <c r="O8" s="171">
        <v>6</v>
      </c>
    </row>
    <row r="9" spans="1:15" ht="27" x14ac:dyDescent="0.3">
      <c r="A9" s="170">
        <v>43626</v>
      </c>
      <c r="B9" s="171">
        <v>141</v>
      </c>
      <c r="C9" s="172">
        <v>2.8000000000000001E-2</v>
      </c>
      <c r="D9" s="171">
        <v>143</v>
      </c>
      <c r="E9" s="172">
        <v>8.0000000000000002E-3</v>
      </c>
      <c r="F9" s="173">
        <v>17342</v>
      </c>
      <c r="G9" s="172">
        <v>6.0000000000000001E-3</v>
      </c>
      <c r="H9" s="172">
        <v>4.4999999999999998E-2</v>
      </c>
      <c r="I9" s="173">
        <v>5168900</v>
      </c>
      <c r="J9" s="171" t="s">
        <v>9301</v>
      </c>
      <c r="K9" s="171">
        <v>787</v>
      </c>
      <c r="L9" s="171" t="s">
        <v>9302</v>
      </c>
      <c r="M9" s="173">
        <v>338467030</v>
      </c>
      <c r="N9" s="173">
        <v>44976</v>
      </c>
      <c r="O9" s="171">
        <v>12</v>
      </c>
    </row>
    <row r="10" spans="1:15" ht="27" x14ac:dyDescent="0.3">
      <c r="A10" s="170">
        <v>43627</v>
      </c>
      <c r="B10" s="171">
        <v>145</v>
      </c>
      <c r="C10" s="172">
        <v>2.8000000000000001E-2</v>
      </c>
      <c r="D10" s="171">
        <v>148</v>
      </c>
      <c r="E10" s="172">
        <v>8.9999999999999993E-3</v>
      </c>
      <c r="F10" s="173">
        <v>17275</v>
      </c>
      <c r="G10" s="172">
        <v>6.0000000000000001E-3</v>
      </c>
      <c r="H10" s="172">
        <v>7.0000000000000007E-2</v>
      </c>
      <c r="I10" s="173">
        <v>7119660</v>
      </c>
      <c r="J10" s="171" t="s">
        <v>9303</v>
      </c>
      <c r="K10" s="173">
        <v>1207</v>
      </c>
      <c r="L10" s="171" t="s">
        <v>9304</v>
      </c>
      <c r="M10" s="173">
        <v>345586690</v>
      </c>
      <c r="N10" s="173">
        <v>46183</v>
      </c>
      <c r="O10" s="171">
        <v>10</v>
      </c>
    </row>
    <row r="11" spans="1:15" ht="27" x14ac:dyDescent="0.3">
      <c r="A11" s="170">
        <v>43628</v>
      </c>
      <c r="B11" s="171">
        <v>80</v>
      </c>
      <c r="C11" s="172">
        <v>1.6E-2</v>
      </c>
      <c r="D11" s="171">
        <v>83</v>
      </c>
      <c r="E11" s="172">
        <v>5.0000000000000001E-3</v>
      </c>
      <c r="F11" s="173">
        <v>8830</v>
      </c>
      <c r="G11" s="172">
        <v>3.0000000000000001E-3</v>
      </c>
      <c r="H11" s="172">
        <v>8.7999999999999995E-2</v>
      </c>
      <c r="I11" s="173">
        <v>4470600</v>
      </c>
      <c r="J11" s="171" t="s">
        <v>9305</v>
      </c>
      <c r="K11" s="171">
        <v>777</v>
      </c>
      <c r="L11" s="171" t="s">
        <v>9306</v>
      </c>
      <c r="M11" s="173">
        <v>350057290</v>
      </c>
      <c r="N11" s="173">
        <v>46960</v>
      </c>
      <c r="O11" s="171">
        <v>12</v>
      </c>
    </row>
    <row r="12" spans="1:15" ht="27" x14ac:dyDescent="0.3">
      <c r="A12" s="170">
        <v>43629</v>
      </c>
      <c r="B12" s="171">
        <v>32</v>
      </c>
      <c r="C12" s="172">
        <v>6.0000000000000001E-3</v>
      </c>
      <c r="D12" s="171">
        <v>36</v>
      </c>
      <c r="E12" s="172">
        <v>2E-3</v>
      </c>
      <c r="F12" s="173">
        <v>2355</v>
      </c>
      <c r="G12" s="172">
        <v>1E-3</v>
      </c>
      <c r="H12" s="172">
        <v>0.318</v>
      </c>
      <c r="I12" s="173">
        <v>4068200</v>
      </c>
      <c r="J12" s="171" t="s">
        <v>9307</v>
      </c>
      <c r="K12" s="171">
        <v>750</v>
      </c>
      <c r="L12" s="171" t="s">
        <v>9308</v>
      </c>
      <c r="M12" s="173">
        <v>354125490</v>
      </c>
      <c r="N12" s="173">
        <v>47710</v>
      </c>
      <c r="O12" s="171">
        <v>16</v>
      </c>
    </row>
    <row r="13" spans="1:15" ht="27" x14ac:dyDescent="0.3">
      <c r="A13" s="170">
        <v>43630</v>
      </c>
      <c r="B13" s="171">
        <v>33</v>
      </c>
      <c r="C13" s="172">
        <v>6.0000000000000001E-3</v>
      </c>
      <c r="D13" s="171">
        <v>34</v>
      </c>
      <c r="E13" s="172">
        <v>2E-3</v>
      </c>
      <c r="F13" s="173">
        <v>2845</v>
      </c>
      <c r="G13" s="172">
        <v>1E-3</v>
      </c>
      <c r="H13" s="172">
        <v>0.22900000000000001</v>
      </c>
      <c r="I13" s="173">
        <v>3446800</v>
      </c>
      <c r="J13" s="171" t="s">
        <v>9309</v>
      </c>
      <c r="K13" s="171">
        <v>651</v>
      </c>
      <c r="L13" s="171" t="s">
        <v>9310</v>
      </c>
      <c r="M13" s="173">
        <v>357572290</v>
      </c>
      <c r="N13" s="173">
        <v>48361</v>
      </c>
      <c r="O13" s="171">
        <v>14</v>
      </c>
    </row>
    <row r="14" spans="1:15" ht="27" x14ac:dyDescent="0.3">
      <c r="A14" s="170">
        <v>43631</v>
      </c>
      <c r="B14" s="171">
        <v>58</v>
      </c>
      <c r="C14" s="172">
        <v>0.01</v>
      </c>
      <c r="D14" s="171">
        <v>64</v>
      </c>
      <c r="E14" s="172">
        <v>3.0000000000000001E-3</v>
      </c>
      <c r="F14" s="173">
        <v>4818</v>
      </c>
      <c r="G14" s="172">
        <v>2E-3</v>
      </c>
      <c r="H14" s="172">
        <v>0.22700000000000001</v>
      </c>
      <c r="I14" s="173">
        <v>6846780</v>
      </c>
      <c r="J14" s="171" t="s">
        <v>9311</v>
      </c>
      <c r="K14" s="173">
        <v>1095</v>
      </c>
      <c r="L14" s="171" t="s">
        <v>9312</v>
      </c>
      <c r="M14" s="173">
        <v>364419070</v>
      </c>
      <c r="N14" s="173">
        <v>49456</v>
      </c>
      <c r="O14" s="171">
        <v>15</v>
      </c>
    </row>
    <row r="15" spans="1:15" ht="27" x14ac:dyDescent="0.3">
      <c r="A15" s="170">
        <v>43632</v>
      </c>
      <c r="B15" s="171">
        <v>61</v>
      </c>
      <c r="C15" s="172">
        <v>0.01</v>
      </c>
      <c r="D15" s="171">
        <v>67</v>
      </c>
      <c r="E15" s="172">
        <v>4.0000000000000001E-3</v>
      </c>
      <c r="F15" s="173">
        <v>5051</v>
      </c>
      <c r="G15" s="172">
        <v>2E-3</v>
      </c>
      <c r="H15" s="172">
        <v>0.182</v>
      </c>
      <c r="I15" s="173">
        <v>5596850</v>
      </c>
      <c r="J15" s="171" t="s">
        <v>9313</v>
      </c>
      <c r="K15" s="171">
        <v>918</v>
      </c>
      <c r="L15" s="171" t="s">
        <v>9314</v>
      </c>
      <c r="M15" s="173">
        <v>370015920</v>
      </c>
      <c r="N15" s="173">
        <v>50374</v>
      </c>
      <c r="O15" s="171">
        <v>15</v>
      </c>
    </row>
    <row r="16" spans="1:15" ht="27" x14ac:dyDescent="0.3">
      <c r="A16" s="170">
        <v>43633</v>
      </c>
      <c r="B16" s="171">
        <v>18</v>
      </c>
      <c r="C16" s="172">
        <v>3.0000000000000001E-3</v>
      </c>
      <c r="D16" s="171">
        <v>19</v>
      </c>
      <c r="E16" s="172">
        <v>1E-3</v>
      </c>
      <c r="F16" s="173">
        <v>1032</v>
      </c>
      <c r="G16" s="172">
        <v>0</v>
      </c>
      <c r="H16" s="172">
        <v>0.22600000000000001</v>
      </c>
      <c r="I16" s="173">
        <v>1282000</v>
      </c>
      <c r="J16" s="171" t="s">
        <v>9315</v>
      </c>
      <c r="K16" s="171">
        <v>233</v>
      </c>
      <c r="L16" s="171" t="s">
        <v>9316</v>
      </c>
      <c r="M16" s="173">
        <v>371297920</v>
      </c>
      <c r="N16" s="173">
        <v>50607</v>
      </c>
      <c r="O16" s="171">
        <v>22</v>
      </c>
    </row>
    <row r="17" spans="1:15" ht="27" x14ac:dyDescent="0.3">
      <c r="A17" s="170">
        <v>43634</v>
      </c>
      <c r="B17" s="171">
        <v>25</v>
      </c>
      <c r="C17" s="172">
        <v>5.0000000000000001E-3</v>
      </c>
      <c r="D17" s="171">
        <v>25</v>
      </c>
      <c r="E17" s="172">
        <v>1E-3</v>
      </c>
      <c r="F17" s="173">
        <v>1555</v>
      </c>
      <c r="G17" s="172">
        <v>1E-3</v>
      </c>
      <c r="H17" s="172">
        <v>0.16900000000000001</v>
      </c>
      <c r="I17" s="173">
        <v>1403000</v>
      </c>
      <c r="J17" s="171" t="s">
        <v>9317</v>
      </c>
      <c r="K17" s="171">
        <v>263</v>
      </c>
      <c r="L17" s="171" t="s">
        <v>9318</v>
      </c>
      <c r="M17" s="173">
        <v>372700920</v>
      </c>
      <c r="N17" s="173">
        <v>50870</v>
      </c>
      <c r="O17" s="171">
        <v>24</v>
      </c>
    </row>
    <row r="18" spans="1:15" ht="27" x14ac:dyDescent="0.3">
      <c r="A18" s="170">
        <v>43635</v>
      </c>
      <c r="B18" s="171">
        <v>24</v>
      </c>
      <c r="C18" s="172">
        <v>5.0000000000000001E-3</v>
      </c>
      <c r="D18" s="171">
        <v>24</v>
      </c>
      <c r="E18" s="172">
        <v>1E-3</v>
      </c>
      <c r="F18" s="173">
        <v>1708</v>
      </c>
      <c r="G18" s="172">
        <v>1E-3</v>
      </c>
      <c r="H18" s="172">
        <v>0.28299999999999997</v>
      </c>
      <c r="I18" s="173">
        <v>2548000</v>
      </c>
      <c r="J18" s="171" t="s">
        <v>9319</v>
      </c>
      <c r="K18" s="171">
        <v>483</v>
      </c>
      <c r="L18" s="171" t="s">
        <v>9320</v>
      </c>
      <c r="M18" s="173">
        <v>375248920</v>
      </c>
      <c r="N18" s="173">
        <v>51353</v>
      </c>
      <c r="O18" s="171">
        <v>16</v>
      </c>
    </row>
    <row r="19" spans="1:15" ht="27" x14ac:dyDescent="0.3">
      <c r="A19" s="170">
        <v>43636</v>
      </c>
      <c r="B19" s="171">
        <v>6</v>
      </c>
      <c r="C19" s="172">
        <v>1E-3</v>
      </c>
      <c r="D19" s="171">
        <v>6</v>
      </c>
      <c r="E19" s="172">
        <v>0</v>
      </c>
      <c r="F19" s="171">
        <v>387</v>
      </c>
      <c r="G19" s="172">
        <v>0</v>
      </c>
      <c r="H19" s="172">
        <v>0.60499999999999998</v>
      </c>
      <c r="I19" s="173">
        <v>1325000</v>
      </c>
      <c r="J19" s="171" t="s">
        <v>9321</v>
      </c>
      <c r="K19" s="171">
        <v>234</v>
      </c>
      <c r="L19" s="171" t="s">
        <v>9322</v>
      </c>
      <c r="M19" s="173">
        <v>376573920</v>
      </c>
      <c r="N19" s="173">
        <v>51587</v>
      </c>
      <c r="O19" s="171">
        <v>27</v>
      </c>
    </row>
    <row r="20" spans="1:15" ht="27" x14ac:dyDescent="0.3">
      <c r="A20" s="170">
        <v>43637</v>
      </c>
      <c r="B20" s="171">
        <v>6</v>
      </c>
      <c r="C20" s="172">
        <v>1E-3</v>
      </c>
      <c r="D20" s="171">
        <v>6</v>
      </c>
      <c r="E20" s="172">
        <v>0</v>
      </c>
      <c r="F20" s="171">
        <v>391</v>
      </c>
      <c r="G20" s="172">
        <v>0</v>
      </c>
      <c r="H20" s="172">
        <v>0.215</v>
      </c>
      <c r="I20" s="173">
        <v>429000</v>
      </c>
      <c r="J20" s="171" t="s">
        <v>9323</v>
      </c>
      <c r="K20" s="171">
        <v>84</v>
      </c>
      <c r="L20" s="171" t="s">
        <v>9324</v>
      </c>
      <c r="M20" s="173">
        <v>377002920</v>
      </c>
      <c r="N20" s="173">
        <v>51671</v>
      </c>
      <c r="O20" s="171">
        <v>46</v>
      </c>
    </row>
    <row r="21" spans="1:15" ht="27" x14ac:dyDescent="0.3">
      <c r="A21" s="170">
        <v>43638</v>
      </c>
      <c r="B21" s="171">
        <v>5</v>
      </c>
      <c r="C21" s="172">
        <v>1E-3</v>
      </c>
      <c r="D21" s="171">
        <v>5</v>
      </c>
      <c r="E21" s="172">
        <v>0</v>
      </c>
      <c r="F21" s="171">
        <v>215</v>
      </c>
      <c r="G21" s="172">
        <v>0</v>
      </c>
      <c r="H21" s="172">
        <v>0.223</v>
      </c>
      <c r="I21" s="173">
        <v>260000</v>
      </c>
      <c r="J21" s="171" t="s">
        <v>9325</v>
      </c>
      <c r="K21" s="171">
        <v>48</v>
      </c>
      <c r="L21" s="171" t="s">
        <v>9326</v>
      </c>
      <c r="M21" s="173">
        <v>377262920</v>
      </c>
      <c r="N21" s="173">
        <v>51719</v>
      </c>
      <c r="O21" s="171">
        <v>63</v>
      </c>
    </row>
    <row r="22" spans="1:15" ht="27" x14ac:dyDescent="0.3">
      <c r="A22" s="170">
        <v>43639</v>
      </c>
      <c r="B22" s="171">
        <v>4</v>
      </c>
      <c r="C22" s="172">
        <v>1E-3</v>
      </c>
      <c r="D22" s="171">
        <v>4</v>
      </c>
      <c r="E22" s="172">
        <v>0</v>
      </c>
      <c r="F22" s="171">
        <v>188</v>
      </c>
      <c r="G22" s="172">
        <v>0</v>
      </c>
      <c r="H22" s="172">
        <v>9.6000000000000002E-2</v>
      </c>
      <c r="I22" s="173">
        <v>96000</v>
      </c>
      <c r="J22" s="171" t="s">
        <v>9327</v>
      </c>
      <c r="K22" s="171">
        <v>18</v>
      </c>
      <c r="L22" s="171" t="s">
        <v>9328</v>
      </c>
      <c r="M22" s="173">
        <v>377358920</v>
      </c>
      <c r="N22" s="173">
        <v>51737</v>
      </c>
      <c r="O22" s="171">
        <v>73</v>
      </c>
    </row>
    <row r="23" spans="1:15" ht="27" x14ac:dyDescent="0.3">
      <c r="A23" s="170">
        <v>43640</v>
      </c>
      <c r="B23" s="171">
        <v>2</v>
      </c>
      <c r="C23" s="172">
        <v>0</v>
      </c>
      <c r="D23" s="171">
        <v>2</v>
      </c>
      <c r="E23" s="172">
        <v>0</v>
      </c>
      <c r="F23" s="171">
        <v>161</v>
      </c>
      <c r="G23" s="172">
        <v>0</v>
      </c>
      <c r="H23" s="172">
        <v>0.54</v>
      </c>
      <c r="I23" s="173">
        <v>492000</v>
      </c>
      <c r="J23" s="171" t="s">
        <v>9329</v>
      </c>
      <c r="K23" s="171">
        <v>87</v>
      </c>
      <c r="L23" s="171" t="s">
        <v>9330</v>
      </c>
      <c r="M23" s="173">
        <v>377850920</v>
      </c>
      <c r="N23" s="173">
        <v>51824</v>
      </c>
      <c r="O23" s="171">
        <v>39</v>
      </c>
    </row>
    <row r="24" spans="1:15" ht="27" x14ac:dyDescent="0.3">
      <c r="A24" s="170">
        <v>43641</v>
      </c>
      <c r="B24" s="171">
        <v>1</v>
      </c>
      <c r="C24" s="172">
        <v>0</v>
      </c>
      <c r="D24" s="171">
        <v>1</v>
      </c>
      <c r="E24" s="172">
        <v>0</v>
      </c>
      <c r="F24" s="171">
        <v>62</v>
      </c>
      <c r="G24" s="172">
        <v>0</v>
      </c>
      <c r="H24" s="172">
        <v>0.113</v>
      </c>
      <c r="I24" s="173">
        <v>37000</v>
      </c>
      <c r="J24" s="171" t="s">
        <v>9331</v>
      </c>
      <c r="K24" s="171">
        <v>7</v>
      </c>
      <c r="L24" s="171" t="s">
        <v>9332</v>
      </c>
      <c r="M24" s="173">
        <v>377887920</v>
      </c>
      <c r="N24" s="173">
        <v>51831</v>
      </c>
      <c r="O24" s="171">
        <v>91</v>
      </c>
    </row>
    <row r="25" spans="1:15" ht="27" x14ac:dyDescent="0.3">
      <c r="A25" s="170">
        <v>43642</v>
      </c>
      <c r="B25" s="171">
        <v>4</v>
      </c>
      <c r="C25" s="172">
        <v>1E-3</v>
      </c>
      <c r="D25" s="171">
        <v>4</v>
      </c>
      <c r="E25" s="172">
        <v>0</v>
      </c>
      <c r="F25" s="171">
        <v>468</v>
      </c>
      <c r="G25" s="172">
        <v>0</v>
      </c>
      <c r="H25" s="172">
        <v>0.438</v>
      </c>
      <c r="I25" s="173">
        <v>1105000</v>
      </c>
      <c r="J25" s="171" t="s">
        <v>9333</v>
      </c>
      <c r="K25" s="171">
        <v>205</v>
      </c>
      <c r="L25" s="171" t="s">
        <v>9334</v>
      </c>
      <c r="M25" s="173">
        <v>378992920</v>
      </c>
      <c r="N25" s="173">
        <v>52036</v>
      </c>
      <c r="O25" s="171">
        <v>28</v>
      </c>
    </row>
    <row r="26" spans="1:15" ht="27" x14ac:dyDescent="0.3">
      <c r="A26" s="170">
        <v>43643</v>
      </c>
      <c r="B26" s="171">
        <v>3</v>
      </c>
      <c r="C26" s="172">
        <v>0</v>
      </c>
      <c r="D26" s="171">
        <v>3</v>
      </c>
      <c r="E26" s="172">
        <v>0</v>
      </c>
      <c r="F26" s="171">
        <v>298</v>
      </c>
      <c r="G26" s="172">
        <v>0</v>
      </c>
      <c r="H26" s="172">
        <v>0.56399999999999995</v>
      </c>
      <c r="I26" s="173">
        <v>727000</v>
      </c>
      <c r="J26" s="171" t="s">
        <v>9335</v>
      </c>
      <c r="K26" s="171">
        <v>168</v>
      </c>
      <c r="L26" s="171" t="s">
        <v>9336</v>
      </c>
      <c r="M26" s="173">
        <v>379719920</v>
      </c>
      <c r="N26" s="173">
        <v>52204</v>
      </c>
      <c r="O26" s="171">
        <v>37</v>
      </c>
    </row>
    <row r="27" spans="1:15" ht="27" x14ac:dyDescent="0.3">
      <c r="A27" s="170">
        <v>43644</v>
      </c>
      <c r="B27" s="171">
        <v>2</v>
      </c>
      <c r="C27" s="172">
        <v>0</v>
      </c>
      <c r="D27" s="171">
        <v>2</v>
      </c>
      <c r="E27" s="172">
        <v>0</v>
      </c>
      <c r="F27" s="171">
        <v>169</v>
      </c>
      <c r="G27" s="172">
        <v>0</v>
      </c>
      <c r="H27" s="172">
        <v>0.69199999999999995</v>
      </c>
      <c r="I27" s="173">
        <v>586000</v>
      </c>
      <c r="J27" s="171" t="s">
        <v>9337</v>
      </c>
      <c r="K27" s="171">
        <v>117</v>
      </c>
      <c r="L27" s="171" t="s">
        <v>9338</v>
      </c>
      <c r="M27" s="173">
        <v>380305920</v>
      </c>
      <c r="N27" s="173">
        <v>52321</v>
      </c>
      <c r="O27" s="171">
        <v>51</v>
      </c>
    </row>
    <row r="28" spans="1:15" ht="27" x14ac:dyDescent="0.3">
      <c r="A28" s="170">
        <v>43645</v>
      </c>
      <c r="B28" s="171">
        <v>2</v>
      </c>
      <c r="C28" s="172">
        <v>0</v>
      </c>
      <c r="D28" s="171">
        <v>2</v>
      </c>
      <c r="E28" s="172">
        <v>0</v>
      </c>
      <c r="F28" s="171">
        <v>92</v>
      </c>
      <c r="G28" s="172">
        <v>0</v>
      </c>
      <c r="H28" s="172">
        <v>0.35899999999999999</v>
      </c>
      <c r="I28" s="173">
        <v>178000</v>
      </c>
      <c r="J28" s="171" t="s">
        <v>9339</v>
      </c>
      <c r="K28" s="171">
        <v>33</v>
      </c>
      <c r="L28" s="171" t="s">
        <v>9340</v>
      </c>
      <c r="M28" s="173">
        <v>380483920</v>
      </c>
      <c r="N28" s="173">
        <v>52354</v>
      </c>
      <c r="O28" s="171">
        <v>66</v>
      </c>
    </row>
    <row r="29" spans="1:15" ht="27" x14ac:dyDescent="0.3">
      <c r="A29" s="170">
        <v>43646</v>
      </c>
      <c r="B29" s="171">
        <v>1</v>
      </c>
      <c r="C29" s="172">
        <v>0</v>
      </c>
      <c r="D29" s="171">
        <v>1</v>
      </c>
      <c r="E29" s="172">
        <v>0</v>
      </c>
      <c r="F29" s="171">
        <v>57</v>
      </c>
      <c r="G29" s="172">
        <v>0</v>
      </c>
      <c r="H29" s="172">
        <v>0.29799999999999999</v>
      </c>
      <c r="I29" s="173">
        <v>90000</v>
      </c>
      <c r="J29" s="171" t="s">
        <v>9341</v>
      </c>
      <c r="K29" s="171">
        <v>17</v>
      </c>
      <c r="L29" s="171" t="s">
        <v>9342</v>
      </c>
      <c r="M29" s="173">
        <v>380573920</v>
      </c>
      <c r="N29" s="173">
        <v>52371</v>
      </c>
      <c r="O29" s="171">
        <v>70</v>
      </c>
    </row>
    <row r="30" spans="1:15" ht="27" x14ac:dyDescent="0.3">
      <c r="A30" s="170">
        <v>43647</v>
      </c>
      <c r="B30" s="171">
        <v>1</v>
      </c>
      <c r="C30" s="172">
        <v>0</v>
      </c>
      <c r="D30" s="171">
        <v>1</v>
      </c>
      <c r="E30" s="172">
        <v>0</v>
      </c>
      <c r="F30" s="171">
        <v>39</v>
      </c>
      <c r="G30" s="172">
        <v>0</v>
      </c>
      <c r="H30" s="172">
        <v>0.66700000000000004</v>
      </c>
      <c r="I30" s="173">
        <v>142000</v>
      </c>
      <c r="J30" s="171" t="s">
        <v>9343</v>
      </c>
      <c r="K30" s="171">
        <v>26</v>
      </c>
      <c r="L30" s="171" t="s">
        <v>9344</v>
      </c>
      <c r="M30" s="173">
        <v>380715920</v>
      </c>
      <c r="N30" s="173">
        <v>52397</v>
      </c>
      <c r="O30" s="171">
        <v>61</v>
      </c>
    </row>
    <row r="31" spans="1:15" ht="27" x14ac:dyDescent="0.3">
      <c r="A31" s="170">
        <v>43648</v>
      </c>
      <c r="B31" s="171">
        <v>2</v>
      </c>
      <c r="C31" s="172">
        <v>0</v>
      </c>
      <c r="D31" s="171">
        <v>2</v>
      </c>
      <c r="E31" s="172">
        <v>0</v>
      </c>
      <c r="F31" s="171">
        <v>158</v>
      </c>
      <c r="G31" s="172">
        <v>0</v>
      </c>
      <c r="H31" s="172">
        <v>0.88600000000000001</v>
      </c>
      <c r="I31" s="173">
        <v>717000</v>
      </c>
      <c r="J31" s="171" t="s">
        <v>9345</v>
      </c>
      <c r="K31" s="171">
        <v>140</v>
      </c>
      <c r="L31" s="171" t="s">
        <v>9346</v>
      </c>
      <c r="M31" s="173">
        <v>381432920</v>
      </c>
      <c r="N31" s="173">
        <v>52537</v>
      </c>
      <c r="O31" s="171">
        <v>38</v>
      </c>
    </row>
    <row r="32" spans="1:15" ht="27" x14ac:dyDescent="0.3">
      <c r="A32" s="170">
        <v>43650</v>
      </c>
      <c r="B32" s="171">
        <v>4</v>
      </c>
      <c r="C32" s="172">
        <v>1E-3</v>
      </c>
      <c r="D32" s="171">
        <v>4</v>
      </c>
      <c r="E32" s="172">
        <v>0</v>
      </c>
      <c r="F32" s="171">
        <v>238</v>
      </c>
      <c r="G32" s="172">
        <v>0</v>
      </c>
      <c r="H32" s="172">
        <v>0.32800000000000001</v>
      </c>
      <c r="I32" s="173">
        <v>398000</v>
      </c>
      <c r="J32" s="171" t="s">
        <v>9347</v>
      </c>
      <c r="K32" s="171">
        <v>78</v>
      </c>
      <c r="L32" s="171" t="s">
        <v>1878</v>
      </c>
      <c r="M32" s="173">
        <v>381830920</v>
      </c>
      <c r="N32" s="173">
        <v>52615</v>
      </c>
      <c r="O32" s="171">
        <v>48</v>
      </c>
    </row>
    <row r="33" spans="1:15" ht="27" x14ac:dyDescent="0.3">
      <c r="A33" s="170">
        <v>43655</v>
      </c>
      <c r="B33" s="171">
        <v>1</v>
      </c>
      <c r="C33" s="172">
        <v>0</v>
      </c>
      <c r="D33" s="171">
        <v>1</v>
      </c>
      <c r="E33" s="172">
        <v>0</v>
      </c>
      <c r="F33" s="171">
        <v>62</v>
      </c>
      <c r="G33" s="172">
        <v>0</v>
      </c>
      <c r="H33" s="172">
        <v>0.54800000000000004</v>
      </c>
      <c r="I33" s="173">
        <v>170000</v>
      </c>
      <c r="J33" s="171" t="s">
        <v>9348</v>
      </c>
      <c r="K33" s="171">
        <v>34</v>
      </c>
      <c r="L33" s="171" t="s">
        <v>9349</v>
      </c>
      <c r="M33" s="173">
        <v>382000920</v>
      </c>
      <c r="N33" s="173">
        <v>52649</v>
      </c>
      <c r="O33" s="171">
        <v>56</v>
      </c>
    </row>
    <row r="34" spans="1:15" ht="27" x14ac:dyDescent="0.3">
      <c r="A34" s="170">
        <v>43656</v>
      </c>
      <c r="B34" s="171">
        <v>2</v>
      </c>
      <c r="C34" s="172">
        <v>0</v>
      </c>
      <c r="D34" s="171">
        <v>2</v>
      </c>
      <c r="E34" s="172">
        <v>0</v>
      </c>
      <c r="F34" s="171">
        <v>141</v>
      </c>
      <c r="G34" s="172">
        <v>0</v>
      </c>
      <c r="H34" s="172">
        <v>0.44</v>
      </c>
      <c r="I34" s="173">
        <v>310000</v>
      </c>
      <c r="J34" s="171" t="s">
        <v>9350</v>
      </c>
      <c r="K34" s="171">
        <v>62</v>
      </c>
      <c r="L34" s="171" t="s">
        <v>9351</v>
      </c>
      <c r="M34" s="173">
        <v>382310920</v>
      </c>
      <c r="N34" s="173">
        <v>52711</v>
      </c>
      <c r="O34" s="171">
        <v>50</v>
      </c>
    </row>
    <row r="35" spans="1:15" ht="27" x14ac:dyDescent="0.3">
      <c r="A35" s="170">
        <v>43657</v>
      </c>
      <c r="B35" s="171">
        <v>1</v>
      </c>
      <c r="C35" s="172">
        <v>0</v>
      </c>
      <c r="D35" s="171">
        <v>1</v>
      </c>
      <c r="E35" s="172">
        <v>0</v>
      </c>
      <c r="F35" s="171">
        <v>62</v>
      </c>
      <c r="G35" s="172">
        <v>0</v>
      </c>
      <c r="H35" s="172">
        <v>0.53200000000000003</v>
      </c>
      <c r="I35" s="173">
        <v>165000</v>
      </c>
      <c r="J35" s="171" t="s">
        <v>9352</v>
      </c>
      <c r="K35" s="171">
        <v>33</v>
      </c>
      <c r="L35" s="171" t="s">
        <v>9353</v>
      </c>
      <c r="M35" s="173">
        <v>382475920</v>
      </c>
      <c r="N35" s="173">
        <v>52744</v>
      </c>
      <c r="O35" s="171">
        <v>72</v>
      </c>
    </row>
    <row r="36" spans="1:15" ht="27" x14ac:dyDescent="0.3">
      <c r="A36" s="170">
        <v>43658</v>
      </c>
      <c r="B36" s="171">
        <v>1</v>
      </c>
      <c r="C36" s="172">
        <v>0</v>
      </c>
      <c r="D36" s="171">
        <v>1</v>
      </c>
      <c r="E36" s="172">
        <v>0</v>
      </c>
      <c r="F36" s="171">
        <v>141</v>
      </c>
      <c r="G36" s="172">
        <v>0</v>
      </c>
      <c r="H36" s="172">
        <v>0.624</v>
      </c>
      <c r="I36" s="173">
        <v>440000</v>
      </c>
      <c r="J36" s="171" t="s">
        <v>9354</v>
      </c>
      <c r="K36" s="171">
        <v>88</v>
      </c>
      <c r="L36" s="171" t="s">
        <v>9355</v>
      </c>
      <c r="M36" s="173">
        <v>382915920</v>
      </c>
      <c r="N36" s="173">
        <v>52832</v>
      </c>
      <c r="O36" s="171">
        <v>51</v>
      </c>
    </row>
    <row r="37" spans="1:15" ht="27" x14ac:dyDescent="0.3">
      <c r="A37" s="170">
        <v>43663</v>
      </c>
      <c r="B37" s="171">
        <v>1</v>
      </c>
      <c r="C37" s="172">
        <v>0</v>
      </c>
      <c r="D37" s="171">
        <v>1</v>
      </c>
      <c r="E37" s="172">
        <v>0</v>
      </c>
      <c r="F37" s="171">
        <v>162</v>
      </c>
      <c r="G37" s="172">
        <v>0</v>
      </c>
      <c r="H37" s="172">
        <v>0.80200000000000005</v>
      </c>
      <c r="I37" s="173">
        <v>780000</v>
      </c>
      <c r="J37" s="171" t="s">
        <v>9356</v>
      </c>
      <c r="K37" s="171">
        <v>130</v>
      </c>
      <c r="L37" s="171" t="s">
        <v>2882</v>
      </c>
      <c r="M37" s="173">
        <v>383695920</v>
      </c>
      <c r="N37" s="173">
        <v>52962</v>
      </c>
      <c r="O37" s="171">
        <v>42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9030-D7D2-4354-9F26-DA09A854BB2D}">
  <dimension ref="A1:O44"/>
  <sheetViews>
    <sheetView workbookViewId="0">
      <selection activeCell="B5" sqref="B5:O11"/>
    </sheetView>
  </sheetViews>
  <sheetFormatPr defaultRowHeight="16.5" x14ac:dyDescent="0.3"/>
  <sheetData>
    <row r="1" spans="1:15" ht="19.5" x14ac:dyDescent="0.3">
      <c r="A1" s="197" t="s">
        <v>9357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81" t="s">
        <v>111</v>
      </c>
      <c r="B4" s="176" t="s">
        <v>112</v>
      </c>
      <c r="C4" s="176" t="s">
        <v>113</v>
      </c>
      <c r="D4" s="176" t="s">
        <v>114</v>
      </c>
      <c r="E4" s="176" t="s">
        <v>115</v>
      </c>
      <c r="F4" s="176" t="s">
        <v>116</v>
      </c>
      <c r="G4" s="176" t="s">
        <v>117</v>
      </c>
      <c r="H4" s="176" t="s">
        <v>118</v>
      </c>
      <c r="I4" s="176" t="s">
        <v>119</v>
      </c>
      <c r="J4" s="176" t="s">
        <v>120</v>
      </c>
      <c r="K4" s="176" t="s">
        <v>121</v>
      </c>
      <c r="L4" s="176" t="s">
        <v>122</v>
      </c>
      <c r="M4" s="176" t="s">
        <v>123</v>
      </c>
      <c r="N4" s="176" t="s">
        <v>124</v>
      </c>
      <c r="O4" s="182" t="s">
        <v>125</v>
      </c>
    </row>
    <row r="5" spans="1:15" ht="27" x14ac:dyDescent="0.3">
      <c r="A5" s="177">
        <v>43614</v>
      </c>
      <c r="B5" s="178">
        <v>174</v>
      </c>
      <c r="C5" s="179">
        <v>3.2000000000000001E-2</v>
      </c>
      <c r="D5" s="178">
        <v>661</v>
      </c>
      <c r="E5" s="179">
        <v>3.6999999999999998E-2</v>
      </c>
      <c r="F5" s="180">
        <v>84300</v>
      </c>
      <c r="G5" s="179">
        <v>0.03</v>
      </c>
      <c r="H5" s="179">
        <v>6.4000000000000001E-2</v>
      </c>
      <c r="I5" s="180">
        <v>44461600</v>
      </c>
      <c r="J5" s="178" t="s">
        <v>9358</v>
      </c>
      <c r="K5" s="180">
        <v>5422</v>
      </c>
      <c r="L5" s="178" t="s">
        <v>9359</v>
      </c>
      <c r="M5" s="180">
        <v>87133600</v>
      </c>
      <c r="N5" s="180">
        <v>10706</v>
      </c>
      <c r="O5" s="178">
        <v>6</v>
      </c>
    </row>
    <row r="6" spans="1:15" ht="27" x14ac:dyDescent="0.3">
      <c r="A6" s="177">
        <v>43615</v>
      </c>
      <c r="B6" s="178">
        <v>178</v>
      </c>
      <c r="C6" s="179">
        <v>3.2000000000000001E-2</v>
      </c>
      <c r="D6" s="178">
        <v>607</v>
      </c>
      <c r="E6" s="179">
        <v>3.3000000000000002E-2</v>
      </c>
      <c r="F6" s="180">
        <v>77009</v>
      </c>
      <c r="G6" s="179">
        <v>2.7E-2</v>
      </c>
      <c r="H6" s="179">
        <v>7.0999999999999994E-2</v>
      </c>
      <c r="I6" s="180">
        <v>49099900</v>
      </c>
      <c r="J6" s="178" t="s">
        <v>9360</v>
      </c>
      <c r="K6" s="180">
        <v>5457</v>
      </c>
      <c r="L6" s="178" t="s">
        <v>9361</v>
      </c>
      <c r="M6" s="180">
        <v>136233500</v>
      </c>
      <c r="N6" s="180">
        <v>16163</v>
      </c>
      <c r="O6" s="178">
        <v>6</v>
      </c>
    </row>
    <row r="7" spans="1:15" ht="27" x14ac:dyDescent="0.3">
      <c r="A7" s="177">
        <v>43619</v>
      </c>
      <c r="B7" s="178">
        <v>188</v>
      </c>
      <c r="C7" s="179">
        <v>3.1E-2</v>
      </c>
      <c r="D7" s="178">
        <v>464</v>
      </c>
      <c r="E7" s="179">
        <v>2.4E-2</v>
      </c>
      <c r="F7" s="180">
        <v>56100</v>
      </c>
      <c r="G7" s="179">
        <v>1.9E-2</v>
      </c>
      <c r="H7" s="179">
        <v>0.129</v>
      </c>
      <c r="I7" s="180">
        <v>64917300</v>
      </c>
      <c r="J7" s="178" t="s">
        <v>9362</v>
      </c>
      <c r="K7" s="180">
        <v>7241</v>
      </c>
      <c r="L7" s="178" t="s">
        <v>9363</v>
      </c>
      <c r="M7" s="180">
        <v>201150800</v>
      </c>
      <c r="N7" s="180">
        <v>23404</v>
      </c>
      <c r="O7" s="178">
        <v>7</v>
      </c>
    </row>
    <row r="8" spans="1:15" ht="27" x14ac:dyDescent="0.3">
      <c r="A8" s="177">
        <v>43620</v>
      </c>
      <c r="B8" s="178">
        <v>182</v>
      </c>
      <c r="C8" s="179">
        <v>0.03</v>
      </c>
      <c r="D8" s="178">
        <v>444</v>
      </c>
      <c r="E8" s="179">
        <v>2.4E-2</v>
      </c>
      <c r="F8" s="180">
        <v>54072</v>
      </c>
      <c r="G8" s="179">
        <v>1.9E-2</v>
      </c>
      <c r="H8" s="179">
        <v>0.126</v>
      </c>
      <c r="I8" s="180">
        <v>61265300</v>
      </c>
      <c r="J8" s="178" t="s">
        <v>9364</v>
      </c>
      <c r="K8" s="180">
        <v>6840</v>
      </c>
      <c r="L8" s="178" t="s">
        <v>9365</v>
      </c>
      <c r="M8" s="180">
        <v>262416100</v>
      </c>
      <c r="N8" s="180">
        <v>30244</v>
      </c>
      <c r="O8" s="178">
        <v>7</v>
      </c>
    </row>
    <row r="9" spans="1:15" ht="27" x14ac:dyDescent="0.3">
      <c r="A9" s="177">
        <v>43621</v>
      </c>
      <c r="B9" s="178">
        <v>180</v>
      </c>
      <c r="C9" s="179">
        <v>3.4000000000000002E-2</v>
      </c>
      <c r="D9" s="178">
        <v>499</v>
      </c>
      <c r="E9" s="179">
        <v>2.9000000000000001E-2</v>
      </c>
      <c r="F9" s="180">
        <v>63972</v>
      </c>
      <c r="G9" s="179">
        <v>2.4E-2</v>
      </c>
      <c r="H9" s="179">
        <v>5.6000000000000001E-2</v>
      </c>
      <c r="I9" s="180">
        <v>28470900</v>
      </c>
      <c r="J9" s="178" t="s">
        <v>9366</v>
      </c>
      <c r="K9" s="180">
        <v>3589</v>
      </c>
      <c r="L9" s="178" t="s">
        <v>9367</v>
      </c>
      <c r="M9" s="180">
        <v>290887000</v>
      </c>
      <c r="N9" s="180">
        <v>33833</v>
      </c>
      <c r="O9" s="178">
        <v>6</v>
      </c>
    </row>
    <row r="10" spans="1:15" ht="27" x14ac:dyDescent="0.3">
      <c r="A10" s="177">
        <v>43627</v>
      </c>
      <c r="B10" s="178">
        <v>179</v>
      </c>
      <c r="C10" s="179">
        <v>3.3000000000000002E-2</v>
      </c>
      <c r="D10" s="178">
        <v>484</v>
      </c>
      <c r="E10" s="179">
        <v>2.8000000000000001E-2</v>
      </c>
      <c r="F10" s="180">
        <v>61847</v>
      </c>
      <c r="G10" s="179">
        <v>2.3E-2</v>
      </c>
      <c r="H10" s="179">
        <v>5.8999999999999997E-2</v>
      </c>
      <c r="I10" s="180">
        <v>28273900</v>
      </c>
      <c r="J10" s="178" t="s">
        <v>9368</v>
      </c>
      <c r="K10" s="180">
        <v>3634</v>
      </c>
      <c r="L10" s="178" t="s">
        <v>9369</v>
      </c>
      <c r="M10" s="180">
        <v>319160900</v>
      </c>
      <c r="N10" s="180">
        <v>37467</v>
      </c>
      <c r="O10" s="178">
        <v>6</v>
      </c>
    </row>
    <row r="11" spans="1:15" ht="27" x14ac:dyDescent="0.3">
      <c r="A11" s="177">
        <v>43628</v>
      </c>
      <c r="B11" s="178">
        <v>137</v>
      </c>
      <c r="C11" s="179">
        <v>2.7E-2</v>
      </c>
      <c r="D11" s="178">
        <v>252</v>
      </c>
      <c r="E11" s="179">
        <v>1.4E-2</v>
      </c>
      <c r="F11" s="180">
        <v>30929</v>
      </c>
      <c r="G11" s="179">
        <v>1.0999999999999999E-2</v>
      </c>
      <c r="H11" s="179">
        <v>6.6000000000000003E-2</v>
      </c>
      <c r="I11" s="180">
        <v>15553000</v>
      </c>
      <c r="J11" s="178" t="s">
        <v>9370</v>
      </c>
      <c r="K11" s="180">
        <v>2036</v>
      </c>
      <c r="L11" s="178" t="s">
        <v>9371</v>
      </c>
      <c r="M11" s="180">
        <v>334713900</v>
      </c>
      <c r="N11" s="180">
        <v>39503</v>
      </c>
      <c r="O11" s="178">
        <v>9</v>
      </c>
    </row>
    <row r="12" spans="1:15" ht="27" x14ac:dyDescent="0.3">
      <c r="A12" s="177">
        <v>43629</v>
      </c>
      <c r="B12" s="178">
        <v>82</v>
      </c>
      <c r="C12" s="179">
        <v>1.4E-2</v>
      </c>
      <c r="D12" s="178">
        <v>108</v>
      </c>
      <c r="E12" s="179">
        <v>6.0000000000000001E-3</v>
      </c>
      <c r="F12" s="180">
        <v>13917</v>
      </c>
      <c r="G12" s="179">
        <v>5.0000000000000001E-3</v>
      </c>
      <c r="H12" s="179">
        <v>5.2999999999999999E-2</v>
      </c>
      <c r="I12" s="180">
        <v>5925500</v>
      </c>
      <c r="J12" s="178" t="s">
        <v>9372</v>
      </c>
      <c r="K12" s="178">
        <v>744</v>
      </c>
      <c r="L12" s="178" t="s">
        <v>9373</v>
      </c>
      <c r="M12" s="180">
        <v>340639400</v>
      </c>
      <c r="N12" s="180">
        <v>40247</v>
      </c>
      <c r="O12" s="178">
        <v>17</v>
      </c>
    </row>
    <row r="13" spans="1:15" ht="27" x14ac:dyDescent="0.3">
      <c r="A13" s="177">
        <v>43630</v>
      </c>
      <c r="B13" s="178">
        <v>76</v>
      </c>
      <c r="C13" s="179">
        <v>1.2999999999999999E-2</v>
      </c>
      <c r="D13" s="178">
        <v>112</v>
      </c>
      <c r="E13" s="179">
        <v>6.0000000000000001E-3</v>
      </c>
      <c r="F13" s="180">
        <v>14656</v>
      </c>
      <c r="G13" s="179">
        <v>5.0000000000000001E-3</v>
      </c>
      <c r="H13" s="179">
        <v>5.8000000000000003E-2</v>
      </c>
      <c r="I13" s="180">
        <v>7406500</v>
      </c>
      <c r="J13" s="178" t="s">
        <v>9374</v>
      </c>
      <c r="K13" s="178">
        <v>848</v>
      </c>
      <c r="L13" s="178" t="s">
        <v>9375</v>
      </c>
      <c r="M13" s="180">
        <v>348045900</v>
      </c>
      <c r="N13" s="180">
        <v>41095</v>
      </c>
      <c r="O13" s="178">
        <v>13</v>
      </c>
    </row>
    <row r="14" spans="1:15" ht="27" x14ac:dyDescent="0.3">
      <c r="A14" s="177">
        <v>43631</v>
      </c>
      <c r="B14" s="178">
        <v>62</v>
      </c>
      <c r="C14" s="179">
        <v>0.01</v>
      </c>
      <c r="D14" s="178">
        <v>82</v>
      </c>
      <c r="E14" s="179">
        <v>4.0000000000000001E-3</v>
      </c>
      <c r="F14" s="180">
        <v>10969</v>
      </c>
      <c r="G14" s="179">
        <v>3.0000000000000001E-3</v>
      </c>
      <c r="H14" s="179">
        <v>6.9000000000000006E-2</v>
      </c>
      <c r="I14" s="180">
        <v>6700500</v>
      </c>
      <c r="J14" s="178" t="s">
        <v>9376</v>
      </c>
      <c r="K14" s="178">
        <v>756</v>
      </c>
      <c r="L14" s="178" t="s">
        <v>9377</v>
      </c>
      <c r="M14" s="180">
        <v>354746400</v>
      </c>
      <c r="N14" s="180">
        <v>41851</v>
      </c>
      <c r="O14" s="178">
        <v>17</v>
      </c>
    </row>
    <row r="15" spans="1:15" ht="27" x14ac:dyDescent="0.3">
      <c r="A15" s="177">
        <v>43632</v>
      </c>
      <c r="B15" s="178">
        <v>61</v>
      </c>
      <c r="C15" s="179">
        <v>8.9999999999999993E-3</v>
      </c>
      <c r="D15" s="178">
        <v>74</v>
      </c>
      <c r="E15" s="179">
        <v>4.0000000000000001E-3</v>
      </c>
      <c r="F15" s="180">
        <v>9672</v>
      </c>
      <c r="G15" s="179">
        <v>3.0000000000000001E-3</v>
      </c>
      <c r="H15" s="179">
        <v>6.6000000000000003E-2</v>
      </c>
      <c r="I15" s="180">
        <v>5578600</v>
      </c>
      <c r="J15" s="178" t="s">
        <v>9378</v>
      </c>
      <c r="K15" s="178">
        <v>640</v>
      </c>
      <c r="L15" s="178" t="s">
        <v>9379</v>
      </c>
      <c r="M15" s="180">
        <v>360325000</v>
      </c>
      <c r="N15" s="180">
        <v>42491</v>
      </c>
      <c r="O15" s="178">
        <v>17</v>
      </c>
    </row>
    <row r="16" spans="1:15" ht="27" x14ac:dyDescent="0.3">
      <c r="A16" s="177">
        <v>43633</v>
      </c>
      <c r="B16" s="178">
        <v>66</v>
      </c>
      <c r="C16" s="179">
        <v>1.2E-2</v>
      </c>
      <c r="D16" s="178">
        <v>92</v>
      </c>
      <c r="E16" s="179">
        <v>5.0000000000000001E-3</v>
      </c>
      <c r="F16" s="180">
        <v>12201</v>
      </c>
      <c r="G16" s="179">
        <v>4.0000000000000001E-3</v>
      </c>
      <c r="H16" s="179">
        <v>4.8000000000000001E-2</v>
      </c>
      <c r="I16" s="180">
        <v>4502000</v>
      </c>
      <c r="J16" s="178" t="s">
        <v>9380</v>
      </c>
      <c r="K16" s="178">
        <v>582</v>
      </c>
      <c r="L16" s="178" t="s">
        <v>9381</v>
      </c>
      <c r="M16" s="180">
        <v>364827000</v>
      </c>
      <c r="N16" s="180">
        <v>43073</v>
      </c>
      <c r="O16" s="178">
        <v>15</v>
      </c>
    </row>
    <row r="17" spans="1:15" ht="27" x14ac:dyDescent="0.3">
      <c r="A17" s="177">
        <v>43634</v>
      </c>
      <c r="B17" s="178">
        <v>70</v>
      </c>
      <c r="C17" s="179">
        <v>1.2999999999999999E-2</v>
      </c>
      <c r="D17" s="178">
        <v>94</v>
      </c>
      <c r="E17" s="179">
        <v>5.0000000000000001E-3</v>
      </c>
      <c r="F17" s="180">
        <v>12384</v>
      </c>
      <c r="G17" s="179">
        <v>4.0000000000000001E-3</v>
      </c>
      <c r="H17" s="179">
        <v>4.7E-2</v>
      </c>
      <c r="I17" s="180">
        <v>4610500</v>
      </c>
      <c r="J17" s="178" t="s">
        <v>9382</v>
      </c>
      <c r="K17" s="178">
        <v>580</v>
      </c>
      <c r="L17" s="178" t="s">
        <v>9383</v>
      </c>
      <c r="M17" s="180">
        <v>369437500</v>
      </c>
      <c r="N17" s="180">
        <v>43653</v>
      </c>
      <c r="O17" s="178">
        <v>21</v>
      </c>
    </row>
    <row r="18" spans="1:15" ht="27" x14ac:dyDescent="0.3">
      <c r="A18" s="177">
        <v>43635</v>
      </c>
      <c r="B18" s="178">
        <v>6</v>
      </c>
      <c r="C18" s="179">
        <v>1E-3</v>
      </c>
      <c r="D18" s="178">
        <v>6</v>
      </c>
      <c r="E18" s="179">
        <v>0</v>
      </c>
      <c r="F18" s="178">
        <v>750</v>
      </c>
      <c r="G18" s="179">
        <v>0</v>
      </c>
      <c r="H18" s="179">
        <v>0.23599999999999999</v>
      </c>
      <c r="I18" s="180">
        <v>1224000</v>
      </c>
      <c r="J18" s="178" t="s">
        <v>9384</v>
      </c>
      <c r="K18" s="178">
        <v>177</v>
      </c>
      <c r="L18" s="178" t="s">
        <v>9385</v>
      </c>
      <c r="M18" s="180">
        <v>370661500</v>
      </c>
      <c r="N18" s="180">
        <v>43830</v>
      </c>
      <c r="O18" s="178">
        <v>30</v>
      </c>
    </row>
    <row r="19" spans="1:15" ht="27" x14ac:dyDescent="0.3">
      <c r="A19" s="177">
        <v>43636</v>
      </c>
      <c r="B19" s="178">
        <v>5</v>
      </c>
      <c r="C19" s="179">
        <v>1E-3</v>
      </c>
      <c r="D19" s="178">
        <v>5</v>
      </c>
      <c r="E19" s="179">
        <v>0</v>
      </c>
      <c r="F19" s="178">
        <v>546</v>
      </c>
      <c r="G19" s="179">
        <v>0</v>
      </c>
      <c r="H19" s="179">
        <v>8.2000000000000003E-2</v>
      </c>
      <c r="I19" s="180">
        <v>359000</v>
      </c>
      <c r="J19" s="178" t="s">
        <v>9386</v>
      </c>
      <c r="K19" s="178">
        <v>45</v>
      </c>
      <c r="L19" s="178" t="s">
        <v>9387</v>
      </c>
      <c r="M19" s="180">
        <v>371020500</v>
      </c>
      <c r="N19" s="180">
        <v>43875</v>
      </c>
      <c r="O19" s="178">
        <v>54</v>
      </c>
    </row>
    <row r="20" spans="1:15" ht="27" x14ac:dyDescent="0.3">
      <c r="A20" s="177">
        <v>43637</v>
      </c>
      <c r="B20" s="178">
        <v>3</v>
      </c>
      <c r="C20" s="179">
        <v>0</v>
      </c>
      <c r="D20" s="178">
        <v>3</v>
      </c>
      <c r="E20" s="179">
        <v>0</v>
      </c>
      <c r="F20" s="178">
        <v>241</v>
      </c>
      <c r="G20" s="179">
        <v>0</v>
      </c>
      <c r="H20" s="179">
        <v>6.6000000000000003E-2</v>
      </c>
      <c r="I20" s="180">
        <v>130000</v>
      </c>
      <c r="J20" s="178" t="s">
        <v>9388</v>
      </c>
      <c r="K20" s="178">
        <v>16</v>
      </c>
      <c r="L20" s="178" t="s">
        <v>9389</v>
      </c>
      <c r="M20" s="180">
        <v>371150500</v>
      </c>
      <c r="N20" s="180">
        <v>43891</v>
      </c>
      <c r="O20" s="178">
        <v>81</v>
      </c>
    </row>
    <row r="21" spans="1:15" ht="27" x14ac:dyDescent="0.3">
      <c r="A21" s="177">
        <v>43638</v>
      </c>
      <c r="B21" s="178">
        <v>4</v>
      </c>
      <c r="C21" s="179">
        <v>1E-3</v>
      </c>
      <c r="D21" s="178">
        <v>4</v>
      </c>
      <c r="E21" s="179">
        <v>0</v>
      </c>
      <c r="F21" s="178">
        <v>500</v>
      </c>
      <c r="G21" s="179">
        <v>0</v>
      </c>
      <c r="H21" s="179">
        <v>0.1</v>
      </c>
      <c r="I21" s="180">
        <v>408600</v>
      </c>
      <c r="J21" s="178" t="s">
        <v>9390</v>
      </c>
      <c r="K21" s="178">
        <v>50</v>
      </c>
      <c r="L21" s="178" t="s">
        <v>9391</v>
      </c>
      <c r="M21" s="180">
        <v>371559100</v>
      </c>
      <c r="N21" s="180">
        <v>43941</v>
      </c>
      <c r="O21" s="178">
        <v>60</v>
      </c>
    </row>
    <row r="22" spans="1:15" ht="27" x14ac:dyDescent="0.3">
      <c r="A22" s="177">
        <v>43639</v>
      </c>
      <c r="B22" s="178">
        <v>5</v>
      </c>
      <c r="C22" s="179">
        <v>1E-3</v>
      </c>
      <c r="D22" s="178">
        <v>5</v>
      </c>
      <c r="E22" s="179">
        <v>0</v>
      </c>
      <c r="F22" s="178">
        <v>625</v>
      </c>
      <c r="G22" s="179">
        <v>0</v>
      </c>
      <c r="H22" s="179">
        <v>9.6000000000000002E-2</v>
      </c>
      <c r="I22" s="180">
        <v>468000</v>
      </c>
      <c r="J22" s="178" t="s">
        <v>9392</v>
      </c>
      <c r="K22" s="178">
        <v>60</v>
      </c>
      <c r="L22" s="178" t="s">
        <v>9393</v>
      </c>
      <c r="M22" s="180">
        <v>372027100</v>
      </c>
      <c r="N22" s="180">
        <v>44001</v>
      </c>
      <c r="O22" s="178">
        <v>48</v>
      </c>
    </row>
    <row r="23" spans="1:15" ht="27" x14ac:dyDescent="0.3">
      <c r="A23" s="177">
        <v>43640</v>
      </c>
      <c r="B23" s="178">
        <v>4</v>
      </c>
      <c r="C23" s="179">
        <v>1E-3</v>
      </c>
      <c r="D23" s="178">
        <v>4</v>
      </c>
      <c r="E23" s="179">
        <v>0</v>
      </c>
      <c r="F23" s="178">
        <v>530</v>
      </c>
      <c r="G23" s="179">
        <v>0</v>
      </c>
      <c r="H23" s="179">
        <v>0.20399999999999999</v>
      </c>
      <c r="I23" s="180">
        <v>953000</v>
      </c>
      <c r="J23" s="178" t="s">
        <v>9394</v>
      </c>
      <c r="K23" s="178">
        <v>108</v>
      </c>
      <c r="L23" s="178" t="s">
        <v>9395</v>
      </c>
      <c r="M23" s="180">
        <v>372980100</v>
      </c>
      <c r="N23" s="180">
        <v>44109</v>
      </c>
      <c r="O23" s="178">
        <v>44</v>
      </c>
    </row>
    <row r="24" spans="1:15" ht="27" x14ac:dyDescent="0.3">
      <c r="A24" s="177">
        <v>43641</v>
      </c>
      <c r="B24" s="178">
        <v>10</v>
      </c>
      <c r="C24" s="179">
        <v>2E-3</v>
      </c>
      <c r="D24" s="178">
        <v>10</v>
      </c>
      <c r="E24" s="179">
        <v>1E-3</v>
      </c>
      <c r="F24" s="180">
        <v>1016</v>
      </c>
      <c r="G24" s="179">
        <v>0</v>
      </c>
      <c r="H24" s="179">
        <v>0.126</v>
      </c>
      <c r="I24" s="180">
        <v>866000</v>
      </c>
      <c r="J24" s="178" t="s">
        <v>9396</v>
      </c>
      <c r="K24" s="178">
        <v>128</v>
      </c>
      <c r="L24" s="178" t="s">
        <v>9397</v>
      </c>
      <c r="M24" s="180">
        <v>373846100</v>
      </c>
      <c r="N24" s="180">
        <v>44237</v>
      </c>
      <c r="O24" s="178">
        <v>40</v>
      </c>
    </row>
    <row r="25" spans="1:15" ht="27" x14ac:dyDescent="0.3">
      <c r="A25" s="177">
        <v>43642</v>
      </c>
      <c r="B25" s="178">
        <v>3</v>
      </c>
      <c r="C25" s="179">
        <v>1E-3</v>
      </c>
      <c r="D25" s="178">
        <v>3</v>
      </c>
      <c r="E25" s="179">
        <v>0</v>
      </c>
      <c r="F25" s="178">
        <v>261</v>
      </c>
      <c r="G25" s="179">
        <v>0</v>
      </c>
      <c r="H25" s="179">
        <v>0.11899999999999999</v>
      </c>
      <c r="I25" s="180">
        <v>287000</v>
      </c>
      <c r="J25" s="178" t="s">
        <v>9398</v>
      </c>
      <c r="K25" s="178">
        <v>31</v>
      </c>
      <c r="L25" s="178" t="s">
        <v>9399</v>
      </c>
      <c r="M25" s="180">
        <v>374133100</v>
      </c>
      <c r="N25" s="180">
        <v>44268</v>
      </c>
      <c r="O25" s="178">
        <v>59</v>
      </c>
    </row>
    <row r="26" spans="1:15" ht="27" x14ac:dyDescent="0.3">
      <c r="A26" s="177">
        <v>43643</v>
      </c>
      <c r="B26" s="178">
        <v>2</v>
      </c>
      <c r="C26" s="179">
        <v>0</v>
      </c>
      <c r="D26" s="178">
        <v>2</v>
      </c>
      <c r="E26" s="179">
        <v>0</v>
      </c>
      <c r="F26" s="178">
        <v>148</v>
      </c>
      <c r="G26" s="179">
        <v>0</v>
      </c>
      <c r="H26" s="179">
        <v>0.50700000000000001</v>
      </c>
      <c r="I26" s="180">
        <v>525000</v>
      </c>
      <c r="J26" s="178" t="s">
        <v>9400</v>
      </c>
      <c r="K26" s="178">
        <v>75</v>
      </c>
      <c r="L26" s="178" t="s">
        <v>9401</v>
      </c>
      <c r="M26" s="180">
        <v>374658100</v>
      </c>
      <c r="N26" s="180">
        <v>44343</v>
      </c>
      <c r="O26" s="178">
        <v>49</v>
      </c>
    </row>
    <row r="27" spans="1:15" ht="27" x14ac:dyDescent="0.3">
      <c r="A27" s="177">
        <v>43644</v>
      </c>
      <c r="B27" s="178">
        <v>1</v>
      </c>
      <c r="C27" s="179">
        <v>0</v>
      </c>
      <c r="D27" s="178">
        <v>1</v>
      </c>
      <c r="E27" s="179">
        <v>0</v>
      </c>
      <c r="F27" s="178">
        <v>138</v>
      </c>
      <c r="G27" s="179">
        <v>0</v>
      </c>
      <c r="H27" s="179">
        <v>1.4E-2</v>
      </c>
      <c r="I27" s="180">
        <v>15000</v>
      </c>
      <c r="J27" s="178" t="s">
        <v>9402</v>
      </c>
      <c r="K27" s="178">
        <v>2</v>
      </c>
      <c r="L27" s="178" t="s">
        <v>9403</v>
      </c>
      <c r="M27" s="180">
        <v>374673100</v>
      </c>
      <c r="N27" s="180">
        <v>44345</v>
      </c>
      <c r="O27" s="178">
        <v>73</v>
      </c>
    </row>
    <row r="28" spans="1:15" ht="27" x14ac:dyDescent="0.3">
      <c r="A28" s="177">
        <v>43645</v>
      </c>
      <c r="B28" s="178">
        <v>2</v>
      </c>
      <c r="C28" s="179">
        <v>0</v>
      </c>
      <c r="D28" s="178">
        <v>2</v>
      </c>
      <c r="E28" s="179">
        <v>0</v>
      </c>
      <c r="F28" s="178">
        <v>120</v>
      </c>
      <c r="G28" s="179">
        <v>0</v>
      </c>
      <c r="H28" s="179">
        <v>0.32500000000000001</v>
      </c>
      <c r="I28" s="180">
        <v>348000</v>
      </c>
      <c r="J28" s="178" t="s">
        <v>9404</v>
      </c>
      <c r="K28" s="178">
        <v>39</v>
      </c>
      <c r="L28" s="178" t="s">
        <v>9405</v>
      </c>
      <c r="M28" s="180">
        <v>375021100</v>
      </c>
      <c r="N28" s="180">
        <v>44384</v>
      </c>
      <c r="O28" s="178">
        <v>54</v>
      </c>
    </row>
    <row r="29" spans="1:15" ht="27" x14ac:dyDescent="0.3">
      <c r="A29" s="177">
        <v>43646</v>
      </c>
      <c r="B29" s="178">
        <v>1</v>
      </c>
      <c r="C29" s="179">
        <v>0</v>
      </c>
      <c r="D29" s="178">
        <v>1</v>
      </c>
      <c r="E29" s="179">
        <v>0</v>
      </c>
      <c r="F29" s="178">
        <v>138</v>
      </c>
      <c r="G29" s="179">
        <v>0</v>
      </c>
      <c r="H29" s="179">
        <v>4.2999999999999997E-2</v>
      </c>
      <c r="I29" s="180">
        <v>55000</v>
      </c>
      <c r="J29" s="178" t="s">
        <v>9406</v>
      </c>
      <c r="K29" s="178">
        <v>6</v>
      </c>
      <c r="L29" s="178" t="s">
        <v>9407</v>
      </c>
      <c r="M29" s="180">
        <v>375076100</v>
      </c>
      <c r="N29" s="180">
        <v>44390</v>
      </c>
      <c r="O29" s="178">
        <v>67</v>
      </c>
    </row>
    <row r="30" spans="1:15" ht="27" x14ac:dyDescent="0.3">
      <c r="A30" s="177">
        <v>43647</v>
      </c>
      <c r="B30" s="178">
        <v>1</v>
      </c>
      <c r="C30" s="179">
        <v>0</v>
      </c>
      <c r="D30" s="178">
        <v>1</v>
      </c>
      <c r="E30" s="179">
        <v>0</v>
      </c>
      <c r="F30" s="178">
        <v>52</v>
      </c>
      <c r="G30" s="179">
        <v>0</v>
      </c>
      <c r="H30" s="179">
        <v>3.7999999999999999E-2</v>
      </c>
      <c r="I30" s="180">
        <v>18000</v>
      </c>
      <c r="J30" s="178" t="s">
        <v>9408</v>
      </c>
      <c r="K30" s="178">
        <v>2</v>
      </c>
      <c r="L30" s="178" t="s">
        <v>9409</v>
      </c>
      <c r="M30" s="180">
        <v>375094100</v>
      </c>
      <c r="N30" s="180">
        <v>44392</v>
      </c>
      <c r="O30" s="178">
        <v>74</v>
      </c>
    </row>
    <row r="31" spans="1:15" ht="27" x14ac:dyDescent="0.3">
      <c r="A31" s="177">
        <v>43648</v>
      </c>
      <c r="B31" s="178">
        <v>4</v>
      </c>
      <c r="C31" s="179">
        <v>1E-3</v>
      </c>
      <c r="D31" s="178">
        <v>4</v>
      </c>
      <c r="E31" s="179">
        <v>0</v>
      </c>
      <c r="F31" s="178">
        <v>295</v>
      </c>
      <c r="G31" s="179">
        <v>0</v>
      </c>
      <c r="H31" s="179">
        <v>0.156</v>
      </c>
      <c r="I31" s="180">
        <v>338000</v>
      </c>
      <c r="J31" s="178" t="s">
        <v>9410</v>
      </c>
      <c r="K31" s="178">
        <v>46</v>
      </c>
      <c r="L31" s="178" t="s">
        <v>9411</v>
      </c>
      <c r="M31" s="180">
        <v>375432100</v>
      </c>
      <c r="N31" s="180">
        <v>44438</v>
      </c>
      <c r="O31" s="178">
        <v>51</v>
      </c>
    </row>
    <row r="32" spans="1:15" ht="27" x14ac:dyDescent="0.3">
      <c r="A32" s="177">
        <v>43649</v>
      </c>
      <c r="B32" s="178">
        <v>2</v>
      </c>
      <c r="C32" s="179">
        <v>0</v>
      </c>
      <c r="D32" s="178">
        <v>2</v>
      </c>
      <c r="E32" s="179">
        <v>0</v>
      </c>
      <c r="F32" s="178">
        <v>190</v>
      </c>
      <c r="G32" s="179">
        <v>0</v>
      </c>
      <c r="H32" s="179">
        <v>7.3999999999999996E-2</v>
      </c>
      <c r="I32" s="180">
        <v>123000</v>
      </c>
      <c r="J32" s="178" t="s">
        <v>9412</v>
      </c>
      <c r="K32" s="178">
        <v>14</v>
      </c>
      <c r="L32" s="178" t="s">
        <v>9413</v>
      </c>
      <c r="M32" s="180">
        <v>375555100</v>
      </c>
      <c r="N32" s="180">
        <v>44452</v>
      </c>
      <c r="O32" s="178">
        <v>69</v>
      </c>
    </row>
    <row r="33" spans="1:15" ht="27" x14ac:dyDescent="0.3">
      <c r="A33" s="177">
        <v>43650</v>
      </c>
      <c r="B33" s="178">
        <v>1</v>
      </c>
      <c r="C33" s="179">
        <v>0</v>
      </c>
      <c r="D33" s="178">
        <v>2</v>
      </c>
      <c r="E33" s="179">
        <v>0</v>
      </c>
      <c r="F33" s="178">
        <v>180</v>
      </c>
      <c r="G33" s="179">
        <v>0</v>
      </c>
      <c r="H33" s="179">
        <v>0.183</v>
      </c>
      <c r="I33" s="180">
        <v>228000</v>
      </c>
      <c r="J33" s="178" t="s">
        <v>9414</v>
      </c>
      <c r="K33" s="178">
        <v>33</v>
      </c>
      <c r="L33" s="178" t="s">
        <v>9415</v>
      </c>
      <c r="M33" s="180">
        <v>375783100</v>
      </c>
      <c r="N33" s="180">
        <v>44485</v>
      </c>
      <c r="O33" s="178">
        <v>72</v>
      </c>
    </row>
    <row r="34" spans="1:15" ht="27" x14ac:dyDescent="0.3">
      <c r="A34" s="177">
        <v>43651</v>
      </c>
      <c r="B34" s="178">
        <v>1</v>
      </c>
      <c r="C34" s="179">
        <v>0</v>
      </c>
      <c r="D34" s="178">
        <v>1</v>
      </c>
      <c r="E34" s="179">
        <v>0</v>
      </c>
      <c r="F34" s="178">
        <v>51</v>
      </c>
      <c r="G34" s="179">
        <v>0</v>
      </c>
      <c r="H34" s="179">
        <v>0.314</v>
      </c>
      <c r="I34" s="180">
        <v>106000</v>
      </c>
      <c r="J34" s="178" t="s">
        <v>9416</v>
      </c>
      <c r="K34" s="178">
        <v>16</v>
      </c>
      <c r="L34" s="178" t="s">
        <v>9417</v>
      </c>
      <c r="M34" s="180">
        <v>375889100</v>
      </c>
      <c r="N34" s="180">
        <v>44501</v>
      </c>
      <c r="O34" s="178">
        <v>85</v>
      </c>
    </row>
    <row r="35" spans="1:15" ht="27" x14ac:dyDescent="0.3">
      <c r="A35" s="177">
        <v>43652</v>
      </c>
      <c r="B35" s="178">
        <v>1</v>
      </c>
      <c r="C35" s="179">
        <v>0</v>
      </c>
      <c r="D35" s="178">
        <v>1</v>
      </c>
      <c r="E35" s="179">
        <v>0</v>
      </c>
      <c r="F35" s="178">
        <v>52</v>
      </c>
      <c r="G35" s="179">
        <v>0</v>
      </c>
      <c r="H35" s="179">
        <v>1.9E-2</v>
      </c>
      <c r="I35" s="180">
        <v>9000</v>
      </c>
      <c r="J35" s="178" t="s">
        <v>451</v>
      </c>
      <c r="K35" s="178">
        <v>1</v>
      </c>
      <c r="L35" s="178" t="s">
        <v>312</v>
      </c>
      <c r="M35" s="180">
        <v>375898100</v>
      </c>
      <c r="N35" s="180">
        <v>44502</v>
      </c>
      <c r="O35" s="178">
        <v>96</v>
      </c>
    </row>
    <row r="36" spans="1:15" ht="27" x14ac:dyDescent="0.3">
      <c r="A36" s="177">
        <v>43653</v>
      </c>
      <c r="B36" s="178">
        <v>1</v>
      </c>
      <c r="C36" s="179">
        <v>0</v>
      </c>
      <c r="D36" s="178">
        <v>1</v>
      </c>
      <c r="E36" s="179">
        <v>0</v>
      </c>
      <c r="F36" s="178">
        <v>52</v>
      </c>
      <c r="G36" s="179">
        <v>0</v>
      </c>
      <c r="H36" s="179">
        <v>5.8000000000000003E-2</v>
      </c>
      <c r="I36" s="180">
        <v>27000</v>
      </c>
      <c r="J36" s="178" t="s">
        <v>9418</v>
      </c>
      <c r="K36" s="178">
        <v>3</v>
      </c>
      <c r="L36" s="178" t="s">
        <v>5520</v>
      </c>
      <c r="M36" s="180">
        <v>375925100</v>
      </c>
      <c r="N36" s="180">
        <v>44505</v>
      </c>
      <c r="O36" s="178">
        <v>96</v>
      </c>
    </row>
    <row r="37" spans="1:15" ht="27" x14ac:dyDescent="0.3">
      <c r="A37" s="177">
        <v>43654</v>
      </c>
      <c r="B37" s="178">
        <v>1</v>
      </c>
      <c r="C37" s="179">
        <v>0</v>
      </c>
      <c r="D37" s="178">
        <v>1</v>
      </c>
      <c r="E37" s="179">
        <v>0</v>
      </c>
      <c r="F37" s="178">
        <v>52</v>
      </c>
      <c r="G37" s="179">
        <v>0</v>
      </c>
      <c r="H37" s="179">
        <v>7.6999999999999999E-2</v>
      </c>
      <c r="I37" s="180">
        <v>36000</v>
      </c>
      <c r="J37" s="178" t="s">
        <v>9419</v>
      </c>
      <c r="K37" s="178">
        <v>4</v>
      </c>
      <c r="L37" s="178" t="s">
        <v>2431</v>
      </c>
      <c r="M37" s="180">
        <v>375961100</v>
      </c>
      <c r="N37" s="180">
        <v>44509</v>
      </c>
      <c r="O37" s="178">
        <v>91</v>
      </c>
    </row>
    <row r="38" spans="1:15" x14ac:dyDescent="0.3">
      <c r="A38" s="177">
        <v>43655</v>
      </c>
    </row>
    <row r="39" spans="1:15" x14ac:dyDescent="0.3">
      <c r="A39" s="177">
        <v>43656</v>
      </c>
    </row>
    <row r="40" spans="1:15" x14ac:dyDescent="0.3">
      <c r="A40" s="177">
        <v>43657</v>
      </c>
    </row>
    <row r="41" spans="1:15" x14ac:dyDescent="0.3">
      <c r="A41" s="177">
        <v>43658</v>
      </c>
    </row>
    <row r="42" spans="1:15" x14ac:dyDescent="0.3">
      <c r="A42" s="177">
        <v>43661</v>
      </c>
    </row>
    <row r="43" spans="1:15" x14ac:dyDescent="0.3">
      <c r="A43" s="177">
        <v>43662</v>
      </c>
    </row>
    <row r="44" spans="1:15" x14ac:dyDescent="0.3">
      <c r="A44" s="177">
        <v>43663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25D78-61B5-4929-B63B-DEC2C936B3E4}">
  <dimension ref="A1:O46"/>
  <sheetViews>
    <sheetView workbookViewId="0">
      <selection activeCell="B5" sqref="B5:O11"/>
    </sheetView>
  </sheetViews>
  <sheetFormatPr defaultRowHeight="16.5" x14ac:dyDescent="0.3"/>
  <sheetData>
    <row r="1" spans="1:15" ht="19.5" x14ac:dyDescent="0.3">
      <c r="A1" s="197" t="s">
        <v>9420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88" t="s">
        <v>111</v>
      </c>
      <c r="B4" s="183" t="s">
        <v>112</v>
      </c>
      <c r="C4" s="183" t="s">
        <v>113</v>
      </c>
      <c r="D4" s="183" t="s">
        <v>114</v>
      </c>
      <c r="E4" s="183" t="s">
        <v>115</v>
      </c>
      <c r="F4" s="183" t="s">
        <v>116</v>
      </c>
      <c r="G4" s="183" t="s">
        <v>117</v>
      </c>
      <c r="H4" s="183" t="s">
        <v>118</v>
      </c>
      <c r="I4" s="183" t="s">
        <v>119</v>
      </c>
      <c r="J4" s="183" t="s">
        <v>120</v>
      </c>
      <c r="K4" s="183" t="s">
        <v>121</v>
      </c>
      <c r="L4" s="183" t="s">
        <v>122</v>
      </c>
      <c r="M4" s="183" t="s">
        <v>123</v>
      </c>
      <c r="N4" s="183" t="s">
        <v>124</v>
      </c>
      <c r="O4" s="189" t="s">
        <v>125</v>
      </c>
    </row>
    <row r="5" spans="1:15" ht="27" x14ac:dyDescent="0.3">
      <c r="A5" s="184">
        <v>43582</v>
      </c>
      <c r="B5" s="185">
        <v>179</v>
      </c>
      <c r="C5" s="186">
        <v>3.3000000000000002E-2</v>
      </c>
      <c r="D5" s="185">
        <v>355</v>
      </c>
      <c r="E5" s="186">
        <v>0.02</v>
      </c>
      <c r="F5" s="187">
        <v>41454</v>
      </c>
      <c r="G5" s="186">
        <v>1.4999999999999999E-2</v>
      </c>
      <c r="H5" s="186">
        <v>9.2999999999999999E-2</v>
      </c>
      <c r="I5" s="187">
        <v>28147300</v>
      </c>
      <c r="J5" s="185" t="s">
        <v>9421</v>
      </c>
      <c r="K5" s="187">
        <v>3867</v>
      </c>
      <c r="L5" s="185" t="s">
        <v>9422</v>
      </c>
      <c r="M5" s="187">
        <v>45371300</v>
      </c>
      <c r="N5" s="187">
        <v>5956</v>
      </c>
      <c r="O5" s="185">
        <v>7</v>
      </c>
    </row>
    <row r="6" spans="1:15" ht="27" x14ac:dyDescent="0.3">
      <c r="A6" s="184">
        <v>43583</v>
      </c>
      <c r="B6" s="185">
        <v>185</v>
      </c>
      <c r="C6" s="186">
        <v>3.3000000000000002E-2</v>
      </c>
      <c r="D6" s="185">
        <v>345</v>
      </c>
      <c r="E6" s="186">
        <v>1.9E-2</v>
      </c>
      <c r="F6" s="187">
        <v>40024</v>
      </c>
      <c r="G6" s="186">
        <v>1.4E-2</v>
      </c>
      <c r="H6" s="186">
        <v>7.8E-2</v>
      </c>
      <c r="I6" s="187">
        <v>26454610</v>
      </c>
      <c r="J6" s="185" t="s">
        <v>9423</v>
      </c>
      <c r="K6" s="187">
        <v>3139</v>
      </c>
      <c r="L6" s="185" t="s">
        <v>9424</v>
      </c>
      <c r="M6" s="187">
        <v>71825910</v>
      </c>
      <c r="N6" s="187">
        <v>9095</v>
      </c>
      <c r="O6" s="185">
        <v>8</v>
      </c>
    </row>
    <row r="7" spans="1:15" ht="27" x14ac:dyDescent="0.3">
      <c r="A7" s="184">
        <v>43585</v>
      </c>
      <c r="B7" s="185">
        <v>166</v>
      </c>
      <c r="C7" s="186">
        <v>2.7E-2</v>
      </c>
      <c r="D7" s="185">
        <v>283</v>
      </c>
      <c r="E7" s="186">
        <v>1.4999999999999999E-2</v>
      </c>
      <c r="F7" s="187">
        <v>33496</v>
      </c>
      <c r="G7" s="186">
        <v>1.0999999999999999E-2</v>
      </c>
      <c r="H7" s="186">
        <v>0.124</v>
      </c>
      <c r="I7" s="187">
        <v>35265730</v>
      </c>
      <c r="J7" s="185" t="s">
        <v>9425</v>
      </c>
      <c r="K7" s="187">
        <v>4143</v>
      </c>
      <c r="L7" s="185" t="s">
        <v>9426</v>
      </c>
      <c r="M7" s="187">
        <v>107091640</v>
      </c>
      <c r="N7" s="187">
        <v>13238</v>
      </c>
      <c r="O7" s="185">
        <v>8</v>
      </c>
    </row>
    <row r="8" spans="1:15" ht="27" x14ac:dyDescent="0.3">
      <c r="A8" s="184">
        <v>43586</v>
      </c>
      <c r="B8" s="185">
        <v>168</v>
      </c>
      <c r="C8" s="186">
        <v>2.8000000000000001E-2</v>
      </c>
      <c r="D8" s="185">
        <v>277</v>
      </c>
      <c r="E8" s="186">
        <v>1.4999999999999999E-2</v>
      </c>
      <c r="F8" s="187">
        <v>32105</v>
      </c>
      <c r="G8" s="186">
        <v>1.0999999999999999E-2</v>
      </c>
      <c r="H8" s="186">
        <v>0.12</v>
      </c>
      <c r="I8" s="187">
        <v>32486690</v>
      </c>
      <c r="J8" s="185" t="s">
        <v>9427</v>
      </c>
      <c r="K8" s="187">
        <v>3867</v>
      </c>
      <c r="L8" s="185" t="s">
        <v>9428</v>
      </c>
      <c r="M8" s="187">
        <v>139578330</v>
      </c>
      <c r="N8" s="187">
        <v>17105</v>
      </c>
      <c r="O8" s="185">
        <v>8</v>
      </c>
    </row>
    <row r="9" spans="1:15" ht="27" x14ac:dyDescent="0.3">
      <c r="A9" s="184">
        <v>43619</v>
      </c>
      <c r="B9" s="185">
        <v>170</v>
      </c>
      <c r="C9" s="186">
        <v>3.2000000000000001E-2</v>
      </c>
      <c r="D9" s="185">
        <v>311</v>
      </c>
      <c r="E9" s="186">
        <v>1.7999999999999999E-2</v>
      </c>
      <c r="F9" s="187">
        <v>35192</v>
      </c>
      <c r="G9" s="186">
        <v>1.2999999999999999E-2</v>
      </c>
      <c r="H9" s="186">
        <v>8.2000000000000003E-2</v>
      </c>
      <c r="I9" s="187">
        <v>21757220</v>
      </c>
      <c r="J9" s="185" t="s">
        <v>9429</v>
      </c>
      <c r="K9" s="187">
        <v>2892</v>
      </c>
      <c r="L9" s="185" t="s">
        <v>9430</v>
      </c>
      <c r="M9" s="187">
        <v>161335550</v>
      </c>
      <c r="N9" s="187">
        <v>19997</v>
      </c>
      <c r="O9" s="185">
        <v>7</v>
      </c>
    </row>
    <row r="10" spans="1:15" ht="27" x14ac:dyDescent="0.3">
      <c r="A10" s="184">
        <v>43620</v>
      </c>
      <c r="B10" s="185">
        <v>167</v>
      </c>
      <c r="C10" s="186">
        <v>3.1E-2</v>
      </c>
      <c r="D10" s="185">
        <v>309</v>
      </c>
      <c r="E10" s="186">
        <v>1.7999999999999999E-2</v>
      </c>
      <c r="F10" s="187">
        <v>36069</v>
      </c>
      <c r="G10" s="186">
        <v>1.2999999999999999E-2</v>
      </c>
      <c r="H10" s="186">
        <v>7.5999999999999998E-2</v>
      </c>
      <c r="I10" s="187">
        <v>20702730</v>
      </c>
      <c r="J10" s="185" t="s">
        <v>9431</v>
      </c>
      <c r="K10" s="187">
        <v>2752</v>
      </c>
      <c r="L10" s="185" t="s">
        <v>9432</v>
      </c>
      <c r="M10" s="187">
        <v>182038280</v>
      </c>
      <c r="N10" s="187">
        <v>22749</v>
      </c>
      <c r="O10" s="185">
        <v>8</v>
      </c>
    </row>
    <row r="11" spans="1:15" ht="27" x14ac:dyDescent="0.3">
      <c r="A11" s="184">
        <v>43628</v>
      </c>
      <c r="B11" s="185">
        <v>123</v>
      </c>
      <c r="C11" s="186">
        <v>2.4E-2</v>
      </c>
      <c r="D11" s="185">
        <v>197</v>
      </c>
      <c r="E11" s="186">
        <v>1.0999999999999999E-2</v>
      </c>
      <c r="F11" s="187">
        <v>22936</v>
      </c>
      <c r="G11" s="186">
        <v>8.0000000000000002E-3</v>
      </c>
      <c r="H11" s="186">
        <v>9.4E-2</v>
      </c>
      <c r="I11" s="187">
        <v>16018010</v>
      </c>
      <c r="J11" s="185" t="s">
        <v>9433</v>
      </c>
      <c r="K11" s="187">
        <v>2163</v>
      </c>
      <c r="L11" s="185" t="s">
        <v>9434</v>
      </c>
      <c r="M11" s="187">
        <v>198056290</v>
      </c>
      <c r="N11" s="187">
        <v>24912</v>
      </c>
      <c r="O11" s="185">
        <v>6</v>
      </c>
    </row>
    <row r="12" spans="1:15" ht="27" x14ac:dyDescent="0.3">
      <c r="A12" s="184">
        <v>43629</v>
      </c>
      <c r="B12" s="185">
        <v>39</v>
      </c>
      <c r="C12" s="186">
        <v>7.0000000000000001E-3</v>
      </c>
      <c r="D12" s="185">
        <v>77</v>
      </c>
      <c r="E12" s="186">
        <v>4.0000000000000001E-3</v>
      </c>
      <c r="F12" s="187">
        <v>8311</v>
      </c>
      <c r="G12" s="186">
        <v>3.0000000000000001E-3</v>
      </c>
      <c r="H12" s="186">
        <v>0.13800000000000001</v>
      </c>
      <c r="I12" s="187">
        <v>8552580</v>
      </c>
      <c r="J12" s="185" t="s">
        <v>9435</v>
      </c>
      <c r="K12" s="187">
        <v>1148</v>
      </c>
      <c r="L12" s="185" t="s">
        <v>9436</v>
      </c>
      <c r="M12" s="187">
        <v>206608870</v>
      </c>
      <c r="N12" s="187">
        <v>26060</v>
      </c>
      <c r="O12" s="185">
        <v>12</v>
      </c>
    </row>
    <row r="13" spans="1:15" ht="27" x14ac:dyDescent="0.3">
      <c r="A13" s="184">
        <v>43630</v>
      </c>
      <c r="B13" s="185">
        <v>38</v>
      </c>
      <c r="C13" s="186">
        <v>7.0000000000000001E-3</v>
      </c>
      <c r="D13" s="185">
        <v>74</v>
      </c>
      <c r="E13" s="186">
        <v>4.0000000000000001E-3</v>
      </c>
      <c r="F13" s="187">
        <v>7756</v>
      </c>
      <c r="G13" s="186">
        <v>3.0000000000000001E-3</v>
      </c>
      <c r="H13" s="186">
        <v>0.156</v>
      </c>
      <c r="I13" s="187">
        <v>10162500</v>
      </c>
      <c r="J13" s="185" t="s">
        <v>9437</v>
      </c>
      <c r="K13" s="187">
        <v>1207</v>
      </c>
      <c r="L13" s="185" t="s">
        <v>9438</v>
      </c>
      <c r="M13" s="187">
        <v>216771370</v>
      </c>
      <c r="N13" s="187">
        <v>27267</v>
      </c>
      <c r="O13" s="185">
        <v>9</v>
      </c>
    </row>
    <row r="14" spans="1:15" ht="27" x14ac:dyDescent="0.3">
      <c r="A14" s="184">
        <v>43631</v>
      </c>
      <c r="B14" s="185">
        <v>39</v>
      </c>
      <c r="C14" s="186">
        <v>6.0000000000000001E-3</v>
      </c>
      <c r="D14" s="185">
        <v>74</v>
      </c>
      <c r="E14" s="186">
        <v>4.0000000000000001E-3</v>
      </c>
      <c r="F14" s="187">
        <v>7590</v>
      </c>
      <c r="G14" s="186">
        <v>2E-3</v>
      </c>
      <c r="H14" s="186">
        <v>0.29199999999999998</v>
      </c>
      <c r="I14" s="187">
        <v>17923060</v>
      </c>
      <c r="J14" s="185" t="s">
        <v>9439</v>
      </c>
      <c r="K14" s="187">
        <v>2214</v>
      </c>
      <c r="L14" s="185" t="s">
        <v>9440</v>
      </c>
      <c r="M14" s="187">
        <v>234694430</v>
      </c>
      <c r="N14" s="187">
        <v>29481</v>
      </c>
      <c r="O14" s="185">
        <v>9</v>
      </c>
    </row>
    <row r="15" spans="1:15" ht="27" x14ac:dyDescent="0.3">
      <c r="A15" s="184">
        <v>43632</v>
      </c>
      <c r="B15" s="185">
        <v>39</v>
      </c>
      <c r="C15" s="186">
        <v>6.0000000000000001E-3</v>
      </c>
      <c r="D15" s="185">
        <v>74</v>
      </c>
      <c r="E15" s="186">
        <v>4.0000000000000001E-3</v>
      </c>
      <c r="F15" s="187">
        <v>7673</v>
      </c>
      <c r="G15" s="186">
        <v>3.0000000000000001E-3</v>
      </c>
      <c r="H15" s="186">
        <v>0.247</v>
      </c>
      <c r="I15" s="187">
        <v>15314900</v>
      </c>
      <c r="J15" s="185" t="s">
        <v>9441</v>
      </c>
      <c r="K15" s="187">
        <v>1898</v>
      </c>
      <c r="L15" s="185" t="s">
        <v>9442</v>
      </c>
      <c r="M15" s="187">
        <v>250009330</v>
      </c>
      <c r="N15" s="187">
        <v>31379</v>
      </c>
      <c r="O15" s="185">
        <v>10</v>
      </c>
    </row>
    <row r="16" spans="1:15" ht="27" x14ac:dyDescent="0.3">
      <c r="A16" s="184">
        <v>43633</v>
      </c>
      <c r="B16" s="185">
        <v>38</v>
      </c>
      <c r="C16" s="186">
        <v>7.0000000000000001E-3</v>
      </c>
      <c r="D16" s="185">
        <v>77</v>
      </c>
      <c r="E16" s="186">
        <v>4.0000000000000001E-3</v>
      </c>
      <c r="F16" s="187">
        <v>8082</v>
      </c>
      <c r="G16" s="186">
        <v>3.0000000000000001E-3</v>
      </c>
      <c r="H16" s="186">
        <v>0.14399999999999999</v>
      </c>
      <c r="I16" s="187">
        <v>8687580</v>
      </c>
      <c r="J16" s="185" t="s">
        <v>9443</v>
      </c>
      <c r="K16" s="187">
        <v>1165</v>
      </c>
      <c r="L16" s="185" t="s">
        <v>9444</v>
      </c>
      <c r="M16" s="187">
        <v>258696910</v>
      </c>
      <c r="N16" s="187">
        <v>32544</v>
      </c>
      <c r="O16" s="185">
        <v>10</v>
      </c>
    </row>
    <row r="17" spans="1:15" ht="27" x14ac:dyDescent="0.3">
      <c r="A17" s="184">
        <v>43634</v>
      </c>
      <c r="B17" s="185">
        <v>41</v>
      </c>
      <c r="C17" s="186">
        <v>7.0000000000000001E-3</v>
      </c>
      <c r="D17" s="185">
        <v>76</v>
      </c>
      <c r="E17" s="186">
        <v>4.0000000000000001E-3</v>
      </c>
      <c r="F17" s="187">
        <v>7875</v>
      </c>
      <c r="G17" s="186">
        <v>3.0000000000000001E-3</v>
      </c>
      <c r="H17" s="186">
        <v>0.15</v>
      </c>
      <c r="I17" s="187">
        <v>8906400</v>
      </c>
      <c r="J17" s="185" t="s">
        <v>9445</v>
      </c>
      <c r="K17" s="187">
        <v>1184</v>
      </c>
      <c r="L17" s="185" t="s">
        <v>9446</v>
      </c>
      <c r="M17" s="187">
        <v>267603310</v>
      </c>
      <c r="N17" s="187">
        <v>33728</v>
      </c>
      <c r="O17" s="185">
        <v>11</v>
      </c>
    </row>
    <row r="18" spans="1:15" ht="27" x14ac:dyDescent="0.3">
      <c r="A18" s="184">
        <v>43635</v>
      </c>
      <c r="B18" s="185">
        <v>33</v>
      </c>
      <c r="C18" s="186">
        <v>5.0000000000000001E-3</v>
      </c>
      <c r="D18" s="185">
        <v>56</v>
      </c>
      <c r="E18" s="186">
        <v>3.0000000000000001E-3</v>
      </c>
      <c r="F18" s="187">
        <v>5456</v>
      </c>
      <c r="G18" s="186">
        <v>2E-3</v>
      </c>
      <c r="H18" s="186">
        <v>0.17599999999999999</v>
      </c>
      <c r="I18" s="187">
        <v>6313300</v>
      </c>
      <c r="J18" s="185" t="s">
        <v>9447</v>
      </c>
      <c r="K18" s="185">
        <v>960</v>
      </c>
      <c r="L18" s="185" t="s">
        <v>9448</v>
      </c>
      <c r="M18" s="187">
        <v>273916610</v>
      </c>
      <c r="N18" s="187">
        <v>34688</v>
      </c>
      <c r="O18" s="185">
        <v>14</v>
      </c>
    </row>
    <row r="19" spans="1:15" ht="27" x14ac:dyDescent="0.3">
      <c r="A19" s="184">
        <v>43636</v>
      </c>
      <c r="B19" s="185">
        <v>38</v>
      </c>
      <c r="C19" s="186">
        <v>6.0000000000000001E-3</v>
      </c>
      <c r="D19" s="185">
        <v>55</v>
      </c>
      <c r="E19" s="186">
        <v>3.0000000000000001E-3</v>
      </c>
      <c r="F19" s="187">
        <v>5653</v>
      </c>
      <c r="G19" s="186">
        <v>2E-3</v>
      </c>
      <c r="H19" s="186">
        <v>0.152</v>
      </c>
      <c r="I19" s="187">
        <v>6311460</v>
      </c>
      <c r="J19" s="185" t="s">
        <v>9449</v>
      </c>
      <c r="K19" s="185">
        <v>858</v>
      </c>
      <c r="L19" s="185" t="s">
        <v>9450</v>
      </c>
      <c r="M19" s="187">
        <v>280228070</v>
      </c>
      <c r="N19" s="187">
        <v>35546</v>
      </c>
      <c r="O19" s="185">
        <v>17</v>
      </c>
    </row>
    <row r="20" spans="1:15" ht="27" x14ac:dyDescent="0.3">
      <c r="A20" s="184">
        <v>43637</v>
      </c>
      <c r="B20" s="185">
        <v>38</v>
      </c>
      <c r="C20" s="186">
        <v>6.0000000000000001E-3</v>
      </c>
      <c r="D20" s="185">
        <v>59</v>
      </c>
      <c r="E20" s="186">
        <v>3.0000000000000001E-3</v>
      </c>
      <c r="F20" s="187">
        <v>5701</v>
      </c>
      <c r="G20" s="186">
        <v>2E-3</v>
      </c>
      <c r="H20" s="186">
        <v>0.156</v>
      </c>
      <c r="I20" s="187">
        <v>7219800</v>
      </c>
      <c r="J20" s="185" t="s">
        <v>9451</v>
      </c>
      <c r="K20" s="185">
        <v>892</v>
      </c>
      <c r="L20" s="185" t="s">
        <v>9452</v>
      </c>
      <c r="M20" s="187">
        <v>287447870</v>
      </c>
      <c r="N20" s="187">
        <v>36438</v>
      </c>
      <c r="O20" s="185">
        <v>13</v>
      </c>
    </row>
    <row r="21" spans="1:15" ht="27" x14ac:dyDescent="0.3">
      <c r="A21" s="184">
        <v>43638</v>
      </c>
      <c r="B21" s="185">
        <v>35</v>
      </c>
      <c r="C21" s="186">
        <v>5.0000000000000001E-3</v>
      </c>
      <c r="D21" s="185">
        <v>49</v>
      </c>
      <c r="E21" s="186">
        <v>2E-3</v>
      </c>
      <c r="F21" s="187">
        <v>4842</v>
      </c>
      <c r="G21" s="186">
        <v>2E-3</v>
      </c>
      <c r="H21" s="186">
        <v>0.29399999999999998</v>
      </c>
      <c r="I21" s="187">
        <v>11565100</v>
      </c>
      <c r="J21" s="185" t="s">
        <v>9453</v>
      </c>
      <c r="K21" s="187">
        <v>1423</v>
      </c>
      <c r="L21" s="185" t="s">
        <v>9454</v>
      </c>
      <c r="M21" s="187">
        <v>299012970</v>
      </c>
      <c r="N21" s="187">
        <v>37861</v>
      </c>
      <c r="O21" s="185">
        <v>14</v>
      </c>
    </row>
    <row r="22" spans="1:15" ht="27" x14ac:dyDescent="0.3">
      <c r="A22" s="184">
        <v>43639</v>
      </c>
      <c r="B22" s="185">
        <v>38</v>
      </c>
      <c r="C22" s="186">
        <v>6.0000000000000001E-3</v>
      </c>
      <c r="D22" s="185">
        <v>55</v>
      </c>
      <c r="E22" s="186">
        <v>3.0000000000000001E-3</v>
      </c>
      <c r="F22" s="187">
        <v>5411</v>
      </c>
      <c r="G22" s="186">
        <v>2E-3</v>
      </c>
      <c r="H22" s="186">
        <v>0.27</v>
      </c>
      <c r="I22" s="187">
        <v>11604680</v>
      </c>
      <c r="J22" s="185" t="s">
        <v>9455</v>
      </c>
      <c r="K22" s="187">
        <v>1463</v>
      </c>
      <c r="L22" s="185" t="s">
        <v>9456</v>
      </c>
      <c r="M22" s="187">
        <v>310617650</v>
      </c>
      <c r="N22" s="187">
        <v>39324</v>
      </c>
      <c r="O22" s="185">
        <v>15</v>
      </c>
    </row>
    <row r="23" spans="1:15" ht="27" x14ac:dyDescent="0.3">
      <c r="A23" s="184">
        <v>43640</v>
      </c>
      <c r="B23" s="185">
        <v>54</v>
      </c>
      <c r="C23" s="186">
        <v>8.0000000000000002E-3</v>
      </c>
      <c r="D23" s="185">
        <v>64</v>
      </c>
      <c r="E23" s="186">
        <v>3.0000000000000001E-3</v>
      </c>
      <c r="F23" s="187">
        <v>6592</v>
      </c>
      <c r="G23" s="186">
        <v>2E-3</v>
      </c>
      <c r="H23" s="186">
        <v>0.19</v>
      </c>
      <c r="I23" s="187">
        <v>9117700</v>
      </c>
      <c r="J23" s="185" t="s">
        <v>9457</v>
      </c>
      <c r="K23" s="187">
        <v>1250</v>
      </c>
      <c r="L23" s="185" t="s">
        <v>9458</v>
      </c>
      <c r="M23" s="187">
        <v>319735350</v>
      </c>
      <c r="N23" s="187">
        <v>40574</v>
      </c>
      <c r="O23" s="185">
        <v>13</v>
      </c>
    </row>
    <row r="24" spans="1:15" ht="27" x14ac:dyDescent="0.3">
      <c r="A24" s="184">
        <v>43641</v>
      </c>
      <c r="B24" s="185">
        <v>31</v>
      </c>
      <c r="C24" s="186">
        <v>5.0000000000000001E-3</v>
      </c>
      <c r="D24" s="185">
        <v>40</v>
      </c>
      <c r="E24" s="186">
        <v>2E-3</v>
      </c>
      <c r="F24" s="187">
        <v>3891</v>
      </c>
      <c r="G24" s="186">
        <v>1E-3</v>
      </c>
      <c r="H24" s="186">
        <v>0.19600000000000001</v>
      </c>
      <c r="I24" s="187">
        <v>5375500</v>
      </c>
      <c r="J24" s="185" t="s">
        <v>9459</v>
      </c>
      <c r="K24" s="185">
        <v>762</v>
      </c>
      <c r="L24" s="185" t="s">
        <v>9460</v>
      </c>
      <c r="M24" s="187">
        <v>325110850</v>
      </c>
      <c r="N24" s="187">
        <v>41336</v>
      </c>
      <c r="O24" s="185">
        <v>13</v>
      </c>
    </row>
    <row r="25" spans="1:15" ht="27" x14ac:dyDescent="0.3">
      <c r="A25" s="184">
        <v>43642</v>
      </c>
      <c r="B25" s="185">
        <v>31</v>
      </c>
      <c r="C25" s="186">
        <v>6.0000000000000001E-3</v>
      </c>
      <c r="D25" s="185">
        <v>41</v>
      </c>
      <c r="E25" s="186">
        <v>2E-3</v>
      </c>
      <c r="F25" s="187">
        <v>3933</v>
      </c>
      <c r="G25" s="186">
        <v>1E-3</v>
      </c>
      <c r="H25" s="186">
        <v>0.13400000000000001</v>
      </c>
      <c r="I25" s="187">
        <v>4151200</v>
      </c>
      <c r="J25" s="185" t="s">
        <v>9461</v>
      </c>
      <c r="K25" s="185">
        <v>526</v>
      </c>
      <c r="L25" s="185" t="s">
        <v>9462</v>
      </c>
      <c r="M25" s="187">
        <v>329262050</v>
      </c>
      <c r="N25" s="187">
        <v>41862</v>
      </c>
      <c r="O25" s="185">
        <v>15</v>
      </c>
    </row>
    <row r="26" spans="1:15" ht="27" x14ac:dyDescent="0.3">
      <c r="A26" s="184">
        <v>43643</v>
      </c>
      <c r="B26" s="185">
        <v>21</v>
      </c>
      <c r="C26" s="186">
        <v>4.0000000000000001E-3</v>
      </c>
      <c r="D26" s="185">
        <v>31</v>
      </c>
      <c r="E26" s="186">
        <v>2E-3</v>
      </c>
      <c r="F26" s="187">
        <v>2714</v>
      </c>
      <c r="G26" s="186">
        <v>1E-3</v>
      </c>
      <c r="H26" s="186">
        <v>0.13300000000000001</v>
      </c>
      <c r="I26" s="187">
        <v>2803300</v>
      </c>
      <c r="J26" s="185" t="s">
        <v>9463</v>
      </c>
      <c r="K26" s="185">
        <v>362</v>
      </c>
      <c r="L26" s="185" t="s">
        <v>9464</v>
      </c>
      <c r="M26" s="187">
        <v>332065350</v>
      </c>
      <c r="N26" s="187">
        <v>42224</v>
      </c>
      <c r="O26" s="185">
        <v>23</v>
      </c>
    </row>
    <row r="27" spans="1:15" ht="27" x14ac:dyDescent="0.3">
      <c r="A27" s="184">
        <v>43644</v>
      </c>
      <c r="B27" s="185">
        <v>27</v>
      </c>
      <c r="C27" s="186">
        <v>5.0000000000000001E-3</v>
      </c>
      <c r="D27" s="185">
        <v>36</v>
      </c>
      <c r="E27" s="186">
        <v>2E-3</v>
      </c>
      <c r="F27" s="187">
        <v>3228</v>
      </c>
      <c r="G27" s="186">
        <v>1E-3</v>
      </c>
      <c r="H27" s="186">
        <v>0.23699999999999999</v>
      </c>
      <c r="I27" s="187">
        <v>6976460</v>
      </c>
      <c r="J27" s="185" t="s">
        <v>9465</v>
      </c>
      <c r="K27" s="185">
        <v>765</v>
      </c>
      <c r="L27" s="185" t="s">
        <v>9466</v>
      </c>
      <c r="M27" s="187">
        <v>339041810</v>
      </c>
      <c r="N27" s="187">
        <v>42989</v>
      </c>
      <c r="O27" s="185">
        <v>13</v>
      </c>
    </row>
    <row r="28" spans="1:15" ht="27" x14ac:dyDescent="0.3">
      <c r="A28" s="184">
        <v>43645</v>
      </c>
      <c r="B28" s="185">
        <v>22</v>
      </c>
      <c r="C28" s="186">
        <v>4.0000000000000001E-3</v>
      </c>
      <c r="D28" s="185">
        <v>32</v>
      </c>
      <c r="E28" s="186">
        <v>2E-3</v>
      </c>
      <c r="F28" s="187">
        <v>2857</v>
      </c>
      <c r="G28" s="186">
        <v>1E-3</v>
      </c>
      <c r="H28" s="186">
        <v>0.307</v>
      </c>
      <c r="I28" s="187">
        <v>7672240</v>
      </c>
      <c r="J28" s="185" t="s">
        <v>9467</v>
      </c>
      <c r="K28" s="185">
        <v>876</v>
      </c>
      <c r="L28" s="185" t="s">
        <v>9468</v>
      </c>
      <c r="M28" s="187">
        <v>346714050</v>
      </c>
      <c r="N28" s="187">
        <v>43865</v>
      </c>
      <c r="O28" s="185">
        <v>17</v>
      </c>
    </row>
    <row r="29" spans="1:15" ht="27" x14ac:dyDescent="0.3">
      <c r="A29" s="184">
        <v>43646</v>
      </c>
      <c r="B29" s="185">
        <v>23</v>
      </c>
      <c r="C29" s="186">
        <v>4.0000000000000001E-3</v>
      </c>
      <c r="D29" s="185">
        <v>31</v>
      </c>
      <c r="E29" s="186">
        <v>2E-3</v>
      </c>
      <c r="F29" s="187">
        <v>3046</v>
      </c>
      <c r="G29" s="186">
        <v>1E-3</v>
      </c>
      <c r="H29" s="186">
        <v>0.24</v>
      </c>
      <c r="I29" s="187">
        <v>6132480</v>
      </c>
      <c r="J29" s="185" t="s">
        <v>9469</v>
      </c>
      <c r="K29" s="185">
        <v>731</v>
      </c>
      <c r="L29" s="185" t="s">
        <v>9470</v>
      </c>
      <c r="M29" s="187">
        <v>352846530</v>
      </c>
      <c r="N29" s="187">
        <v>44596</v>
      </c>
      <c r="O29" s="185">
        <v>18</v>
      </c>
    </row>
    <row r="30" spans="1:15" ht="27" x14ac:dyDescent="0.3">
      <c r="A30" s="184">
        <v>43647</v>
      </c>
      <c r="B30" s="185">
        <v>16</v>
      </c>
      <c r="C30" s="186">
        <v>3.0000000000000001E-3</v>
      </c>
      <c r="D30" s="185">
        <v>27</v>
      </c>
      <c r="E30" s="186">
        <v>1E-3</v>
      </c>
      <c r="F30" s="187">
        <v>2016</v>
      </c>
      <c r="G30" s="186">
        <v>1E-3</v>
      </c>
      <c r="H30" s="186">
        <v>0.25700000000000001</v>
      </c>
      <c r="I30" s="187">
        <v>3512080</v>
      </c>
      <c r="J30" s="185" t="s">
        <v>9471</v>
      </c>
      <c r="K30" s="185">
        <v>518</v>
      </c>
      <c r="L30" s="185" t="s">
        <v>9472</v>
      </c>
      <c r="M30" s="187">
        <v>356358610</v>
      </c>
      <c r="N30" s="187">
        <v>45114</v>
      </c>
      <c r="O30" s="185">
        <v>18</v>
      </c>
    </row>
    <row r="31" spans="1:15" ht="27" x14ac:dyDescent="0.3">
      <c r="A31" s="184">
        <v>43648</v>
      </c>
      <c r="B31" s="185">
        <v>15</v>
      </c>
      <c r="C31" s="186">
        <v>3.0000000000000001E-3</v>
      </c>
      <c r="D31" s="185">
        <v>23</v>
      </c>
      <c r="E31" s="186">
        <v>1E-3</v>
      </c>
      <c r="F31" s="187">
        <v>1895</v>
      </c>
      <c r="G31" s="186">
        <v>1E-3</v>
      </c>
      <c r="H31" s="186">
        <v>0.18099999999999999</v>
      </c>
      <c r="I31" s="187">
        <v>2521560</v>
      </c>
      <c r="J31" s="185" t="s">
        <v>9473</v>
      </c>
      <c r="K31" s="185">
        <v>343</v>
      </c>
      <c r="L31" s="185" t="s">
        <v>9474</v>
      </c>
      <c r="M31" s="187">
        <v>358880170</v>
      </c>
      <c r="N31" s="187">
        <v>45457</v>
      </c>
      <c r="O31" s="185">
        <v>22</v>
      </c>
    </row>
    <row r="32" spans="1:15" ht="27" x14ac:dyDescent="0.3">
      <c r="A32" s="184">
        <v>43649</v>
      </c>
      <c r="B32" s="185">
        <v>19</v>
      </c>
      <c r="C32" s="186">
        <v>4.0000000000000001E-3</v>
      </c>
      <c r="D32" s="185">
        <v>26</v>
      </c>
      <c r="E32" s="186">
        <v>1E-3</v>
      </c>
      <c r="F32" s="187">
        <v>2123</v>
      </c>
      <c r="G32" s="186">
        <v>1E-3</v>
      </c>
      <c r="H32" s="186">
        <v>0.17100000000000001</v>
      </c>
      <c r="I32" s="187">
        <v>2911700</v>
      </c>
      <c r="J32" s="185" t="s">
        <v>9475</v>
      </c>
      <c r="K32" s="185">
        <v>362</v>
      </c>
      <c r="L32" s="185" t="s">
        <v>9476</v>
      </c>
      <c r="M32" s="187">
        <v>361791870</v>
      </c>
      <c r="N32" s="187">
        <v>45819</v>
      </c>
      <c r="O32" s="185">
        <v>21</v>
      </c>
    </row>
    <row r="33" spans="1:15" ht="27" x14ac:dyDescent="0.3">
      <c r="A33" s="184">
        <v>43650</v>
      </c>
      <c r="B33" s="185">
        <v>5</v>
      </c>
      <c r="C33" s="186">
        <v>1E-3</v>
      </c>
      <c r="D33" s="185">
        <v>7</v>
      </c>
      <c r="E33" s="186">
        <v>0</v>
      </c>
      <c r="F33" s="185">
        <v>538</v>
      </c>
      <c r="G33" s="186">
        <v>0</v>
      </c>
      <c r="H33" s="186">
        <v>0.214</v>
      </c>
      <c r="I33" s="187">
        <v>891500</v>
      </c>
      <c r="J33" s="185" t="s">
        <v>9477</v>
      </c>
      <c r="K33" s="185">
        <v>115</v>
      </c>
      <c r="L33" s="185" t="s">
        <v>9478</v>
      </c>
      <c r="M33" s="187">
        <v>362683370</v>
      </c>
      <c r="N33" s="187">
        <v>45934</v>
      </c>
      <c r="O33" s="185">
        <v>44</v>
      </c>
    </row>
    <row r="34" spans="1:15" ht="27" x14ac:dyDescent="0.3">
      <c r="A34" s="184">
        <v>43651</v>
      </c>
      <c r="B34" s="185">
        <v>10</v>
      </c>
      <c r="C34" s="186">
        <v>2E-3</v>
      </c>
      <c r="D34" s="185">
        <v>11</v>
      </c>
      <c r="E34" s="186">
        <v>1E-3</v>
      </c>
      <c r="F34" s="185">
        <v>976</v>
      </c>
      <c r="G34" s="186">
        <v>0</v>
      </c>
      <c r="H34" s="186">
        <v>0.35299999999999998</v>
      </c>
      <c r="I34" s="187">
        <v>2637000</v>
      </c>
      <c r="J34" s="185" t="s">
        <v>9479</v>
      </c>
      <c r="K34" s="185">
        <v>345</v>
      </c>
      <c r="L34" s="185" t="s">
        <v>9480</v>
      </c>
      <c r="M34" s="187">
        <v>365320370</v>
      </c>
      <c r="N34" s="187">
        <v>46279</v>
      </c>
      <c r="O34" s="185">
        <v>25</v>
      </c>
    </row>
    <row r="35" spans="1:15" ht="27" x14ac:dyDescent="0.3">
      <c r="A35" s="184">
        <v>43652</v>
      </c>
      <c r="B35" s="185">
        <v>8</v>
      </c>
      <c r="C35" s="186">
        <v>1E-3</v>
      </c>
      <c r="D35" s="185">
        <v>9</v>
      </c>
      <c r="E35" s="186">
        <v>0</v>
      </c>
      <c r="F35" s="185">
        <v>694</v>
      </c>
      <c r="G35" s="186">
        <v>0</v>
      </c>
      <c r="H35" s="186">
        <v>0.46500000000000002</v>
      </c>
      <c r="I35" s="187">
        <v>2559960</v>
      </c>
      <c r="J35" s="185" t="s">
        <v>9481</v>
      </c>
      <c r="K35" s="185">
        <v>323</v>
      </c>
      <c r="L35" s="185" t="s">
        <v>9482</v>
      </c>
      <c r="M35" s="187">
        <v>367880330</v>
      </c>
      <c r="N35" s="187">
        <v>46602</v>
      </c>
      <c r="O35" s="185">
        <v>29</v>
      </c>
    </row>
    <row r="36" spans="1:15" ht="27" x14ac:dyDescent="0.3">
      <c r="A36" s="184">
        <v>43653</v>
      </c>
      <c r="B36" s="185">
        <v>9</v>
      </c>
      <c r="C36" s="186">
        <v>1E-3</v>
      </c>
      <c r="D36" s="185">
        <v>11</v>
      </c>
      <c r="E36" s="186">
        <v>1E-3</v>
      </c>
      <c r="F36" s="187">
        <v>1009</v>
      </c>
      <c r="G36" s="186">
        <v>0</v>
      </c>
      <c r="H36" s="186">
        <v>0.27500000000000002</v>
      </c>
      <c r="I36" s="187">
        <v>2285700</v>
      </c>
      <c r="J36" s="185" t="s">
        <v>9483</v>
      </c>
      <c r="K36" s="185">
        <v>277</v>
      </c>
      <c r="L36" s="185" t="s">
        <v>9484</v>
      </c>
      <c r="M36" s="187">
        <v>370166030</v>
      </c>
      <c r="N36" s="187">
        <v>46879</v>
      </c>
      <c r="O36" s="185">
        <v>25</v>
      </c>
    </row>
    <row r="37" spans="1:15" ht="27" x14ac:dyDescent="0.3">
      <c r="A37" s="184">
        <v>43654</v>
      </c>
      <c r="B37" s="185">
        <v>4</v>
      </c>
      <c r="C37" s="186">
        <v>1E-3</v>
      </c>
      <c r="D37" s="185">
        <v>6</v>
      </c>
      <c r="E37" s="186">
        <v>0</v>
      </c>
      <c r="F37" s="185">
        <v>416</v>
      </c>
      <c r="G37" s="186">
        <v>0</v>
      </c>
      <c r="H37" s="186">
        <v>0.26</v>
      </c>
      <c r="I37" s="187">
        <v>842900</v>
      </c>
      <c r="J37" s="185" t="s">
        <v>9485</v>
      </c>
      <c r="K37" s="185">
        <v>108</v>
      </c>
      <c r="L37" s="185" t="s">
        <v>9486</v>
      </c>
      <c r="M37" s="187">
        <v>371008930</v>
      </c>
      <c r="N37" s="187">
        <v>46987</v>
      </c>
      <c r="O37" s="185">
        <v>39</v>
      </c>
    </row>
    <row r="38" spans="1:15" ht="27" x14ac:dyDescent="0.3">
      <c r="A38" s="184">
        <v>43655</v>
      </c>
      <c r="B38" s="185">
        <v>8</v>
      </c>
      <c r="C38" s="186">
        <v>1E-3</v>
      </c>
      <c r="D38" s="185">
        <v>9</v>
      </c>
      <c r="E38" s="186">
        <v>0</v>
      </c>
      <c r="F38" s="185">
        <v>701</v>
      </c>
      <c r="G38" s="186">
        <v>0</v>
      </c>
      <c r="H38" s="186">
        <v>0.26100000000000001</v>
      </c>
      <c r="I38" s="187">
        <v>1359800</v>
      </c>
      <c r="J38" s="185" t="s">
        <v>9487</v>
      </c>
      <c r="K38" s="185">
        <v>183</v>
      </c>
      <c r="L38" s="185" t="s">
        <v>9488</v>
      </c>
      <c r="M38" s="187">
        <v>372368730</v>
      </c>
      <c r="N38" s="187">
        <v>47170</v>
      </c>
      <c r="O38" s="185">
        <v>42</v>
      </c>
    </row>
    <row r="39" spans="1:15" ht="27" x14ac:dyDescent="0.3">
      <c r="A39" s="184">
        <v>43656</v>
      </c>
      <c r="B39" s="185">
        <v>5</v>
      </c>
      <c r="C39" s="186">
        <v>1E-3</v>
      </c>
      <c r="D39" s="185">
        <v>6</v>
      </c>
      <c r="E39" s="186">
        <v>0</v>
      </c>
      <c r="F39" s="185">
        <v>402</v>
      </c>
      <c r="G39" s="186">
        <v>0</v>
      </c>
      <c r="H39" s="186">
        <v>0.251</v>
      </c>
      <c r="I39" s="187">
        <v>825440</v>
      </c>
      <c r="J39" s="185" t="s">
        <v>9489</v>
      </c>
      <c r="K39" s="185">
        <v>101</v>
      </c>
      <c r="L39" s="185" t="s">
        <v>9490</v>
      </c>
      <c r="M39" s="187">
        <v>373194170</v>
      </c>
      <c r="N39" s="187">
        <v>47271</v>
      </c>
      <c r="O39" s="185">
        <v>48</v>
      </c>
    </row>
    <row r="40" spans="1:15" x14ac:dyDescent="0.3">
      <c r="A40" s="184">
        <v>43657</v>
      </c>
    </row>
    <row r="41" spans="1:15" x14ac:dyDescent="0.3">
      <c r="A41" s="184">
        <v>43658</v>
      </c>
    </row>
    <row r="42" spans="1:15" x14ac:dyDescent="0.3">
      <c r="A42" s="184">
        <v>43659</v>
      </c>
    </row>
    <row r="43" spans="1:15" x14ac:dyDescent="0.3">
      <c r="A43" s="184">
        <v>43660</v>
      </c>
    </row>
    <row r="44" spans="1:15" x14ac:dyDescent="0.3">
      <c r="A44" s="184">
        <v>43661</v>
      </c>
    </row>
    <row r="45" spans="1:15" x14ac:dyDescent="0.3">
      <c r="A45" s="184">
        <v>43662</v>
      </c>
    </row>
    <row r="46" spans="1:15" x14ac:dyDescent="0.3">
      <c r="A46" s="184">
        <v>43663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64485-C770-4B5C-9173-C9D07E8A6152}">
  <dimension ref="A1:O32"/>
  <sheetViews>
    <sheetView workbookViewId="0">
      <selection activeCell="B5" sqref="B5:O10"/>
    </sheetView>
  </sheetViews>
  <sheetFormatPr defaultRowHeight="16.5" x14ac:dyDescent="0.3"/>
  <sheetData>
    <row r="1" spans="1:15" ht="19.5" x14ac:dyDescent="0.3">
      <c r="A1" s="197" t="s">
        <v>9491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x14ac:dyDescent="0.3">
      <c r="A2" s="198" t="s">
        <v>6270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</row>
    <row r="3" spans="1:15" x14ac:dyDescent="0.3">
      <c r="A3" s="198" t="s">
        <v>110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</row>
    <row r="4" spans="1:15" ht="27" x14ac:dyDescent="0.3">
      <c r="A4" s="195" t="s">
        <v>111</v>
      </c>
      <c r="B4" s="190" t="s">
        <v>112</v>
      </c>
      <c r="C4" s="190" t="s">
        <v>113</v>
      </c>
      <c r="D4" s="190" t="s">
        <v>114</v>
      </c>
      <c r="E4" s="190" t="s">
        <v>115</v>
      </c>
      <c r="F4" s="190" t="s">
        <v>116</v>
      </c>
      <c r="G4" s="190" t="s">
        <v>117</v>
      </c>
      <c r="H4" s="190" t="s">
        <v>118</v>
      </c>
      <c r="I4" s="190" t="s">
        <v>119</v>
      </c>
      <c r="J4" s="190" t="s">
        <v>120</v>
      </c>
      <c r="K4" s="190" t="s">
        <v>121</v>
      </c>
      <c r="L4" s="190" t="s">
        <v>122</v>
      </c>
      <c r="M4" s="190" t="s">
        <v>123</v>
      </c>
      <c r="N4" s="190" t="s">
        <v>124</v>
      </c>
      <c r="O4" s="196" t="s">
        <v>125</v>
      </c>
    </row>
    <row r="5" spans="1:15" ht="27" x14ac:dyDescent="0.3">
      <c r="A5" s="191">
        <v>43628</v>
      </c>
      <c r="B5" s="192">
        <v>197</v>
      </c>
      <c r="C5" s="193">
        <v>3.1E-2</v>
      </c>
      <c r="D5" s="192">
        <v>644</v>
      </c>
      <c r="E5" s="193">
        <v>3.5000000000000003E-2</v>
      </c>
      <c r="F5" s="194">
        <v>81151</v>
      </c>
      <c r="G5" s="193">
        <v>2.8000000000000001E-2</v>
      </c>
      <c r="H5" s="193">
        <v>0.106</v>
      </c>
      <c r="I5" s="194">
        <v>54619500</v>
      </c>
      <c r="J5" s="192" t="s">
        <v>9492</v>
      </c>
      <c r="K5" s="194">
        <v>8639</v>
      </c>
      <c r="L5" s="192" t="s">
        <v>9493</v>
      </c>
      <c r="M5" s="194">
        <v>93166500</v>
      </c>
      <c r="N5" s="194">
        <v>13462</v>
      </c>
      <c r="O5" s="192">
        <v>8</v>
      </c>
    </row>
    <row r="6" spans="1:15" ht="27" x14ac:dyDescent="0.3">
      <c r="A6" s="191">
        <v>43633</v>
      </c>
      <c r="B6" s="192">
        <v>184</v>
      </c>
      <c r="C6" s="193">
        <v>0.03</v>
      </c>
      <c r="D6" s="192">
        <v>621</v>
      </c>
      <c r="E6" s="193">
        <v>3.3000000000000002E-2</v>
      </c>
      <c r="F6" s="194">
        <v>75795</v>
      </c>
      <c r="G6" s="193">
        <v>2.5999999999999999E-2</v>
      </c>
      <c r="H6" s="193">
        <v>6.8000000000000005E-2</v>
      </c>
      <c r="I6" s="194">
        <v>43876800</v>
      </c>
      <c r="J6" s="192" t="s">
        <v>9494</v>
      </c>
      <c r="K6" s="194">
        <v>5117</v>
      </c>
      <c r="L6" s="192" t="s">
        <v>9495</v>
      </c>
      <c r="M6" s="194">
        <v>137043300</v>
      </c>
      <c r="N6" s="194">
        <v>18579</v>
      </c>
      <c r="O6" s="192">
        <v>8</v>
      </c>
    </row>
    <row r="7" spans="1:15" ht="27" x14ac:dyDescent="0.3">
      <c r="A7" s="191">
        <v>43635</v>
      </c>
      <c r="B7" s="192">
        <v>189</v>
      </c>
      <c r="C7" s="193">
        <v>3.1E-2</v>
      </c>
      <c r="D7" s="192">
        <v>562</v>
      </c>
      <c r="E7" s="193">
        <v>0.03</v>
      </c>
      <c r="F7" s="194">
        <v>68555</v>
      </c>
      <c r="G7" s="193">
        <v>2.3E-2</v>
      </c>
      <c r="H7" s="193">
        <v>7.8E-2</v>
      </c>
      <c r="I7" s="194">
        <v>49910800</v>
      </c>
      <c r="J7" s="192" t="s">
        <v>9496</v>
      </c>
      <c r="K7" s="194">
        <v>5322</v>
      </c>
      <c r="L7" s="192" t="s">
        <v>9497</v>
      </c>
      <c r="M7" s="194">
        <v>186954100</v>
      </c>
      <c r="N7" s="194">
        <v>23901</v>
      </c>
      <c r="O7" s="192">
        <v>8</v>
      </c>
    </row>
    <row r="8" spans="1:15" ht="27" x14ac:dyDescent="0.3">
      <c r="A8" s="191">
        <v>43636</v>
      </c>
      <c r="B8" s="192">
        <v>188</v>
      </c>
      <c r="C8" s="193">
        <v>2.8000000000000001E-2</v>
      </c>
      <c r="D8" s="192">
        <v>438</v>
      </c>
      <c r="E8" s="193">
        <v>2.1999999999999999E-2</v>
      </c>
      <c r="F8" s="194">
        <v>53274</v>
      </c>
      <c r="G8" s="193">
        <v>1.7000000000000001E-2</v>
      </c>
      <c r="H8" s="193">
        <v>0.13600000000000001</v>
      </c>
      <c r="I8" s="194">
        <v>68830100</v>
      </c>
      <c r="J8" s="192" t="s">
        <v>9498</v>
      </c>
      <c r="K8" s="194">
        <v>7245</v>
      </c>
      <c r="L8" s="192" t="s">
        <v>9499</v>
      </c>
      <c r="M8" s="194">
        <v>255784200</v>
      </c>
      <c r="N8" s="194">
        <v>31146</v>
      </c>
      <c r="O8" s="192">
        <v>9</v>
      </c>
    </row>
    <row r="9" spans="1:15" ht="27" x14ac:dyDescent="0.3">
      <c r="A9" s="191">
        <v>43637</v>
      </c>
      <c r="B9" s="192">
        <v>189</v>
      </c>
      <c r="C9" s="193">
        <v>2.8000000000000001E-2</v>
      </c>
      <c r="D9" s="192">
        <v>423</v>
      </c>
      <c r="E9" s="193">
        <v>2.1999999999999999E-2</v>
      </c>
      <c r="F9" s="194">
        <v>51721</v>
      </c>
      <c r="G9" s="193">
        <v>1.7000000000000001E-2</v>
      </c>
      <c r="H9" s="193">
        <v>0.122</v>
      </c>
      <c r="I9" s="194">
        <v>59678000</v>
      </c>
      <c r="J9" s="192" t="s">
        <v>9500</v>
      </c>
      <c r="K9" s="194">
        <v>6291</v>
      </c>
      <c r="L9" s="192" t="s">
        <v>9501</v>
      </c>
      <c r="M9" s="194">
        <v>315462200</v>
      </c>
      <c r="N9" s="194">
        <v>37437</v>
      </c>
      <c r="O9" s="192">
        <v>9</v>
      </c>
    </row>
    <row r="10" spans="1:15" ht="27" x14ac:dyDescent="0.3">
      <c r="A10" s="191">
        <v>43641</v>
      </c>
      <c r="B10" s="192">
        <v>180</v>
      </c>
      <c r="C10" s="193">
        <v>2.7E-2</v>
      </c>
      <c r="D10" s="192">
        <v>428</v>
      </c>
      <c r="E10" s="193">
        <v>2.3E-2</v>
      </c>
      <c r="F10" s="194">
        <v>52094</v>
      </c>
      <c r="G10" s="193">
        <v>1.7999999999999999E-2</v>
      </c>
      <c r="H10" s="193">
        <v>0.06</v>
      </c>
      <c r="I10" s="194">
        <v>26985500</v>
      </c>
      <c r="J10" s="192" t="s">
        <v>9502</v>
      </c>
      <c r="K10" s="194">
        <v>3142</v>
      </c>
      <c r="L10" s="192" t="s">
        <v>9503</v>
      </c>
      <c r="M10" s="194">
        <v>342447700</v>
      </c>
      <c r="N10" s="194">
        <v>40579</v>
      </c>
      <c r="O10" s="192">
        <v>9</v>
      </c>
    </row>
    <row r="11" spans="1:15" ht="27" x14ac:dyDescent="0.3">
      <c r="A11" s="191">
        <v>43642</v>
      </c>
      <c r="B11" s="192">
        <v>88</v>
      </c>
      <c r="C11" s="193">
        <v>1.4999999999999999E-2</v>
      </c>
      <c r="D11" s="192">
        <v>90</v>
      </c>
      <c r="E11" s="193">
        <v>5.0000000000000001E-3</v>
      </c>
      <c r="F11" s="194">
        <v>12222</v>
      </c>
      <c r="G11" s="193">
        <v>4.0000000000000001E-3</v>
      </c>
      <c r="H11" s="193">
        <v>4.5999999999999999E-2</v>
      </c>
      <c r="I11" s="194">
        <v>4515500</v>
      </c>
      <c r="J11" s="192" t="s">
        <v>9504</v>
      </c>
      <c r="K11" s="192">
        <v>565</v>
      </c>
      <c r="L11" s="192" t="s">
        <v>9505</v>
      </c>
      <c r="M11" s="194">
        <v>346963200</v>
      </c>
      <c r="N11" s="194">
        <v>41144</v>
      </c>
      <c r="O11" s="192">
        <v>15</v>
      </c>
    </row>
    <row r="12" spans="1:15" ht="27" x14ac:dyDescent="0.3">
      <c r="A12" s="191">
        <v>43643</v>
      </c>
      <c r="B12" s="192">
        <v>22</v>
      </c>
      <c r="C12" s="193">
        <v>4.0000000000000001E-3</v>
      </c>
      <c r="D12" s="192">
        <v>24</v>
      </c>
      <c r="E12" s="193">
        <v>1E-3</v>
      </c>
      <c r="F12" s="194">
        <v>2853</v>
      </c>
      <c r="G12" s="193">
        <v>1E-3</v>
      </c>
      <c r="H12" s="193">
        <v>0.106</v>
      </c>
      <c r="I12" s="194">
        <v>2490000</v>
      </c>
      <c r="J12" s="192" t="s">
        <v>9506</v>
      </c>
      <c r="K12" s="192">
        <v>301</v>
      </c>
      <c r="L12" s="192" t="s">
        <v>9507</v>
      </c>
      <c r="M12" s="194">
        <v>349453200</v>
      </c>
      <c r="N12" s="194">
        <v>41445</v>
      </c>
      <c r="O12" s="192">
        <v>22</v>
      </c>
    </row>
    <row r="13" spans="1:15" ht="27" x14ac:dyDescent="0.3">
      <c r="A13" s="191">
        <v>43644</v>
      </c>
      <c r="B13" s="192">
        <v>18</v>
      </c>
      <c r="C13" s="193">
        <v>3.0000000000000001E-3</v>
      </c>
      <c r="D13" s="192">
        <v>19</v>
      </c>
      <c r="E13" s="193">
        <v>1E-3</v>
      </c>
      <c r="F13" s="194">
        <v>2584</v>
      </c>
      <c r="G13" s="193">
        <v>1E-3</v>
      </c>
      <c r="H13" s="193">
        <v>0.08</v>
      </c>
      <c r="I13" s="194">
        <v>1675500</v>
      </c>
      <c r="J13" s="192" t="s">
        <v>9508</v>
      </c>
      <c r="K13" s="192">
        <v>207</v>
      </c>
      <c r="L13" s="192" t="s">
        <v>9509</v>
      </c>
      <c r="M13" s="194">
        <v>351128700</v>
      </c>
      <c r="N13" s="194">
        <v>41652</v>
      </c>
      <c r="O13" s="192">
        <v>29</v>
      </c>
    </row>
    <row r="14" spans="1:15" ht="27" x14ac:dyDescent="0.3">
      <c r="A14" s="191">
        <v>43645</v>
      </c>
      <c r="B14" s="192">
        <v>19</v>
      </c>
      <c r="C14" s="193">
        <v>3.0000000000000001E-3</v>
      </c>
      <c r="D14" s="192">
        <v>20</v>
      </c>
      <c r="E14" s="193">
        <v>1E-3</v>
      </c>
      <c r="F14" s="194">
        <v>2455</v>
      </c>
      <c r="G14" s="193">
        <v>1E-3</v>
      </c>
      <c r="H14" s="193">
        <v>7.4999999999999997E-2</v>
      </c>
      <c r="I14" s="194">
        <v>1663000</v>
      </c>
      <c r="J14" s="192" t="s">
        <v>9510</v>
      </c>
      <c r="K14" s="192">
        <v>185</v>
      </c>
      <c r="L14" s="192" t="s">
        <v>9511</v>
      </c>
      <c r="M14" s="194">
        <v>352791700</v>
      </c>
      <c r="N14" s="194">
        <v>41837</v>
      </c>
      <c r="O14" s="192">
        <v>25</v>
      </c>
    </row>
    <row r="15" spans="1:15" ht="27" x14ac:dyDescent="0.3">
      <c r="A15" s="191">
        <v>43646</v>
      </c>
      <c r="B15" s="192">
        <v>13</v>
      </c>
      <c r="C15" s="193">
        <v>2E-3</v>
      </c>
      <c r="D15" s="192">
        <v>13</v>
      </c>
      <c r="E15" s="193">
        <v>1E-3</v>
      </c>
      <c r="F15" s="194">
        <v>1417</v>
      </c>
      <c r="G15" s="193">
        <v>0</v>
      </c>
      <c r="H15" s="193">
        <v>0.14000000000000001</v>
      </c>
      <c r="I15" s="194">
        <v>1675500</v>
      </c>
      <c r="J15" s="192" t="s">
        <v>9512</v>
      </c>
      <c r="K15" s="192">
        <v>198</v>
      </c>
      <c r="L15" s="192" t="s">
        <v>9513</v>
      </c>
      <c r="M15" s="194">
        <v>354467200</v>
      </c>
      <c r="N15" s="194">
        <v>42035</v>
      </c>
      <c r="O15" s="192">
        <v>29</v>
      </c>
    </row>
    <row r="16" spans="1:15" ht="27" x14ac:dyDescent="0.3">
      <c r="A16" s="191">
        <v>43647</v>
      </c>
      <c r="B16" s="192">
        <v>15</v>
      </c>
      <c r="C16" s="193">
        <v>3.0000000000000001E-3</v>
      </c>
      <c r="D16" s="192">
        <v>15</v>
      </c>
      <c r="E16" s="193">
        <v>1E-3</v>
      </c>
      <c r="F16" s="194">
        <v>1617</v>
      </c>
      <c r="G16" s="193">
        <v>1E-3</v>
      </c>
      <c r="H16" s="193">
        <v>0.11799999999999999</v>
      </c>
      <c r="I16" s="194">
        <v>1657000</v>
      </c>
      <c r="J16" s="192" t="s">
        <v>9514</v>
      </c>
      <c r="K16" s="192">
        <v>191</v>
      </c>
      <c r="L16" s="192" t="s">
        <v>9515</v>
      </c>
      <c r="M16" s="194">
        <v>356124200</v>
      </c>
      <c r="N16" s="194">
        <v>42226</v>
      </c>
      <c r="O16" s="192">
        <v>26</v>
      </c>
    </row>
    <row r="17" spans="1:15" ht="27" x14ac:dyDescent="0.3">
      <c r="A17" s="191">
        <v>43648</v>
      </c>
      <c r="B17" s="192">
        <v>13</v>
      </c>
      <c r="C17" s="193">
        <v>2E-3</v>
      </c>
      <c r="D17" s="192">
        <v>13</v>
      </c>
      <c r="E17" s="193">
        <v>1E-3</v>
      </c>
      <c r="F17" s="194">
        <v>1431</v>
      </c>
      <c r="G17" s="193">
        <v>1E-3</v>
      </c>
      <c r="H17" s="193">
        <v>6.8000000000000005E-2</v>
      </c>
      <c r="I17" s="194">
        <v>790500</v>
      </c>
      <c r="J17" s="192" t="s">
        <v>9516</v>
      </c>
      <c r="K17" s="192">
        <v>97</v>
      </c>
      <c r="L17" s="192" t="s">
        <v>9517</v>
      </c>
      <c r="M17" s="194">
        <v>356914700</v>
      </c>
      <c r="N17" s="194">
        <v>42323</v>
      </c>
      <c r="O17" s="192">
        <v>35</v>
      </c>
    </row>
    <row r="18" spans="1:15" ht="27" x14ac:dyDescent="0.3">
      <c r="A18" s="191">
        <v>43649</v>
      </c>
      <c r="B18" s="192">
        <v>13</v>
      </c>
      <c r="C18" s="193">
        <v>2E-3</v>
      </c>
      <c r="D18" s="192">
        <v>14</v>
      </c>
      <c r="E18" s="193">
        <v>1E-3</v>
      </c>
      <c r="F18" s="194">
        <v>1611</v>
      </c>
      <c r="G18" s="193">
        <v>1E-3</v>
      </c>
      <c r="H18" s="193">
        <v>8.3000000000000004E-2</v>
      </c>
      <c r="I18" s="194">
        <v>1053000</v>
      </c>
      <c r="J18" s="192" t="s">
        <v>9518</v>
      </c>
      <c r="K18" s="192">
        <v>133</v>
      </c>
      <c r="L18" s="192" t="s">
        <v>9519</v>
      </c>
      <c r="M18" s="194">
        <v>357967700</v>
      </c>
      <c r="N18" s="194">
        <v>42456</v>
      </c>
      <c r="O18" s="192">
        <v>33</v>
      </c>
    </row>
    <row r="19" spans="1:15" ht="27" x14ac:dyDescent="0.3">
      <c r="A19" s="191">
        <v>43650</v>
      </c>
      <c r="B19" s="192">
        <v>4</v>
      </c>
      <c r="C19" s="193">
        <v>1E-3</v>
      </c>
      <c r="D19" s="192">
        <v>5</v>
      </c>
      <c r="E19" s="193">
        <v>0</v>
      </c>
      <c r="F19" s="192">
        <v>356</v>
      </c>
      <c r="G19" s="193">
        <v>0</v>
      </c>
      <c r="H19" s="193">
        <v>8.1000000000000003E-2</v>
      </c>
      <c r="I19" s="194">
        <v>236000</v>
      </c>
      <c r="J19" s="192" t="s">
        <v>9520</v>
      </c>
      <c r="K19" s="192">
        <v>29</v>
      </c>
      <c r="L19" s="192" t="s">
        <v>9521</v>
      </c>
      <c r="M19" s="194">
        <v>358203700</v>
      </c>
      <c r="N19" s="194">
        <v>42485</v>
      </c>
      <c r="O19" s="192">
        <v>61</v>
      </c>
    </row>
    <row r="20" spans="1:15" ht="27" x14ac:dyDescent="0.3">
      <c r="A20" s="191">
        <v>43651</v>
      </c>
      <c r="B20" s="192">
        <v>1</v>
      </c>
      <c r="C20" s="193">
        <v>0</v>
      </c>
      <c r="D20" s="192">
        <v>2</v>
      </c>
      <c r="E20" s="193">
        <v>0</v>
      </c>
      <c r="F20" s="192">
        <v>162</v>
      </c>
      <c r="G20" s="193">
        <v>0</v>
      </c>
      <c r="H20" s="193">
        <v>0.11700000000000001</v>
      </c>
      <c r="I20" s="194">
        <v>147000</v>
      </c>
      <c r="J20" s="192" t="s">
        <v>9522</v>
      </c>
      <c r="K20" s="192">
        <v>19</v>
      </c>
      <c r="L20" s="192" t="s">
        <v>9523</v>
      </c>
      <c r="M20" s="194">
        <v>358350700</v>
      </c>
      <c r="N20" s="194">
        <v>42504</v>
      </c>
      <c r="O20" s="192">
        <v>83</v>
      </c>
    </row>
    <row r="21" spans="1:15" ht="27" x14ac:dyDescent="0.3">
      <c r="A21" s="191">
        <v>43652</v>
      </c>
      <c r="B21" s="192">
        <v>1</v>
      </c>
      <c r="C21" s="193">
        <v>0</v>
      </c>
      <c r="D21" s="192">
        <v>2</v>
      </c>
      <c r="E21" s="193">
        <v>0</v>
      </c>
      <c r="F21" s="192">
        <v>162</v>
      </c>
      <c r="G21" s="193">
        <v>0</v>
      </c>
      <c r="H21" s="193">
        <v>0.20399999999999999</v>
      </c>
      <c r="I21" s="194">
        <v>268000</v>
      </c>
      <c r="J21" s="192" t="s">
        <v>9524</v>
      </c>
      <c r="K21" s="192">
        <v>33</v>
      </c>
      <c r="L21" s="192" t="s">
        <v>9525</v>
      </c>
      <c r="M21" s="194">
        <v>358618700</v>
      </c>
      <c r="N21" s="194">
        <v>42537</v>
      </c>
      <c r="O21" s="192">
        <v>70</v>
      </c>
    </row>
    <row r="22" spans="1:15" ht="27" x14ac:dyDescent="0.3">
      <c r="A22" s="191">
        <v>43653</v>
      </c>
      <c r="B22" s="192">
        <v>2</v>
      </c>
      <c r="C22" s="193">
        <v>0</v>
      </c>
      <c r="D22" s="192">
        <v>2</v>
      </c>
      <c r="E22" s="193">
        <v>0</v>
      </c>
      <c r="F22" s="192">
        <v>133</v>
      </c>
      <c r="G22" s="193">
        <v>0</v>
      </c>
      <c r="H22" s="193">
        <v>0.27800000000000002</v>
      </c>
      <c r="I22" s="194">
        <v>297000</v>
      </c>
      <c r="J22" s="192" t="s">
        <v>9526</v>
      </c>
      <c r="K22" s="192">
        <v>37</v>
      </c>
      <c r="L22" s="192" t="s">
        <v>9527</v>
      </c>
      <c r="M22" s="194">
        <v>358915700</v>
      </c>
      <c r="N22" s="194">
        <v>42574</v>
      </c>
      <c r="O22" s="192">
        <v>69</v>
      </c>
    </row>
    <row r="23" spans="1:15" ht="27" x14ac:dyDescent="0.3">
      <c r="A23" s="191">
        <v>43654</v>
      </c>
      <c r="B23" s="192">
        <v>2</v>
      </c>
      <c r="C23" s="193">
        <v>0</v>
      </c>
      <c r="D23" s="192">
        <v>2</v>
      </c>
      <c r="E23" s="193">
        <v>0</v>
      </c>
      <c r="F23" s="192">
        <v>111</v>
      </c>
      <c r="G23" s="193">
        <v>0</v>
      </c>
      <c r="H23" s="193">
        <v>0.24299999999999999</v>
      </c>
      <c r="I23" s="194">
        <v>240000</v>
      </c>
      <c r="J23" s="192" t="s">
        <v>9528</v>
      </c>
      <c r="K23" s="192">
        <v>27</v>
      </c>
      <c r="L23" s="192" t="s">
        <v>9529</v>
      </c>
      <c r="M23" s="194">
        <v>359155700</v>
      </c>
      <c r="N23" s="194">
        <v>42601</v>
      </c>
      <c r="O23" s="192">
        <v>61</v>
      </c>
    </row>
    <row r="24" spans="1:15" ht="27" x14ac:dyDescent="0.3">
      <c r="A24" s="191">
        <v>43655</v>
      </c>
      <c r="B24" s="192">
        <v>1</v>
      </c>
      <c r="C24" s="193">
        <v>0</v>
      </c>
      <c r="D24" s="192">
        <v>2</v>
      </c>
      <c r="E24" s="193">
        <v>0</v>
      </c>
      <c r="F24" s="192">
        <v>162</v>
      </c>
      <c r="G24" s="193">
        <v>0</v>
      </c>
      <c r="H24" s="193">
        <v>9.9000000000000005E-2</v>
      </c>
      <c r="I24" s="194">
        <v>124000</v>
      </c>
      <c r="J24" s="192" t="s">
        <v>9530</v>
      </c>
      <c r="K24" s="192">
        <v>16</v>
      </c>
      <c r="L24" s="192" t="s">
        <v>9531</v>
      </c>
      <c r="M24" s="194">
        <v>359279700</v>
      </c>
      <c r="N24" s="194">
        <v>42617</v>
      </c>
      <c r="O24" s="192">
        <v>74</v>
      </c>
    </row>
    <row r="25" spans="1:15" ht="27" x14ac:dyDescent="0.3">
      <c r="A25" s="191">
        <v>43656</v>
      </c>
      <c r="B25" s="192">
        <v>1</v>
      </c>
      <c r="C25" s="193">
        <v>0</v>
      </c>
      <c r="D25" s="192">
        <v>2</v>
      </c>
      <c r="E25" s="193">
        <v>0</v>
      </c>
      <c r="F25" s="192">
        <v>162</v>
      </c>
      <c r="G25" s="193">
        <v>0</v>
      </c>
      <c r="H25" s="193">
        <v>9.2999999999999999E-2</v>
      </c>
      <c r="I25" s="194">
        <v>131000</v>
      </c>
      <c r="J25" s="192" t="s">
        <v>9532</v>
      </c>
      <c r="K25" s="192">
        <v>15</v>
      </c>
      <c r="L25" s="192" t="s">
        <v>9533</v>
      </c>
      <c r="M25" s="194">
        <v>359410700</v>
      </c>
      <c r="N25" s="194">
        <v>42632</v>
      </c>
      <c r="O25" s="192">
        <v>85</v>
      </c>
    </row>
    <row r="26" spans="1:15" ht="27" x14ac:dyDescent="0.3">
      <c r="A26" s="191">
        <v>43657</v>
      </c>
      <c r="B26" s="192">
        <v>1</v>
      </c>
      <c r="C26" s="193">
        <v>0</v>
      </c>
      <c r="D26" s="192">
        <v>1</v>
      </c>
      <c r="E26" s="193">
        <v>0</v>
      </c>
      <c r="F26" s="192">
        <v>81</v>
      </c>
      <c r="G26" s="193">
        <v>0</v>
      </c>
      <c r="H26" s="193">
        <v>0.111</v>
      </c>
      <c r="I26" s="194">
        <v>60000</v>
      </c>
      <c r="J26" s="192" t="s">
        <v>9534</v>
      </c>
      <c r="K26" s="192">
        <v>9</v>
      </c>
      <c r="L26" s="192" t="s">
        <v>9535</v>
      </c>
      <c r="M26" s="194">
        <v>359470700</v>
      </c>
      <c r="N26" s="194">
        <v>42641</v>
      </c>
      <c r="O26" s="192">
        <v>80</v>
      </c>
    </row>
    <row r="27" spans="1:15" x14ac:dyDescent="0.3">
      <c r="A27" s="191">
        <v>43658</v>
      </c>
    </row>
    <row r="28" spans="1:15" x14ac:dyDescent="0.3">
      <c r="A28" s="191">
        <v>43659</v>
      </c>
    </row>
    <row r="29" spans="1:15" x14ac:dyDescent="0.3">
      <c r="A29" s="191">
        <v>43660</v>
      </c>
    </row>
    <row r="30" spans="1:15" x14ac:dyDescent="0.3">
      <c r="A30" s="191">
        <v>43661</v>
      </c>
    </row>
    <row r="31" spans="1:15" x14ac:dyDescent="0.3">
      <c r="A31" s="191">
        <v>43662</v>
      </c>
    </row>
    <row r="32" spans="1:15" x14ac:dyDescent="0.3">
      <c r="A32" s="191">
        <v>43663</v>
      </c>
    </row>
  </sheetData>
  <mergeCells count="3">
    <mergeCell ref="A1:O1"/>
    <mergeCell ref="A2:O2"/>
    <mergeCell ref="A3:O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106</vt:i4>
      </vt:variant>
    </vt:vector>
  </HeadingPairs>
  <TitlesOfParts>
    <vt:vector size="106" baseType="lpstr">
      <vt:lpstr>Sheet1</vt:lpstr>
      <vt:lpstr>Sheet1 (2)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91(공)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  <vt:lpstr>102</vt:lpstr>
      <vt:lpstr>103</vt:lpstr>
      <vt:lpstr>104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CPB79GameN</cp:lastModifiedBy>
  <dcterms:created xsi:type="dcterms:W3CDTF">2018-08-15T04:09:10Z</dcterms:created>
  <dcterms:modified xsi:type="dcterms:W3CDTF">2019-07-22T08:45:45Z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01a10ce0-08a3-4a78-9931-847bac7e17fa</vt:lpwstr>
  </property>
</Properties>
</file>